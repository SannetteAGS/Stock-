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Dashboard" sheetId="2" state="visible" r:id="rId4"/>
    <sheet name="Master Stock" sheetId="3" state="visible" r:id="rId5"/>
    <sheet name="CPT Count" sheetId="4" state="visible" r:id="rId6"/>
    <sheet name="JHB Count" sheetId="5" state="visible" r:id="rId7"/>
    <sheet name="DBN Count" sheetId="6" state="visible" r:id="rId8"/>
    <sheet name="Orders" sheetId="7" state="visible" r:id="rId9"/>
    <sheet name="Stock Received" sheetId="8" state="visible" r:id="rId10"/>
    <sheet name="Weekly Sales" sheetId="9" state="visible" r:id="rId11"/>
    <sheet name="Transfers" sheetId="10" state="visible" r:id="rId12"/>
    <sheet name="Sales History" sheetId="11" state="visible" r:id="rId13"/>
    <sheet name="Code Aliases" sheetId="12" state="visible" r:id="rId14"/>
    <sheet name="Settings" sheetId="13" state="visible" r:id="rId15"/>
  </sheets>
  <definedNames>
    <definedName function="false" hidden="true" localSheetId="4" name="_xlnm._FilterDatabase" vbProcedure="false">'JHB Count'!$A$4:$H$179</definedName>
    <definedName function="false" hidden="true" localSheetId="2" name="_xlnm._FilterDatabase" vbProcedure="false">'Master Stock'!$A$4:$X$207</definedName>
    <definedName function="false" hidden="true" localSheetId="6" name="_xlnm._FilterDatabase" vbProcedure="false">Orders!$A$4:$O$134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<sst xmlns="http://schemas.openxmlformats.org/spreadsheetml/2006/main" count="3976" uniqueCount="978">
  <si>
    <t xml:space="preserve">HOW TO USE THIS FILE</t>
  </si>
  <si>
    <t xml:space="preserve">WEEKLY</t>
  </si>
  <si>
    <t xml:space="preserve">1. Paste the week's sales into Weekly Sales columns A–F (Week ending, Branch CPT/JHB/DBN, Item code, Article, spare, m² sold). Keep adding weeks below each other. Columns H–J fill themselves – never paste over them. Lines marked 'Not on stock sheet' are ignored (transport, cowhides, items with no stock line).</t>
  </si>
  <si>
    <t xml:space="preserve">2. Add any stock moved between branches to Transfers.</t>
  </si>
  <si>
    <t xml:space="preserve">3. New order sent to a supplier: add one line per item on Orders (PO number, order date, supplier, code, due month, branch, m², cost/m²).</t>
  </si>
  <si>
    <t xml:space="preserve">4. Supplier invoice / delivery arrives: add one line per item on Stock Received (date, invoice no., the SAME PO number as on Orders, supplier, code, m², cost/m², branch). It adds to that branch's stock and closes the PO line. Never type received m² on the Orders tab – that column is a formula. A line closes once 90% or more has arrived (change on Settings); over-deliveries close it too.</t>
  </si>
  <si>
    <t xml:space="preserve">5. Change "Stock as at" on the Settings tab to the date of the latest sales, then look at Dashboard → Reorder List, or filter Master Stock on STATUS.</t>
  </si>
  <si>
    <t xml:space="preserve">WHEN A NEW STOCK COUNT COMES IN</t>
  </si>
  <si>
    <t xml:space="preserve">Replace the m² on CPT Count / JHB Count / DBN Count, update the count dates on Settings, and clear Weekly Sales, Transfers and Stock Received.</t>
  </si>
  <si>
    <t xml:space="preserve">HOW THE NUMBERS WORK</t>
  </si>
  <si>
    <t xml:space="preserve">Available (per branch) = count m² + stock received − weekly sales for that branch + transfers in − transfers out.</t>
  </si>
  <si>
    <t xml:space="preserve">Avg selling m²/month = 6-month Sales History ÷ 6. Until that is loaded, it uses the average on the current CPT stock sheet.</t>
  </si>
  <si>
    <t xml:space="preserve">Months of cover = Total available ÷ Avg selling per month.</t>
  </si>
  <si>
    <t xml:space="preserve">STATUS (based on the Buffer column):</t>
  </si>
  <si>
    <t xml:space="preserve">   REORDER / OUT - REORDER  – available + on order is below the buffer.</t>
  </si>
  <si>
    <t xml:space="preserve">   LOW - ON ORDER / OUT - ON ORDER – below buffer now, but orders will cover it.</t>
  </si>
  <si>
    <t xml:space="preserve">   SLOW MOVER – more than 12 months of cover (change on Settings).</t>
  </si>
  <si>
    <t xml:space="preserve">   NO BUFFER SET – put a buffer in Master Stock column T.   END OF RANGE – the ** lines.</t>
  </si>
  <si>
    <t xml:space="preserve">CODES</t>
  </si>
  <si>
    <t xml:space="preserve">JHB has no item codes, so each JHB line is mapped to a code (yellow column on JHB Count). Lines marked "Mapped - please check" need your eye.</t>
  </si>
  <si>
    <t xml:space="preserve">Codes added 9 Oct 2026 for items that had none: Sorrento Oyster SOR012, Diesel Rosewood DIE002, Diesel Olive DIE005, Etosha Baobab ETO006, San Diego Dark Choc SAN009, Texas Tobacco CHE003.</t>
  </si>
  <si>
    <t xml:space="preserve">If the sales system uses a different code for the same leather (e.g. DAY006 vs DAY008), add it to Code Aliases.</t>
  </si>
  <si>
    <t xml:space="preserve">COLOURS: blue text = typed input · black = formula · green = lookup from another tab · yellow fill = please check / fill in.</t>
  </si>
  <si>
    <t xml:space="preserve">AGS Stock Dashboard – leather hides &amp; sides, all branches</t>
  </si>
  <si>
    <t xml:space="preserve">STOCK AVAILABLE (m²)</t>
  </si>
  <si>
    <t xml:space="preserve">ON ORDER (m²)</t>
  </si>
  <si>
    <t xml:space="preserve">LINES BY STATUS</t>
  </si>
  <si>
    <t xml:space="preserve">CPT</t>
  </si>
  <si>
    <t xml:space="preserve">JHB</t>
  </si>
  <si>
    <t xml:space="preserve">DBN</t>
  </si>
  <si>
    <t xml:space="preserve">TOTAL</t>
  </si>
  <si>
    <t xml:space="preserve">Month</t>
  </si>
  <si>
    <t xml:space="preserve">For CPT</t>
  </si>
  <si>
    <t xml:space="preserve">For JHB</t>
  </si>
  <si>
    <t xml:space="preserve">Total</t>
  </si>
  <si>
    <t xml:space="preserve">Status</t>
  </si>
  <si>
    <t xml:space="preserve">Lines</t>
  </si>
  <si>
    <t xml:space="preserve">Hides</t>
  </si>
  <si>
    <t xml:space="preserve">OUT - REORDER</t>
  </si>
  <si>
    <t xml:space="preserve">Sides</t>
  </si>
  <si>
    <t xml:space="preserve">REORDER</t>
  </si>
  <si>
    <t xml:space="preserve">OUT - ON ORDER</t>
  </si>
  <si>
    <t xml:space="preserve">Sold since count</t>
  </si>
  <si>
    <t xml:space="preserve">Later</t>
  </si>
  <si>
    <t xml:space="preserve">LOW - ON ORDER</t>
  </si>
  <si>
    <t xml:space="preserve">OK</t>
  </si>
  <si>
    <t xml:space="preserve">Weekly sales not on stock sheet (m²)</t>
  </si>
  <si>
    <t xml:space="preserve">Value excl VAT</t>
  </si>
  <si>
    <t xml:space="preserve">SLOW MOVER</t>
  </si>
  <si>
    <t xml:space="preserve">NO BUFFER SET</t>
  </si>
  <si>
    <t xml:space="preserve">END OF RANGE</t>
  </si>
  <si>
    <t xml:space="preserve">REORDER LIST – biggest shortfall against buffer first (after counting stock on order)</t>
  </si>
  <si>
    <t xml:space="preserve">#</t>
  </si>
  <si>
    <t xml:space="preserve">Code</t>
  </si>
  <si>
    <t xml:space="preserve">Article</t>
  </si>
  <si>
    <t xml:space="preserve">Type</t>
  </si>
  <si>
    <t xml:space="preserve">Available m²</t>
  </si>
  <si>
    <t xml:space="preserve">On order m²</t>
  </si>
  <si>
    <t xml:space="preserve">Buffer m²</t>
  </si>
  <si>
    <t xml:space="preserve">Avg selling m²/month</t>
  </si>
  <si>
    <t xml:space="preserve">Short of buffer m²</t>
  </si>
  <si>
    <t xml:space="preserve">Months of cover</t>
  </si>
  <si>
    <t xml:space="preserve">AGS Universal Stock Sheet – all branches (leather hides &amp; sides)</t>
  </si>
  <si>
    <t xml:space="preserve">Range</t>
  </si>
  <si>
    <t xml:space="preserve">CPT m²</t>
  </si>
  <si>
    <t xml:space="preserve">JHB m²</t>
  </si>
  <si>
    <t xml:space="preserve">DBN m²</t>
  </si>
  <si>
    <t xml:space="preserve">TOTAL AVAILABLE m²</t>
  </si>
  <si>
    <t xml:space="preserve">Sold since count m²</t>
  </si>
  <si>
    <t xml:space="preserve">On order later</t>
  </si>
  <si>
    <t xml:space="preserve">Total on order m²</t>
  </si>
  <si>
    <t xml:space="preserve">Available + on order</t>
  </si>
  <si>
    <t xml:space="preserve">Avg/month (current sheet)</t>
  </si>
  <si>
    <t xml:space="preserve">Avg source</t>
  </si>
  <si>
    <t xml:space="preserve">STATUS</t>
  </si>
  <si>
    <t xml:space="preserve">Notes</t>
  </si>
  <si>
    <t xml:space="preserve">rank (helper)</t>
  </si>
  <si>
    <t xml:space="preserve">GAZ001</t>
  </si>
  <si>
    <t xml:space="preserve">GAZELLE OXBLOOD</t>
  </si>
  <si>
    <t xml:space="preserve">Hide</t>
  </si>
  <si>
    <t xml:space="preserve">Active</t>
  </si>
  <si>
    <t xml:space="preserve">GAZ010</t>
  </si>
  <si>
    <t xml:space="preserve">GAZELLE MOCCA</t>
  </si>
  <si>
    <t xml:space="preserve">GAZ006</t>
  </si>
  <si>
    <t xml:space="preserve">GAZELLE BLACK</t>
  </si>
  <si>
    <t xml:space="preserve">GAZ007</t>
  </si>
  <si>
    <t xml:space="preserve">GAZELLE RED</t>
  </si>
  <si>
    <t xml:space="preserve">GAZ005</t>
  </si>
  <si>
    <t xml:space="preserve">GAZELLE NAVY</t>
  </si>
  <si>
    <t xml:space="preserve">GAZ008</t>
  </si>
  <si>
    <t xml:space="preserve">GAZELLE WHITE</t>
  </si>
  <si>
    <t xml:space="preserve">GAZ015</t>
  </si>
  <si>
    <t xml:space="preserve">GAZELLE OYSTER</t>
  </si>
  <si>
    <t xml:space="preserve">GAZ012</t>
  </si>
  <si>
    <t xml:space="preserve">GAZELLE GREY</t>
  </si>
  <si>
    <t xml:space="preserve">PRE001</t>
  </si>
  <si>
    <t xml:space="preserve">GAZELLE LATTE</t>
  </si>
  <si>
    <t xml:space="preserve">NAP010</t>
  </si>
  <si>
    <t xml:space="preserve">BALLET NAPPA NUDE (HAN)</t>
  </si>
  <si>
    <t xml:space="preserve">MOR004</t>
  </si>
  <si>
    <t xml:space="preserve">MOROCCO STRAW</t>
  </si>
  <si>
    <t xml:space="preserve">MOR003</t>
  </si>
  <si>
    <t xml:space="preserve">MOROCCO CHOCOLATE</t>
  </si>
  <si>
    <t xml:space="preserve">MOR009</t>
  </si>
  <si>
    <t xml:space="preserve">MOROCCO ANTHRACITE</t>
  </si>
  <si>
    <t xml:space="preserve">MOR010</t>
  </si>
  <si>
    <t xml:space="preserve">MOROCCO RUBY</t>
  </si>
  <si>
    <t xml:space="preserve">SOR001</t>
  </si>
  <si>
    <t xml:space="preserve">SORRENTO BLACK</t>
  </si>
  <si>
    <t xml:space="preserve">SOR012</t>
  </si>
  <si>
    <t xml:space="preserve">SORRENTO OYSTER</t>
  </si>
  <si>
    <t xml:space="preserve">SAN010</t>
  </si>
  <si>
    <t xml:space="preserve">SANTOS ICE WHITE</t>
  </si>
  <si>
    <t xml:space="preserve">SAN006</t>
  </si>
  <si>
    <t xml:space="preserve">SANTOS COTTON WHITE</t>
  </si>
  <si>
    <t xml:space="preserve">SAN017</t>
  </si>
  <si>
    <t xml:space="preserve">SANTOS RED/PAPRIKA</t>
  </si>
  <si>
    <t xml:space="preserve">SAN018</t>
  </si>
  <si>
    <t xml:space="preserve">SANTOS OCHRE/TUMERIC</t>
  </si>
  <si>
    <t xml:space="preserve">SAN019</t>
  </si>
  <si>
    <t xml:space="preserve">SANTOS RUBY/SAFFRON</t>
  </si>
  <si>
    <t xml:space="preserve">SAN012</t>
  </si>
  <si>
    <t xml:space="preserve">SANTOS BLUE/AQUA</t>
  </si>
  <si>
    <t xml:space="preserve">SAN013</t>
  </si>
  <si>
    <t xml:space="preserve">SANTOS GREEN/BASIL</t>
  </si>
  <si>
    <t xml:space="preserve">SAN014</t>
  </si>
  <si>
    <t xml:space="preserve">SANTOS GREY/STEEL</t>
  </si>
  <si>
    <t xml:space="preserve">SAN015</t>
  </si>
  <si>
    <t xml:space="preserve">SANTOS OXBLOOD/COFFEE</t>
  </si>
  <si>
    <t xml:space="preserve">SAN002</t>
  </si>
  <si>
    <t xml:space="preserve">SANTOS BLACK</t>
  </si>
  <si>
    <t xml:space="preserve">SAN011</t>
  </si>
  <si>
    <t xml:space="preserve">SANTOS SPICE/CIGAR</t>
  </si>
  <si>
    <t xml:space="preserve">PUL010</t>
  </si>
  <si>
    <t xml:space="preserve">CLASSIC MUSTARD</t>
  </si>
  <si>
    <t xml:space="preserve">CAS004</t>
  </si>
  <si>
    <t xml:space="preserve">CASTROL GREY</t>
  </si>
  <si>
    <t xml:space="preserve">CAS005</t>
  </si>
  <si>
    <t xml:space="preserve">CASTROL DENIM</t>
  </si>
  <si>
    <t xml:space="preserve">CAS002</t>
  </si>
  <si>
    <t xml:space="preserve">CASTROL BROWN</t>
  </si>
  <si>
    <t xml:space="preserve">CAS001</t>
  </si>
  <si>
    <t xml:space="preserve">CASTROL TOFFEE</t>
  </si>
  <si>
    <t xml:space="preserve">CAS006</t>
  </si>
  <si>
    <t xml:space="preserve">CASTROL TOBACCO</t>
  </si>
  <si>
    <t xml:space="preserve">CAS003</t>
  </si>
  <si>
    <t xml:space="preserve">CASTROL BLACK</t>
  </si>
  <si>
    <t xml:space="preserve">CAS007</t>
  </si>
  <si>
    <t xml:space="preserve">CASTROL COCOA</t>
  </si>
  <si>
    <t xml:space="preserve">NOV003</t>
  </si>
  <si>
    <t xml:space="preserve">NOVA BROWN</t>
  </si>
  <si>
    <t xml:space="preserve">NOV001</t>
  </si>
  <si>
    <t xml:space="preserve">NOVA TOFFEE</t>
  </si>
  <si>
    <t xml:space="preserve">NOV005</t>
  </si>
  <si>
    <t xml:space="preserve">NOVA GREY</t>
  </si>
  <si>
    <t xml:space="preserve">NOV006</t>
  </si>
  <si>
    <t xml:space="preserve">NOVA TOBACCO</t>
  </si>
  <si>
    <t xml:space="preserve">AVI001</t>
  </si>
  <si>
    <t xml:space="preserve">AVIATOR WARRIOR</t>
  </si>
  <si>
    <t xml:space="preserve">COL001</t>
  </si>
  <si>
    <t xml:space="preserve">COLUMBIAN BROWN</t>
  </si>
  <si>
    <t xml:space="preserve">COL002</t>
  </si>
  <si>
    <t xml:space="preserve">COLUMBIAN TAN</t>
  </si>
  <si>
    <t xml:space="preserve">DIE001</t>
  </si>
  <si>
    <t xml:space="preserve">DIESEL BROWN</t>
  </si>
  <si>
    <t xml:space="preserve">DIE011</t>
  </si>
  <si>
    <t xml:space="preserve">DIESEL TOFFEE</t>
  </si>
  <si>
    <t xml:space="preserve">DIE013</t>
  </si>
  <si>
    <t xml:space="preserve">DIESEL DENIM</t>
  </si>
  <si>
    <t xml:space="preserve">DIE018</t>
  </si>
  <si>
    <t xml:space="preserve">DIESEL TOBACCO</t>
  </si>
  <si>
    <t xml:space="preserve">URB010</t>
  </si>
  <si>
    <t xml:space="preserve">URBAN HAZELNUT</t>
  </si>
  <si>
    <t xml:space="preserve">DAY008</t>
  </si>
  <si>
    <t xml:space="preserve">DAYTONA BROWN/TAN</t>
  </si>
  <si>
    <t xml:space="preserve">DAY002</t>
  </si>
  <si>
    <t xml:space="preserve">DAYTONA ESPRESSO</t>
  </si>
  <si>
    <t xml:space="preserve">DAY011</t>
  </si>
  <si>
    <t xml:space="preserve">DAYTONA TOFFEE</t>
  </si>
  <si>
    <t xml:space="preserve">WOO006</t>
  </si>
  <si>
    <t xml:space="preserve">WOODLAND TAN (CRICKET PRINT)</t>
  </si>
  <si>
    <t xml:space="preserve">End of range</t>
  </si>
  <si>
    <t xml:space="preserve">WOO024</t>
  </si>
  <si>
    <t xml:space="preserve">WOODLAND GRAPHITE (CRICKET PRINT)</t>
  </si>
  <si>
    <t xml:space="preserve">WOO022</t>
  </si>
  <si>
    <t xml:space="preserve">WOODLAND SPICE (CRICKET PRINT)</t>
  </si>
  <si>
    <t xml:space="preserve">NAV004</t>
  </si>
  <si>
    <t xml:space="preserve">NAVADA BLACK</t>
  </si>
  <si>
    <t xml:space="preserve">NAV005</t>
  </si>
  <si>
    <t xml:space="preserve">NAVADA TAN</t>
  </si>
  <si>
    <t xml:space="preserve">NAV006</t>
  </si>
  <si>
    <t xml:space="preserve">NAVADA BROWN</t>
  </si>
  <si>
    <t xml:space="preserve">NAV001</t>
  </si>
  <si>
    <t xml:space="preserve">NAVADA CERISE/PINK</t>
  </si>
  <si>
    <t xml:space="preserve">ETO004</t>
  </si>
  <si>
    <t xml:space="preserve">ETOSHA DARK ANTHRACITE</t>
  </si>
  <si>
    <t xml:space="preserve">ETO002</t>
  </si>
  <si>
    <t xml:space="preserve">ETOSHA PECAN</t>
  </si>
  <si>
    <t xml:space="preserve">ETO003</t>
  </si>
  <si>
    <t xml:space="preserve">ETOSHA CHESTNUT</t>
  </si>
  <si>
    <t xml:space="preserve">ETO001</t>
  </si>
  <si>
    <t xml:space="preserve">ETOSHA RUST</t>
  </si>
  <si>
    <t xml:space="preserve">ETO007</t>
  </si>
  <si>
    <t xml:space="preserve">ETOSHA EMERALD</t>
  </si>
  <si>
    <t xml:space="preserve">ETO008</t>
  </si>
  <si>
    <t xml:space="preserve">ETOSHA CIGAR</t>
  </si>
  <si>
    <t xml:space="preserve">VIN001</t>
  </si>
  <si>
    <t xml:space="preserve">VINTAGE PECAN</t>
  </si>
  <si>
    <t xml:space="preserve">VIN003</t>
  </si>
  <si>
    <t xml:space="preserve">VINTAGE BLACK</t>
  </si>
  <si>
    <t xml:space="preserve">IMP004</t>
  </si>
  <si>
    <t xml:space="preserve">IMPALA BLACK</t>
  </si>
  <si>
    <t xml:space="preserve">IMP005</t>
  </si>
  <si>
    <t xml:space="preserve">IMPALA OXBLOOD</t>
  </si>
  <si>
    <t xml:space="preserve">BWO001</t>
  </si>
  <si>
    <t xml:space="preserve">FORRESTER SPICE (PRINT)</t>
  </si>
  <si>
    <t xml:space="preserve">BWO007</t>
  </si>
  <si>
    <t xml:space="preserve">WOODLAND PRINT WHISKEY</t>
  </si>
  <si>
    <t xml:space="preserve">BWO002</t>
  </si>
  <si>
    <t xml:space="preserve">FORRESTER TAN</t>
  </si>
  <si>
    <t xml:space="preserve">BWO003</t>
  </si>
  <si>
    <t xml:space="preserve">FORRETER BROWN</t>
  </si>
  <si>
    <t xml:space="preserve">BWO004</t>
  </si>
  <si>
    <t xml:space="preserve">FORRESTER CHARCOAL</t>
  </si>
  <si>
    <t xml:space="preserve">BWO005</t>
  </si>
  <si>
    <t xml:space="preserve">FORRESTER TAUPE B</t>
  </si>
  <si>
    <t xml:space="preserve">BWO006</t>
  </si>
  <si>
    <t xml:space="preserve">FORRESTER GRAPHITE</t>
  </si>
  <si>
    <t xml:space="preserve">WLS001</t>
  </si>
  <si>
    <t xml:space="preserve">WOODLAND CHOC (BROWN JHB)</t>
  </si>
  <si>
    <t xml:space="preserve">WLS002</t>
  </si>
  <si>
    <t xml:space="preserve">WOODLAND WHISKEY (TAN JHB)</t>
  </si>
  <si>
    <t xml:space="preserve">WLS003</t>
  </si>
  <si>
    <t xml:space="preserve">WOODLAND NERO (CHARCOAL JHB)</t>
  </si>
  <si>
    <t xml:space="preserve">CAP003</t>
  </si>
  <si>
    <t xml:space="preserve">CAPE BUFFALO BUTTERSCOTCH</t>
  </si>
  <si>
    <t xml:space="preserve">CAP002</t>
  </si>
  <si>
    <t xml:space="preserve">CAPE BUFFALO COPPER</t>
  </si>
  <si>
    <t xml:space="preserve">CAP009</t>
  </si>
  <si>
    <t xml:space="preserve">CAPE BUFFALO RUST</t>
  </si>
  <si>
    <t xml:space="preserve">CAP004</t>
  </si>
  <si>
    <t xml:space="preserve">CAPE BUFFALO BAOBAB</t>
  </si>
  <si>
    <t xml:space="preserve">CAP001</t>
  </si>
  <si>
    <t xml:space="preserve">CAPRIVI SADDLE</t>
  </si>
  <si>
    <t xml:space="preserve">CAP012</t>
  </si>
  <si>
    <t xml:space="preserve">CAPRIVI BRANDY</t>
  </si>
  <si>
    <t xml:space="preserve">ANT002</t>
  </si>
  <si>
    <t xml:space="preserve">ANTIQUE BLACK</t>
  </si>
  <si>
    <t xml:space="preserve">ANT003</t>
  </si>
  <si>
    <t xml:space="preserve">ANTIQUE CHOC</t>
  </si>
  <si>
    <t xml:space="preserve">ANT004</t>
  </si>
  <si>
    <t xml:space="preserve">ANTIQUE TOBACCO</t>
  </si>
  <si>
    <t xml:space="preserve">OXF005</t>
  </si>
  <si>
    <t xml:space="preserve">OXFORD GOLD</t>
  </si>
  <si>
    <t xml:space="preserve">MOU001</t>
  </si>
  <si>
    <t xml:space="preserve">MOUNTAIN DARK BROWN</t>
  </si>
  <si>
    <t xml:space="preserve">MOU002</t>
  </si>
  <si>
    <t xml:space="preserve">MOUNTAIN LIGHT BROWN</t>
  </si>
  <si>
    <t xml:space="preserve">AMA001</t>
  </si>
  <si>
    <t xml:space="preserve">AMANI CANYON</t>
  </si>
  <si>
    <t xml:space="preserve">AMA002</t>
  </si>
  <si>
    <t xml:space="preserve">AMANI CARAMEL</t>
  </si>
  <si>
    <t xml:space="preserve">AMA003</t>
  </si>
  <si>
    <t xml:space="preserve">AMANI REDWOOD</t>
  </si>
  <si>
    <t xml:space="preserve">AMA004</t>
  </si>
  <si>
    <t xml:space="preserve">AMANI BORDEAUX</t>
  </si>
  <si>
    <t xml:space="preserve">AMA005</t>
  </si>
  <si>
    <t xml:space="preserve">AMANI JUNIPER</t>
  </si>
  <si>
    <t xml:space="preserve">PUL006</t>
  </si>
  <si>
    <t xml:space="preserve">CLASSIC WHISKEY</t>
  </si>
  <si>
    <t xml:space="preserve">NOV004</t>
  </si>
  <si>
    <t xml:space="preserve">NOVA DENIM</t>
  </si>
  <si>
    <t xml:space="preserve">NOV002</t>
  </si>
  <si>
    <t xml:space="preserve">NOVA BLACK</t>
  </si>
  <si>
    <t xml:space="preserve">DIE004</t>
  </si>
  <si>
    <t xml:space="preserve">DIESEL BLACK</t>
  </si>
  <si>
    <t xml:space="preserve">MOR006</t>
  </si>
  <si>
    <t xml:space="preserve">MOROCCO PUTTY</t>
  </si>
  <si>
    <t xml:space="preserve">NAV002</t>
  </si>
  <si>
    <t xml:space="preserve">NAVADA LILAC/PURPLE</t>
  </si>
  <si>
    <t xml:space="preserve">MET002</t>
  </si>
  <si>
    <t xml:space="preserve">METALLIC SILVER</t>
  </si>
  <si>
    <t xml:space="preserve">MET001</t>
  </si>
  <si>
    <t xml:space="preserve">METALLIC GOLD</t>
  </si>
  <si>
    <t xml:space="preserve">MET004</t>
  </si>
  <si>
    <t xml:space="preserve">METALLIC CHAMPAGNE</t>
  </si>
  <si>
    <t xml:space="preserve">MET005</t>
  </si>
  <si>
    <t xml:space="preserve">METALLIC PEWTER</t>
  </si>
  <si>
    <t xml:space="preserve">MET003</t>
  </si>
  <si>
    <t xml:space="preserve">METALLIC ROSE GOLD</t>
  </si>
  <si>
    <t xml:space="preserve">DIE012</t>
  </si>
  <si>
    <t xml:space="preserve">DIESEL GREY</t>
  </si>
  <si>
    <t xml:space="preserve">SOR002</t>
  </si>
  <si>
    <t xml:space="preserve">SORRENTO GREY</t>
  </si>
  <si>
    <t xml:space="preserve">JHB </t>
  </si>
  <si>
    <t xml:space="preserve">Not on CPT stock sheet - added from JHB/DBN count</t>
  </si>
  <si>
    <t xml:space="preserve">SOR003</t>
  </si>
  <si>
    <t xml:space="preserve">SORRENTO LATTE</t>
  </si>
  <si>
    <t xml:space="preserve">SOR004</t>
  </si>
  <si>
    <t xml:space="preserve">SORRENTO MID GREY</t>
  </si>
  <si>
    <t xml:space="preserve">SOR005</t>
  </si>
  <si>
    <t xml:space="preserve">SORRENTO STEEL</t>
  </si>
  <si>
    <t xml:space="preserve">SOR006</t>
  </si>
  <si>
    <t xml:space="preserve">SORRENTO COTTON WHITE</t>
  </si>
  <si>
    <t xml:space="preserve">SOR007</t>
  </si>
  <si>
    <t xml:space="preserve">SORRENTO BASIL</t>
  </si>
  <si>
    <t xml:space="preserve">SOR008</t>
  </si>
  <si>
    <t xml:space="preserve">SORRENTO CARAMEL</t>
  </si>
  <si>
    <t xml:space="preserve">SOR009</t>
  </si>
  <si>
    <t xml:space="preserve">SORRENTO SAFFRON</t>
  </si>
  <si>
    <t xml:space="preserve">SOR010</t>
  </si>
  <si>
    <t xml:space="preserve">SORRENTO AQUA</t>
  </si>
  <si>
    <t xml:space="preserve">SOR011</t>
  </si>
  <si>
    <t xml:space="preserve">SORRENTO COFFEE</t>
  </si>
  <si>
    <t xml:space="preserve">WOO001</t>
  </si>
  <si>
    <t xml:space="preserve">WOODLAND BROWN (CRICKET PRINT)</t>
  </si>
  <si>
    <t xml:space="preserve">WOO013</t>
  </si>
  <si>
    <t xml:space="preserve">WOODLAND CHARCOAL (CRICKET PRINT)</t>
  </si>
  <si>
    <t xml:space="preserve">DIE002</t>
  </si>
  <si>
    <t xml:space="preserve">DIESEL ROSEWOOD</t>
  </si>
  <si>
    <t xml:space="preserve">Export</t>
  </si>
  <si>
    <t xml:space="preserve">DIE005</t>
  </si>
  <si>
    <t xml:space="preserve">DIESEL OLIVE</t>
  </si>
  <si>
    <t xml:space="preserve">ETO006</t>
  </si>
  <si>
    <t xml:space="preserve">ETOSHA BAOBAB</t>
  </si>
  <si>
    <t xml:space="preserve">NAV003</t>
  </si>
  <si>
    <t xml:space="preserve">NAVADA AMAZON</t>
  </si>
  <si>
    <t xml:space="preserve">DAY007</t>
  </si>
  <si>
    <t xml:space="preserve">DAYTONA BLACK</t>
  </si>
  <si>
    <t xml:space="preserve">TUS001</t>
  </si>
  <si>
    <t xml:space="preserve">BARCELONA AMBER</t>
  </si>
  <si>
    <t xml:space="preserve">Side</t>
  </si>
  <si>
    <t xml:space="preserve">TUS004</t>
  </si>
  <si>
    <t xml:space="preserve">BARCELONA BLACK</t>
  </si>
  <si>
    <t xml:space="preserve">TUS003</t>
  </si>
  <si>
    <t xml:space="preserve">BARCELONA BROWN</t>
  </si>
  <si>
    <t xml:space="preserve">TUS010</t>
  </si>
  <si>
    <t xml:space="preserve">BARCELONA NAVY</t>
  </si>
  <si>
    <t xml:space="preserve">TUS006</t>
  </si>
  <si>
    <t xml:space="preserve">BARCELONA OLIVE</t>
  </si>
  <si>
    <t xml:space="preserve">Keep eye on stock - LM order mid Nov 200m2 </t>
  </si>
  <si>
    <t xml:space="preserve">TUS009</t>
  </si>
  <si>
    <t xml:space="preserve">BARCELONA RUBY</t>
  </si>
  <si>
    <t xml:space="preserve">** Pack needs to be redone at Fusion – awaiting feedback</t>
  </si>
  <si>
    <t xml:space="preserve">TUS002</t>
  </si>
  <si>
    <t xml:space="preserve">BARCELONA TAN</t>
  </si>
  <si>
    <t xml:space="preserve">TUS007</t>
  </si>
  <si>
    <t xml:space="preserve">BARCELONA TOFFEE</t>
  </si>
  <si>
    <t xml:space="preserve">CRU003</t>
  </si>
  <si>
    <t xml:space="preserve">BEIGE LINING</t>
  </si>
  <si>
    <t xml:space="preserve">CHI003</t>
  </si>
  <si>
    <t xml:space="preserve">CHICAGO ROSE</t>
  </si>
  <si>
    <t xml:space="preserve">CHI002</t>
  </si>
  <si>
    <t xml:space="preserve">CHICAGO TAN</t>
  </si>
  <si>
    <t xml:space="preserve">CHI001</t>
  </si>
  <si>
    <t xml:space="preserve">CHICAGO GREEN</t>
  </si>
  <si>
    <t xml:space="preserve">COS005</t>
  </si>
  <si>
    <t xml:space="preserve">COSMO CHOC</t>
  </si>
  <si>
    <t xml:space="preserve">Keep eye on stock </t>
  </si>
  <si>
    <t xml:space="preserve">COS004</t>
  </si>
  <si>
    <t xml:space="preserve">COSMO CINNAMON</t>
  </si>
  <si>
    <t xml:space="preserve">Priorities </t>
  </si>
  <si>
    <t xml:space="preserve">COS002</t>
  </si>
  <si>
    <t xml:space="preserve">COSMO DUSTY PINK</t>
  </si>
  <si>
    <t xml:space="preserve">COS003</t>
  </si>
  <si>
    <t xml:space="preserve">COSMO SAGE GREEN</t>
  </si>
  <si>
    <t xml:space="preserve">JHB - 5 bundles in stock </t>
  </si>
  <si>
    <t xml:space="preserve">COS006</t>
  </si>
  <si>
    <t xml:space="preserve">COSMO TIFFANY</t>
  </si>
  <si>
    <t xml:space="preserve">ECO006</t>
  </si>
  <si>
    <t xml:space="preserve">ECO RUST/BOURBON</t>
  </si>
  <si>
    <t xml:space="preserve">ECO008</t>
  </si>
  <si>
    <t xml:space="preserve">ECO TAN</t>
  </si>
  <si>
    <t xml:space="preserve">ECO007</t>
  </si>
  <si>
    <t xml:space="preserve">ECO TOFFEE</t>
  </si>
  <si>
    <t xml:space="preserve">Please prioritise the Nov order</t>
  </si>
  <si>
    <t xml:space="preserve">HAV001</t>
  </si>
  <si>
    <t xml:space="preserve">HAVANA PLUS WALNUT</t>
  </si>
  <si>
    <t xml:space="preserve">HAV004</t>
  </si>
  <si>
    <t xml:space="preserve">HAVANNA PLUS PLUS BIANCA</t>
  </si>
  <si>
    <t xml:space="preserve">HAV002</t>
  </si>
  <si>
    <t xml:space="preserve">HAVANA PLUS RUST</t>
  </si>
  <si>
    <t xml:space="preserve">HAV003</t>
  </si>
  <si>
    <t xml:space="preserve">HAVANA TOFFEE</t>
  </si>
  <si>
    <t xml:space="preserve">APA001</t>
  </si>
  <si>
    <t xml:space="preserve">APACHE WALNUT</t>
  </si>
  <si>
    <t xml:space="preserve">PIT001</t>
  </si>
  <si>
    <t xml:space="preserve">PITSTOP CIGAR</t>
  </si>
  <si>
    <t xml:space="preserve">ROS004</t>
  </si>
  <si>
    <t xml:space="preserve">ROSY NAPPA BLUSH</t>
  </si>
  <si>
    <t xml:space="preserve">ROS002</t>
  </si>
  <si>
    <t xml:space="preserve">ROSY NAPPY BLACK</t>
  </si>
  <si>
    <t xml:space="preserve">SZ006</t>
  </si>
  <si>
    <t xml:space="preserve">SANCHEZ NAVY</t>
  </si>
  <si>
    <t xml:space="preserve">SZ007</t>
  </si>
  <si>
    <t xml:space="preserve">SANCHEZ TAN</t>
  </si>
  <si>
    <t xml:space="preserve">SZ003</t>
  </si>
  <si>
    <t xml:space="preserve">SANCHEZ BROWN</t>
  </si>
  <si>
    <t xml:space="preserve">SAL008</t>
  </si>
  <si>
    <t xml:space="preserve">SALVADOR BLACK</t>
  </si>
  <si>
    <t xml:space="preserve">SAL007</t>
  </si>
  <si>
    <t xml:space="preserve">SALVADOR DARK CHOC</t>
  </si>
  <si>
    <t xml:space="preserve">SHE005</t>
  </si>
  <si>
    <t xml:space="preserve">SHERTON FUDGE/TOFFEE</t>
  </si>
  <si>
    <t xml:space="preserve">To order for Jan'27</t>
  </si>
  <si>
    <t xml:space="preserve">COW002</t>
  </si>
  <si>
    <t xml:space="preserve">SUEDE BLACK</t>
  </si>
  <si>
    <t xml:space="preserve">COW001</t>
  </si>
  <si>
    <t xml:space="preserve">SUEDE CHOC</t>
  </si>
  <si>
    <t xml:space="preserve">COW004</t>
  </si>
  <si>
    <t xml:space="preserve">SUEDE PEARL NATURAL</t>
  </si>
  <si>
    <t xml:space="preserve">COW003</t>
  </si>
  <si>
    <t xml:space="preserve">SUEDE STONE</t>
  </si>
  <si>
    <t xml:space="preserve">TEX005</t>
  </si>
  <si>
    <t xml:space="preserve">TEXAS BLACK</t>
  </si>
  <si>
    <t xml:space="preserve">CHE005</t>
  </si>
  <si>
    <t xml:space="preserve">TEXAS BLUE</t>
  </si>
  <si>
    <t xml:space="preserve">TEX008</t>
  </si>
  <si>
    <t xml:space="preserve">TEXAS CHOC</t>
  </si>
  <si>
    <t xml:space="preserve">TEX022</t>
  </si>
  <si>
    <t xml:space="preserve">TEXAS CORAL</t>
  </si>
  <si>
    <t xml:space="preserve">TEX031</t>
  </si>
  <si>
    <t xml:space="preserve">TEXAS COBALT</t>
  </si>
  <si>
    <t xml:space="preserve">TEX004</t>
  </si>
  <si>
    <t xml:space="preserve">TEXAS HAZELNUT</t>
  </si>
  <si>
    <t xml:space="preserve">TEX018</t>
  </si>
  <si>
    <t xml:space="preserve">TEXAS MOSS</t>
  </si>
  <si>
    <t xml:space="preserve">TEX016</t>
  </si>
  <si>
    <t xml:space="preserve">TEXAS NAVY</t>
  </si>
  <si>
    <t xml:space="preserve">TEX020</t>
  </si>
  <si>
    <t xml:space="preserve">TEXAS OCHRE</t>
  </si>
  <si>
    <t xml:space="preserve">TEX012</t>
  </si>
  <si>
    <t xml:space="preserve">TEXAS PLUS BLACK</t>
  </si>
  <si>
    <t xml:space="preserve">TEX007</t>
  </si>
  <si>
    <t xml:space="preserve">TEXAS TAN</t>
  </si>
  <si>
    <t xml:space="preserve">TEX030</t>
  </si>
  <si>
    <t xml:space="preserve">TEXAS TOFFEE</t>
  </si>
  <si>
    <t xml:space="preserve">TEX029</t>
  </si>
  <si>
    <t xml:space="preserve">TEXAS VIOLET</t>
  </si>
  <si>
    <t xml:space="preserve">TEX028</t>
  </si>
  <si>
    <t xml:space="preserve">TEXAS LIME</t>
  </si>
  <si>
    <t xml:space="preserve">TEX027</t>
  </si>
  <si>
    <t xml:space="preserve">TEXAS CAPRI</t>
  </si>
  <si>
    <t xml:space="preserve">TEX032</t>
  </si>
  <si>
    <t xml:space="preserve">TEXAS BRIGHT RED</t>
  </si>
  <si>
    <t xml:space="preserve">CHE002</t>
  </si>
  <si>
    <t xml:space="preserve">TEXAS RED</t>
  </si>
  <si>
    <t xml:space="preserve">Discontinue - going with bright red</t>
  </si>
  <si>
    <t xml:space="preserve">VEG006</t>
  </si>
  <si>
    <t xml:space="preserve">VEG SIDES NATURAL 2.0/2.2MM</t>
  </si>
  <si>
    <t xml:space="preserve">CAN031</t>
  </si>
  <si>
    <t xml:space="preserve">CANDOR LEMON DROP</t>
  </si>
  <si>
    <t xml:space="preserve">VEG017</t>
  </si>
  <si>
    <t xml:space="preserve">VEG BELTING SIDES 3.2/3.4MM</t>
  </si>
  <si>
    <t xml:space="preserve">VEG018</t>
  </si>
  <si>
    <t xml:space="preserve">VEG BELTING CULLATTAS 3.2/3.4MM</t>
  </si>
  <si>
    <t xml:space="preserve">NUB003</t>
  </si>
  <si>
    <t xml:space="preserve">NUBUCK ROSETTE</t>
  </si>
  <si>
    <t xml:space="preserve">NUB008</t>
  </si>
  <si>
    <t xml:space="preserve">NUBUCK CANTON</t>
  </si>
  <si>
    <t xml:space="preserve">NUB002</t>
  </si>
  <si>
    <t xml:space="preserve">NUBUCK DUST ORCHID (LS)</t>
  </si>
  <si>
    <t xml:space="preserve">NUB007</t>
  </si>
  <si>
    <t xml:space="preserve">NUBUCK OATMEAL</t>
  </si>
  <si>
    <t xml:space="preserve">NUB006</t>
  </si>
  <si>
    <t xml:space="preserve">NUBUCK LAVENDER FROST</t>
  </si>
  <si>
    <t xml:space="preserve">NUB004</t>
  </si>
  <si>
    <t xml:space="preserve">NUBUCK BALLAD BLUE</t>
  </si>
  <si>
    <t xml:space="preserve">DAL009</t>
  </si>
  <si>
    <t xml:space="preserve">DALLAS OLIVE</t>
  </si>
  <si>
    <t xml:space="preserve">ROS001</t>
  </si>
  <si>
    <t xml:space="preserve">ROSY NAPPA GREY</t>
  </si>
  <si>
    <t xml:space="preserve">SHE001</t>
  </si>
  <si>
    <t xml:space="preserve">SHERATON BLACK</t>
  </si>
  <si>
    <t xml:space="preserve">SHE020</t>
  </si>
  <si>
    <t xml:space="preserve">SHERATON BROWN</t>
  </si>
  <si>
    <t xml:space="preserve">SHE021</t>
  </si>
  <si>
    <t xml:space="preserve">SHERATON STORM</t>
  </si>
  <si>
    <t xml:space="preserve">ECO005</t>
  </si>
  <si>
    <t xml:space="preserve">ECO NATURAL/BISCUIT</t>
  </si>
  <si>
    <t xml:space="preserve">NAP011</t>
  </si>
  <si>
    <t xml:space="preserve">BALLET NAPPA LIGHT PINK</t>
  </si>
  <si>
    <t xml:space="preserve">COS001</t>
  </si>
  <si>
    <t xml:space="preserve">COSMO MID BLUE</t>
  </si>
  <si>
    <t xml:space="preserve">HOU001</t>
  </si>
  <si>
    <t xml:space="preserve">HOUSTON MOCCA</t>
  </si>
  <si>
    <t xml:space="preserve">SAN009</t>
  </si>
  <si>
    <t xml:space="preserve">SAN DIEGO DARK CHOC</t>
  </si>
  <si>
    <t xml:space="preserve">TEX001</t>
  </si>
  <si>
    <t xml:space="preserve">TEXAS GREY</t>
  </si>
  <si>
    <t xml:space="preserve">TEX021</t>
  </si>
  <si>
    <t xml:space="preserve">TEXAS PLUM</t>
  </si>
  <si>
    <t xml:space="preserve">TEX023</t>
  </si>
  <si>
    <t xml:space="preserve">TEXAS INDIGO</t>
  </si>
  <si>
    <t xml:space="preserve">CHE003</t>
  </si>
  <si>
    <t xml:space="preserve">TEXAS TOBACCO</t>
  </si>
  <si>
    <t xml:space="preserve">TOTALS</t>
  </si>
  <si>
    <t xml:space="preserve">Notes: Avg/month (current sheet) = "AGS Selling"/"Average Selling" column on the CPT stock sheet, used until 6 months of Sales History are loaded. Status uses the Buffer column: REORDER = available + on order is below buffer.</t>
  </si>
  <si>
    <t xml:space="preserve">CPT Count – m² on hand</t>
  </si>
  <si>
    <t xml:space="preserve">Source: AGS Stock Sheet 8 October 2026, Hides tab (TOTAL M2) and Sides tab (STOCK). Already net of JHB transfers and sales on that sheet.</t>
  </si>
  <si>
    <t xml:space="preserve">m² on hand</t>
  </si>
  <si>
    <t xml:space="preserve">JHB Count – 30 September 2026</t>
  </si>
  <si>
    <t xml:space="preserve">Source: AGS JHB 30 September count (HIDES STOCK &amp; SIDES STOCK). Correct the yellow Master code column where the mapping is wrong.</t>
  </si>
  <si>
    <t xml:space="preserve">JHB article (as on count sheet)</t>
  </si>
  <si>
    <t xml:space="preserve">Bundles</t>
  </si>
  <si>
    <t xml:space="preserve">Hides / Sides</t>
  </si>
  <si>
    <t xml:space="preserve">m²</t>
  </si>
  <si>
    <t xml:space="preserve">Master code</t>
  </si>
  <si>
    <t xml:space="preserve">Match</t>
  </si>
  <si>
    <t xml:space="preserve">Note</t>
  </si>
  <si>
    <t xml:space="preserve">Exact name match</t>
  </si>
  <si>
    <t xml:space="preserve">SANTOS PAPRIKA</t>
  </si>
  <si>
    <t xml:space="preserve">Mapped - please check</t>
  </si>
  <si>
    <t xml:space="preserve">SANTOS TUMERIC</t>
  </si>
  <si>
    <t xml:space="preserve">SANTOS SPICE</t>
  </si>
  <si>
    <t xml:space="preserve">Code supplied by you</t>
  </si>
  <si>
    <t xml:space="preserve">Please confirm: JHB sheet showed 892 m2 but 69 bundles + 3 hides = 1,392 m2</t>
  </si>
  <si>
    <t xml:space="preserve">NB: JHB sheet showed 80 m2 but 7 bundles + 3 hides = 152 m2</t>
  </si>
  <si>
    <t xml:space="preserve">DAYTONA TAN</t>
  </si>
  <si>
    <t xml:space="preserve">Check: is JHB Daytona Tan the same as DAY008 Daytona Brown/Tan? (Durban uses DAY006 for Daytona Tan)</t>
  </si>
  <si>
    <t xml:space="preserve">WOODLAND TAN A (cricket print)</t>
  </si>
  <si>
    <t xml:space="preserve">WOODLAND BROWN A (cricket print)</t>
  </si>
  <si>
    <t xml:space="preserve">WOODLAND GRAPHITE A (cricket print)</t>
  </si>
  <si>
    <t xml:space="preserve">WOODLAND SPICE A (cricket print)</t>
  </si>
  <si>
    <t xml:space="preserve">WOODLAND CHARCOAL A (cricket print)</t>
  </si>
  <si>
    <t xml:space="preserve">NAVADA CERISE</t>
  </si>
  <si>
    <t xml:space="preserve">ETOSHA ANTHRACITE</t>
  </si>
  <si>
    <t xml:space="preserve">CPT calls ETO004 Etosha Dark Anthracite</t>
  </si>
  <si>
    <t xml:space="preserve">WOODLAND SPICE B (cricket print)</t>
  </si>
  <si>
    <t xml:space="preserve">WOODLAND TAN B  (cricket print)</t>
  </si>
  <si>
    <t xml:space="preserve">WOODLAND CHARCOAL B (cricket print)</t>
  </si>
  <si>
    <t xml:space="preserve">WOODLAND TAUPE B  (cricket print)</t>
  </si>
  <si>
    <t xml:space="preserve">WOODLAND GRAPHITE B (cricket print)</t>
  </si>
  <si>
    <t xml:space="preserve">WOODLAND BROWN B (no cricket print) JHB</t>
  </si>
  <si>
    <t xml:space="preserve">WOODLAND TAN B (no cricket print) JHB</t>
  </si>
  <si>
    <t xml:space="preserve">WOODLAND CHARCOAL B (no cricket print) JHB</t>
  </si>
  <si>
    <t xml:space="preserve">WOODLAND WHISKEY B (cricket print milled)</t>
  </si>
  <si>
    <t xml:space="preserve">CLASSIC WHISKEY **</t>
  </si>
  <si>
    <t xml:space="preserve">NOVA DENIM**</t>
  </si>
  <si>
    <t xml:space="preserve">NOVA BLACK **</t>
  </si>
  <si>
    <t xml:space="preserve">DIESEL BLACK**</t>
  </si>
  <si>
    <t xml:space="preserve">MOROCCO PUTTY**</t>
  </si>
  <si>
    <t xml:space="preserve">NAVADA TAN**</t>
  </si>
  <si>
    <t xml:space="preserve">NAVADA LILAC **</t>
  </si>
  <si>
    <t xml:space="preserve">NAVADA AMAZON**</t>
  </si>
  <si>
    <t xml:space="preserve">METALLIC SILVER**</t>
  </si>
  <si>
    <t xml:space="preserve">METALLIC GOLD**</t>
  </si>
  <si>
    <t xml:space="preserve">METALLIC CHAMPAGNE**</t>
  </si>
  <si>
    <t xml:space="preserve">METALLIC PEWTER**</t>
  </si>
  <si>
    <t xml:space="preserve">METALLIC ROSE GOLD**</t>
  </si>
  <si>
    <t xml:space="preserve">CAPE BUFFALO COPPER**</t>
  </si>
  <si>
    <t xml:space="preserve">CAPE BUFFALO BUTTERSCOTCH**</t>
  </si>
  <si>
    <t xml:space="preserve">CAPE BUFFALO RUST**</t>
  </si>
  <si>
    <t xml:space="preserve">CAPE BUFFALO BAOBAB**</t>
  </si>
  <si>
    <t xml:space="preserve">MOROCCO EMERALD**</t>
  </si>
  <si>
    <t xml:space="preserve">Morocco Emerald = Etosha Emerald (your alias)</t>
  </si>
  <si>
    <t xml:space="preserve">DIESEL GREY**</t>
  </si>
  <si>
    <t xml:space="preserve">DAYTONA BLACK**</t>
  </si>
  <si>
    <t xml:space="preserve">HAVANA PLUS TOFFEE</t>
  </si>
  <si>
    <t xml:space="preserve">CPT calls HAV003 Havana Toffee</t>
  </si>
  <si>
    <t xml:space="preserve">ROSY NAPPA BLACK</t>
  </si>
  <si>
    <t xml:space="preserve">SANCHEZ CHOC</t>
  </si>
  <si>
    <t xml:space="preserve">CPT calls SZ003 Sanchez Brown</t>
  </si>
  <si>
    <t xml:space="preserve">SHERATON FUDGE</t>
  </si>
  <si>
    <t xml:space="preserve">TEXAS SKY BLUE</t>
  </si>
  <si>
    <t xml:space="preserve">VEG SIDES NATURAL 2.2</t>
  </si>
  <si>
    <t xml:space="preserve">NUBUCK DUST ORCHID</t>
  </si>
  <si>
    <t xml:space="preserve">TEXAS GREY**</t>
  </si>
  <si>
    <t xml:space="preserve">TEXAS TOBACCO**</t>
  </si>
  <si>
    <t xml:space="preserve">TEXAS PLUM **</t>
  </si>
  <si>
    <t xml:space="preserve">TEXAS INDIGO**</t>
  </si>
  <si>
    <t xml:space="preserve">SHERATON BLACK**</t>
  </si>
  <si>
    <t xml:space="preserve">SHERATON BROWN**</t>
  </si>
  <si>
    <t xml:space="preserve">SHERATON STORM**</t>
  </si>
  <si>
    <t xml:space="preserve">DBN Count – September 2026</t>
  </si>
  <si>
    <t xml:space="preserve">Source: AGS Durban Stock September 2026, Stock Balance tab (STOCK TAKE COUNTED M2). Leather hides &amp; sides only.</t>
  </si>
  <si>
    <t xml:space="preserve">DBN code</t>
  </si>
  <si>
    <t xml:space="preserve">Description</t>
  </si>
  <si>
    <t xml:space="preserve">Counted hides/sides</t>
  </si>
  <si>
    <t xml:space="preserve">Counted m²</t>
  </si>
  <si>
    <t xml:space="preserve">CHESTER TOBACCO</t>
  </si>
  <si>
    <t xml:space="preserve">COW SUEDE CHOC</t>
  </si>
  <si>
    <t xml:space="preserve">COW SUEDE BLACK</t>
  </si>
  <si>
    <t xml:space="preserve">COW SUEDE STONE</t>
  </si>
  <si>
    <t xml:space="preserve">DAY006</t>
  </si>
  <si>
    <t xml:space="preserve">Check: Durban Daytona Tan mapped to DAY008 Daytona Brown/Tan</t>
  </si>
  <si>
    <t xml:space="preserve">ECO RUST</t>
  </si>
  <si>
    <t xml:space="preserve">EOC TAN</t>
  </si>
  <si>
    <t xml:space="preserve">HAVANA WALNUT</t>
  </si>
  <si>
    <t xml:space="preserve">MOR011</t>
  </si>
  <si>
    <t xml:space="preserve">MOROCCO EMERALD</t>
  </si>
  <si>
    <t xml:space="preserve">BALLET NAPPA NUDE</t>
  </si>
  <si>
    <t xml:space="preserve">PULL - UP CLASSIC</t>
  </si>
  <si>
    <t xml:space="preserve">SANTOS AQUA</t>
  </si>
  <si>
    <t xml:space="preserve">SANTOS BASIL</t>
  </si>
  <si>
    <t xml:space="preserve">SANTOS STEEL</t>
  </si>
  <si>
    <t xml:space="preserve">SANTOS COFFEE</t>
  </si>
  <si>
    <t xml:space="preserve">SAN016</t>
  </si>
  <si>
    <t xml:space="preserve">SANTOS BLACK / LIQUORICE</t>
  </si>
  <si>
    <t xml:space="preserve">Check: Santos Black/Liquorice mapped to SAN002 Santos Black</t>
  </si>
  <si>
    <t xml:space="preserve">SANTOS SAFFRON</t>
  </si>
  <si>
    <t xml:space="preserve">SHERATON TOFFEE / FUDGE</t>
  </si>
  <si>
    <t xml:space="preserve">VEG NATURAL SIDES 2.0/2.2mm</t>
  </si>
  <si>
    <t xml:space="preserve">WOODLAND BROWN</t>
  </si>
  <si>
    <t xml:space="preserve">WOODLAND TAN</t>
  </si>
  <si>
    <t xml:space="preserve">WOODLAND CHARCOAL</t>
  </si>
  <si>
    <t xml:space="preserve">WOODLAND SPICE</t>
  </si>
  <si>
    <t xml:space="preserve">COSMOSAGE GREEN</t>
  </si>
  <si>
    <t xml:space="preserve">COSMO CINNAMOM</t>
  </si>
  <si>
    <t xml:space="preserve">Orders placed with suppliers – one line per PO and item</t>
  </si>
  <si>
    <t xml:space="preserve">Received m² comes from the Stock Received tab (PO number + code). A line is complete (Received) once 90% or more of the m² has arrived – over-deliveries also close it. Only Outstanding m² counts as on order. Blue = typed, black = formula, yellow = please fill in.</t>
  </si>
  <si>
    <t xml:space="preserve">PO number</t>
  </si>
  <si>
    <t xml:space="preserve">Order date</t>
  </si>
  <si>
    <t xml:space="preserve">Supplier</t>
  </si>
  <si>
    <t xml:space="preserve">Due month</t>
  </si>
  <si>
    <t xml:space="preserve">For branch</t>
  </si>
  <si>
    <t xml:space="preserve">m² ordered</t>
  </si>
  <si>
    <t xml:space="preserve">Cost / m² excl VAT</t>
  </si>
  <si>
    <t xml:space="preserve">Order value excl VAT</t>
  </si>
  <si>
    <t xml:space="preserve">m² received</t>
  </si>
  <si>
    <t xml:space="preserve">Outstanding m²</t>
  </si>
  <si>
    <t xml:space="preserve">Outstanding value excl VAT</t>
  </si>
  <si>
    <t xml:space="preserve">AGS5425</t>
  </si>
  <si>
    <t xml:space="preserve">Hannitan</t>
  </si>
  <si>
    <t xml:space="preserve">Cost = current price on CPT stock sheet (Prices +8% / Cost price)</t>
  </si>
  <si>
    <t xml:space="preserve">AGS5430</t>
  </si>
  <si>
    <t xml:space="preserve">AGS0489</t>
  </si>
  <si>
    <t xml:space="preserve">Fusion Leather</t>
  </si>
  <si>
    <t xml:space="preserve">AGS0493</t>
  </si>
  <si>
    <t xml:space="preserve">AGS5423</t>
  </si>
  <si>
    <t xml:space="preserve">AGS5428</t>
  </si>
  <si>
    <t xml:space="preserve">AGS5433</t>
  </si>
  <si>
    <t xml:space="preserve">AGS5422</t>
  </si>
  <si>
    <t xml:space="preserve">AGS0471</t>
  </si>
  <si>
    <t xml:space="preserve">AGS0482</t>
  </si>
  <si>
    <t xml:space="preserve">AGS0490</t>
  </si>
  <si>
    <t xml:space="preserve">AGS5431</t>
  </si>
  <si>
    <t xml:space="preserve">AGS5434</t>
  </si>
  <si>
    <t xml:space="preserve">AGS0492</t>
  </si>
  <si>
    <t xml:space="preserve">AGS5437</t>
  </si>
  <si>
    <t xml:space="preserve">AGS5429</t>
  </si>
  <si>
    <t xml:space="preserve">AGS0495</t>
  </si>
  <si>
    <t xml:space="preserve">AGS5432</t>
  </si>
  <si>
    <t xml:space="preserve">AGS5435</t>
  </si>
  <si>
    <t xml:space="preserve">AGS0496</t>
  </si>
  <si>
    <t xml:space="preserve">AGS5436</t>
  </si>
  <si>
    <t xml:space="preserve">AGS5424</t>
  </si>
  <si>
    <t xml:space="preserve">Cost from PO / supplier invoice</t>
  </si>
  <si>
    <t xml:space="preserve">AGS5426</t>
  </si>
  <si>
    <t xml:space="preserve">AGS5427</t>
  </si>
  <si>
    <t xml:space="preserve">Stock Received – supplier deliveries since the stock count</t>
  </si>
  <si>
    <t xml:space="preserve">Each line adds m² to that branch on the Master and closes off the matching PO line on Orders. Clear this tab when a new stock count is loaded.</t>
  </si>
  <si>
    <t xml:space="preserve">Date received</t>
  </si>
  <si>
    <t xml:space="preserve">Invoice no.</t>
  </si>
  <si>
    <t xml:space="preserve">Supplier description</t>
  </si>
  <si>
    <t xml:space="preserve">Hides / sides</t>
  </si>
  <si>
    <t xml:space="preserve">Into branch</t>
  </si>
  <si>
    <t xml:space="preserve">IOC4387</t>
  </si>
  <si>
    <t xml:space="preserve">CG Santos hides – Red</t>
  </si>
  <si>
    <t xml:space="preserve">CG Santos hides – Grey</t>
  </si>
  <si>
    <t xml:space="preserve">Cape Buffalo hides – Copper</t>
  </si>
  <si>
    <t xml:space="preserve">Etosha hides Impala selection – Cigar</t>
  </si>
  <si>
    <t xml:space="preserve">INV31073</t>
  </si>
  <si>
    <t xml:space="preserve">Chicago Tan</t>
  </si>
  <si>
    <t xml:space="preserve">INV31067</t>
  </si>
  <si>
    <t xml:space="preserve">Barcelona Black</t>
  </si>
  <si>
    <t xml:space="preserve">Barcelona Navy</t>
  </si>
  <si>
    <t xml:space="preserve">Source: Hannitan tax invoice IOC4387 dated 08/10/2026 (sq.dm ÷ 100 = m², R per sq.dm × 100 = R per m²). This delivery was not in the CPT 8 Oct count (stock delivery column was empty).</t>
  </si>
  <si>
    <t xml:space="preserve">Fusion: Chicago Tan INV31073 (9 Oct); Barcelona Black and Navy INV31067 (8 Oct) – not in the CPT 8 Oct count.</t>
  </si>
  <si>
    <t xml:space="preserve">Weekly Sales – paste each week below row 5</t>
  </si>
  <si>
    <t xml:space="preserve">Paste the sales export into columns A–F (Week ending, Branch, Item code, Article, spare, m² sold). Columns H–J work out by themselves – do not paste over them. Row 5 is an example and is ignored.</t>
  </si>
  <si>
    <t xml:space="preserve">Week ending</t>
  </si>
  <si>
    <t xml:space="preserve">Branch</t>
  </si>
  <si>
    <t xml:space="preserve">Item code</t>
  </si>
  <si>
    <t xml:space="preserve">(spare – not used)</t>
  </si>
  <si>
    <t xml:space="preserve">m² sold</t>
  </si>
  <si>
    <t xml:space="preserve">Master code (auto)</t>
  </si>
  <si>
    <t xml:space="preserve">Branch (auto)</t>
  </si>
  <si>
    <t xml:space="preserve">On stock sheet? (auto)</t>
  </si>
  <si>
    <t xml:space="preserve">EXAMPLE</t>
  </si>
  <si>
    <t xml:space="preserve">APA001 </t>
  </si>
  <si>
    <t xml:space="preserve"> APACHE WALNUT</t>
  </si>
  <si>
    <t xml:space="preserve">ATL005 </t>
  </si>
  <si>
    <t xml:space="preserve"> ATLANTA MID BROWN</t>
  </si>
  <si>
    <t xml:space="preserve">ATL007 </t>
  </si>
  <si>
    <t xml:space="preserve"> ATLANTA TAN</t>
  </si>
  <si>
    <t xml:space="preserve">ATL008 </t>
  </si>
  <si>
    <t xml:space="preserve"> ATLANTA OLIVE</t>
  </si>
  <si>
    <t xml:space="preserve">AVI001 </t>
  </si>
  <si>
    <t xml:space="preserve"> AVIATOR WARRIOR</t>
  </si>
  <si>
    <t xml:space="preserve">BBB001 </t>
  </si>
  <si>
    <t xml:space="preserve"> BELTING BUTTS</t>
  </si>
  <si>
    <t xml:space="preserve">BWO001 </t>
  </si>
  <si>
    <t xml:space="preserve"> WOODLAND B PRINT SPICE</t>
  </si>
  <si>
    <t xml:space="preserve">BWO002 </t>
  </si>
  <si>
    <t xml:space="preserve"> WOODLAND B PRINT TAN</t>
  </si>
  <si>
    <t xml:space="preserve">BWO005 </t>
  </si>
  <si>
    <t xml:space="preserve"> WOODLAND B PRINT TAUPE</t>
  </si>
  <si>
    <t xml:space="preserve">BWO006 </t>
  </si>
  <si>
    <t xml:space="preserve"> WOODLAND B PRINT GRAPHITE</t>
  </si>
  <si>
    <t xml:space="preserve">BWO007 </t>
  </si>
  <si>
    <t xml:space="preserve"> WOODLAND B PRINT WHISKEY</t>
  </si>
  <si>
    <t xml:space="preserve">CAP003 </t>
  </si>
  <si>
    <t xml:space="preserve"> CAPE BUFFALO BUTTERSCOTCH</t>
  </si>
  <si>
    <t xml:space="preserve">CAP009 </t>
  </si>
  <si>
    <t xml:space="preserve"> CAPE BUFFALO RUST</t>
  </si>
  <si>
    <t xml:space="preserve">CAS001 </t>
  </si>
  <si>
    <t xml:space="preserve"> CASTROL TOFFEE</t>
  </si>
  <si>
    <t xml:space="preserve">CAS003 </t>
  </si>
  <si>
    <t xml:space="preserve"> CASTROL BLACK</t>
  </si>
  <si>
    <t xml:space="preserve">CAS004 </t>
  </si>
  <si>
    <t xml:space="preserve"> CASTROL GREY</t>
  </si>
  <si>
    <t xml:space="preserve">CAS006 </t>
  </si>
  <si>
    <t xml:space="preserve"> CASTROL TOBACCO</t>
  </si>
  <si>
    <t xml:space="preserve">CHE005 </t>
  </si>
  <si>
    <t xml:space="preserve"> TEXAS SKY BLUE</t>
  </si>
  <si>
    <t xml:space="preserve">CHI001 </t>
  </si>
  <si>
    <t xml:space="preserve"> CHICAGO GREEN</t>
  </si>
  <si>
    <t xml:space="preserve">COS002 </t>
  </si>
  <si>
    <t xml:space="preserve"> COSMO DUSTY PINK</t>
  </si>
  <si>
    <t xml:space="preserve">COS003 </t>
  </si>
  <si>
    <t xml:space="preserve"> COSMO SAGE GREEN</t>
  </si>
  <si>
    <t xml:space="preserve">COS004 </t>
  </si>
  <si>
    <t xml:space="preserve"> COSMO CINNAMON</t>
  </si>
  <si>
    <t xml:space="preserve">COW002 </t>
  </si>
  <si>
    <t xml:space="preserve"> COW SUEDE SPLITS BLACK</t>
  </si>
  <si>
    <t xml:space="preserve">CRU002 </t>
  </si>
  <si>
    <t xml:space="preserve"> CRUST LINING SIDES BROWN</t>
  </si>
  <si>
    <t xml:space="preserve">CRU003 </t>
  </si>
  <si>
    <t xml:space="preserve"> CRUST LINING SIDES BEIGE</t>
  </si>
  <si>
    <t xml:space="preserve">CRU004 </t>
  </si>
  <si>
    <t xml:space="preserve"> CRUST LINING SIDES BLACK</t>
  </si>
  <si>
    <t xml:space="preserve">CRU007 </t>
  </si>
  <si>
    <t xml:space="preserve"> CRUST LINING SIDES TAN</t>
  </si>
  <si>
    <t xml:space="preserve">DAL006 </t>
  </si>
  <si>
    <t xml:space="preserve"> DALLAS CHOC</t>
  </si>
  <si>
    <t xml:space="preserve">DAL007 </t>
  </si>
  <si>
    <t xml:space="preserve"> DALLAS BLACK</t>
  </si>
  <si>
    <t xml:space="preserve">DAL009 </t>
  </si>
  <si>
    <t xml:space="preserve"> DALLAS OLIVE</t>
  </si>
  <si>
    <t xml:space="preserve">DAY011 </t>
  </si>
  <si>
    <t xml:space="preserve"> DAYTONA TOFFEE</t>
  </si>
  <si>
    <t xml:space="preserve">DIE001 </t>
  </si>
  <si>
    <t xml:space="preserve"> DIESEL BROWN</t>
  </si>
  <si>
    <t xml:space="preserve">DIE011 </t>
  </si>
  <si>
    <t xml:space="preserve"> DIESEL TOFFEE</t>
  </si>
  <si>
    <t xml:space="preserve">DIE012 </t>
  </si>
  <si>
    <t xml:space="preserve"> DIESEL GREY</t>
  </si>
  <si>
    <t xml:space="preserve">DIE013 </t>
  </si>
  <si>
    <t xml:space="preserve"> DIESEL DENIM</t>
  </si>
  <si>
    <t xml:space="preserve">DIE018 </t>
  </si>
  <si>
    <t xml:space="preserve"> DIESEL TOBACCO</t>
  </si>
  <si>
    <t xml:space="preserve">ECO006 </t>
  </si>
  <si>
    <t xml:space="preserve"> ECO BOURBON</t>
  </si>
  <si>
    <t xml:space="preserve">ECO007 </t>
  </si>
  <si>
    <t xml:space="preserve"> ECO TOFFEE</t>
  </si>
  <si>
    <t xml:space="preserve">ECO008 </t>
  </si>
  <si>
    <t xml:space="preserve"> ECO TAN</t>
  </si>
  <si>
    <t xml:space="preserve">EDB001 </t>
  </si>
  <si>
    <t xml:space="preserve"> ENDURO DOUBLE BUTTS</t>
  </si>
  <si>
    <t xml:space="preserve">END004 </t>
  </si>
  <si>
    <t xml:space="preserve"> ENDURO OPTIC 211 WHITE D/BUTTS</t>
  </si>
  <si>
    <t xml:space="preserve">ESB001 </t>
  </si>
  <si>
    <t xml:space="preserve"> ENDURO S/B 1.4/1.6</t>
  </si>
  <si>
    <t xml:space="preserve">ETO001 </t>
  </si>
  <si>
    <t xml:space="preserve"> ETOSHA RUST</t>
  </si>
  <si>
    <t xml:space="preserve">ETO002 </t>
  </si>
  <si>
    <t xml:space="preserve"> ETOSHA PECAN</t>
  </si>
  <si>
    <t xml:space="preserve">ETO007 </t>
  </si>
  <si>
    <t xml:space="preserve"> ETOSHA EMERALD</t>
  </si>
  <si>
    <t xml:space="preserve">GAZ006 </t>
  </si>
  <si>
    <t xml:space="preserve"> GAZELLE BLACK</t>
  </si>
  <si>
    <t xml:space="preserve">GAZ015 </t>
  </si>
  <si>
    <t xml:space="preserve"> GAZELLE OYSTER</t>
  </si>
  <si>
    <t xml:space="preserve">HAV001 </t>
  </si>
  <si>
    <t xml:space="preserve"> HAVANA PLUS WALNUT</t>
  </si>
  <si>
    <t xml:space="preserve">HAV002 </t>
  </si>
  <si>
    <t xml:space="preserve"> HAVANA RUST</t>
  </si>
  <si>
    <t xml:space="preserve">HAV003 </t>
  </si>
  <si>
    <t xml:space="preserve"> HAVANA TOFFEE</t>
  </si>
  <si>
    <t xml:space="preserve">HOUS002 </t>
  </si>
  <si>
    <t xml:space="preserve"> HOUSTON SIDES TAN</t>
  </si>
  <si>
    <t xml:space="preserve">IMP004 </t>
  </si>
  <si>
    <t xml:space="preserve"> IMPALA BLACK</t>
  </si>
  <si>
    <t xml:space="preserve">JHB002 </t>
  </si>
  <si>
    <t xml:space="preserve"> JHB STOCKLOTS SIDES</t>
  </si>
  <si>
    <t xml:space="preserve">MAD002 </t>
  </si>
  <si>
    <t xml:space="preserve"> MADRID SUEDE SIDES CHOCOLATE BROWN</t>
  </si>
  <si>
    <t xml:space="preserve">MET002 </t>
  </si>
  <si>
    <t xml:space="preserve"> METALLIC SILVER</t>
  </si>
  <si>
    <t xml:space="preserve">MET003 </t>
  </si>
  <si>
    <t xml:space="preserve"> METALLIC ROSE GOLD</t>
  </si>
  <si>
    <t xml:space="preserve">MET004 </t>
  </si>
  <si>
    <t xml:space="preserve"> METALLIC CHAMPAGNE</t>
  </si>
  <si>
    <t xml:space="preserve">MET005 </t>
  </si>
  <si>
    <t xml:space="preserve"> METALLIC PEWTER</t>
  </si>
  <si>
    <t xml:space="preserve">MIS001 </t>
  </si>
  <si>
    <t xml:space="preserve"> Miscellaneous</t>
  </si>
  <si>
    <t xml:space="preserve">MOR003 </t>
  </si>
  <si>
    <t xml:space="preserve"> MOROCCO CHOCOLATE</t>
  </si>
  <si>
    <t xml:space="preserve">MOR004 </t>
  </si>
  <si>
    <t xml:space="preserve"> MOROCCO STRAW</t>
  </si>
  <si>
    <t xml:space="preserve">MOR010 </t>
  </si>
  <si>
    <t xml:space="preserve"> MOROCCO RUBY</t>
  </si>
  <si>
    <t xml:space="preserve">MOR011 </t>
  </si>
  <si>
    <t xml:space="preserve"> MOROCCO EMERALD</t>
  </si>
  <si>
    <t xml:space="preserve">NAV001 </t>
  </si>
  <si>
    <t xml:space="preserve"> NAVADA CERISE</t>
  </si>
  <si>
    <t xml:space="preserve">NAV004 </t>
  </si>
  <si>
    <t xml:space="preserve"> NAVADA BLACK</t>
  </si>
  <si>
    <t xml:space="preserve">NAV005 </t>
  </si>
  <si>
    <t xml:space="preserve"> NAVADA TAN</t>
  </si>
  <si>
    <t xml:space="preserve">NAV006 </t>
  </si>
  <si>
    <t xml:space="preserve"> NAVADA BROWN</t>
  </si>
  <si>
    <t xml:space="preserve">NOV001 </t>
  </si>
  <si>
    <t xml:space="preserve"> NOVA TOFFEE</t>
  </si>
  <si>
    <t xml:space="preserve">NOV006 </t>
  </si>
  <si>
    <t xml:space="preserve"> NOVA TOBACCO</t>
  </si>
  <si>
    <t xml:space="preserve">PIT001 </t>
  </si>
  <si>
    <t xml:space="preserve"> PITSTOP CIGAR</t>
  </si>
  <si>
    <t xml:space="preserve">PRE001 </t>
  </si>
  <si>
    <t xml:space="preserve"> GAZELLE LATTE</t>
  </si>
  <si>
    <t xml:space="preserve">SAL007 </t>
  </si>
  <si>
    <t xml:space="preserve"> SALVADOR DARK CHOC</t>
  </si>
  <si>
    <t xml:space="preserve">SAL008 </t>
  </si>
  <si>
    <t xml:space="preserve"> SALVADOR BLACK</t>
  </si>
  <si>
    <t xml:space="preserve">SAN009 </t>
  </si>
  <si>
    <t xml:space="preserve"> SAN DIEGO DARK CHOC</t>
  </si>
  <si>
    <t xml:space="preserve">SAN011 </t>
  </si>
  <si>
    <t xml:space="preserve"> SANTOS SPICE</t>
  </si>
  <si>
    <t xml:space="preserve">SAN017 </t>
  </si>
  <si>
    <t xml:space="preserve"> SANTOS PAPRIKA</t>
  </si>
  <si>
    <t xml:space="preserve">SAN018 </t>
  </si>
  <si>
    <t xml:space="preserve"> SANTOS TUMERIC</t>
  </si>
  <si>
    <t xml:space="preserve">SHE021 </t>
  </si>
  <si>
    <t xml:space="preserve"> SHERATON STORM</t>
  </si>
  <si>
    <t xml:space="preserve">SOR001 </t>
  </si>
  <si>
    <t xml:space="preserve"> SORRENTO BLACK</t>
  </si>
  <si>
    <t xml:space="preserve">SOR002 </t>
  </si>
  <si>
    <t xml:space="preserve"> SORRENTO GREY</t>
  </si>
  <si>
    <t xml:space="preserve">SOR004 </t>
  </si>
  <si>
    <t xml:space="preserve"> SORRENTO MID GREY</t>
  </si>
  <si>
    <t xml:space="preserve">SOR007 </t>
  </si>
  <si>
    <t xml:space="preserve"> SORRENTO BASIL</t>
  </si>
  <si>
    <t xml:space="preserve">SOR009 </t>
  </si>
  <si>
    <t xml:space="preserve"> SORRENTO SAFFRON</t>
  </si>
  <si>
    <t xml:space="preserve">SOR010 </t>
  </si>
  <si>
    <t xml:space="preserve"> SORRENTO AQUA</t>
  </si>
  <si>
    <t xml:space="preserve">SOR011 </t>
  </si>
  <si>
    <t xml:space="preserve"> SORRENTO COFFEE</t>
  </si>
  <si>
    <t xml:space="preserve">TEX005 </t>
  </si>
  <si>
    <t xml:space="preserve"> TEXAS BLACK</t>
  </si>
  <si>
    <t xml:space="preserve">TEX007 </t>
  </si>
  <si>
    <t xml:space="preserve"> TEXAS TAN</t>
  </si>
  <si>
    <t xml:space="preserve">TEX016 </t>
  </si>
  <si>
    <t xml:space="preserve"> TEXAS NAVY</t>
  </si>
  <si>
    <t xml:space="preserve">TEX020 </t>
  </si>
  <si>
    <t xml:space="preserve"> TEXAS OCHRE</t>
  </si>
  <si>
    <t xml:space="preserve">TEX021 </t>
  </si>
  <si>
    <t xml:space="preserve"> TEXAS PLUM</t>
  </si>
  <si>
    <t xml:space="preserve">TEX022 </t>
  </si>
  <si>
    <t xml:space="preserve"> TEXAS CORAL</t>
  </si>
  <si>
    <t xml:space="preserve">TEX027 </t>
  </si>
  <si>
    <t xml:space="preserve"> TEXAS CAPRI</t>
  </si>
  <si>
    <t xml:space="preserve">TEX029 </t>
  </si>
  <si>
    <t xml:space="preserve"> TEXAS VIOLET</t>
  </si>
  <si>
    <t xml:space="preserve">TEX031 </t>
  </si>
  <si>
    <t xml:space="preserve"> TEXAS COBALT</t>
  </si>
  <si>
    <t xml:space="preserve">TEX032 </t>
  </si>
  <si>
    <t xml:space="preserve"> TEXAS BRIGHT RED</t>
  </si>
  <si>
    <t xml:space="preserve">TUS001 </t>
  </si>
  <si>
    <t xml:space="preserve"> BARCELONA AMBER</t>
  </si>
  <si>
    <t xml:space="preserve">TUS003 </t>
  </si>
  <si>
    <t xml:space="preserve"> BARCELONA BROWN</t>
  </si>
  <si>
    <t xml:space="preserve">TUS004 </t>
  </si>
  <si>
    <t xml:space="preserve"> BARCELONA BLACK</t>
  </si>
  <si>
    <t xml:space="preserve">TUS006 </t>
  </si>
  <si>
    <t xml:space="preserve"> BARCELONA OLIVE</t>
  </si>
  <si>
    <t xml:space="preserve">TUS007 </t>
  </si>
  <si>
    <t xml:space="preserve"> BARCELONA TOFFEE</t>
  </si>
  <si>
    <t xml:space="preserve">TUS009 </t>
  </si>
  <si>
    <t xml:space="preserve"> BARCELONA RUBY</t>
  </si>
  <si>
    <t xml:space="preserve">URB010 </t>
  </si>
  <si>
    <t xml:space="preserve"> URBAN HAZELNUT</t>
  </si>
  <si>
    <t xml:space="preserve">VEG006 </t>
  </si>
  <si>
    <t xml:space="preserve"> VEG NATURAL SIDES 2.0/2.2mm</t>
  </si>
  <si>
    <t xml:space="preserve">VEG017 </t>
  </si>
  <si>
    <t xml:space="preserve"> NATURAL BELTING VEG 3.2/3.4mm SIDES</t>
  </si>
  <si>
    <t xml:space="preserve">VEG018 </t>
  </si>
  <si>
    <t xml:space="preserve"> NATURAL BELTING VEG 3.2/3.4mm CULLATTAS</t>
  </si>
  <si>
    <t xml:space="preserve">VIN001 </t>
  </si>
  <si>
    <t xml:space="preserve"> VINTAGE PECAN</t>
  </si>
  <si>
    <t xml:space="preserve">VIN003 </t>
  </si>
  <si>
    <t xml:space="preserve"> VINTAGE BLACK</t>
  </si>
  <si>
    <t xml:space="preserve">WLS001 </t>
  </si>
  <si>
    <t xml:space="preserve"> WOODLAND BROWN B</t>
  </si>
  <si>
    <t xml:space="preserve">WLS002 </t>
  </si>
  <si>
    <t xml:space="preserve"> WOODLAND TAN B</t>
  </si>
  <si>
    <t xml:space="preserve">WLS003 </t>
  </si>
  <si>
    <t xml:space="preserve"> WOODLAND CHARCOAL B</t>
  </si>
  <si>
    <t xml:space="preserve">BWO004 </t>
  </si>
  <si>
    <t xml:space="preserve">CAP001 </t>
  </si>
  <si>
    <t xml:space="preserve">CAP004 </t>
  </si>
  <si>
    <t xml:space="preserve">CAS007 </t>
  </si>
  <si>
    <t xml:space="preserve">CHE002 </t>
  </si>
  <si>
    <t xml:space="preserve">COS006 </t>
  </si>
  <si>
    <t xml:space="preserve">COW001 </t>
  </si>
  <si>
    <t xml:space="preserve">COW003 </t>
  </si>
  <si>
    <t xml:space="preserve">COW004 </t>
  </si>
  <si>
    <t xml:space="preserve">DAY002 </t>
  </si>
  <si>
    <t xml:space="preserve">ETO003 </t>
  </si>
  <si>
    <t xml:space="preserve">ETO004 </t>
  </si>
  <si>
    <t xml:space="preserve">ETO008 </t>
  </si>
  <si>
    <t xml:space="preserve">FLW001 </t>
  </si>
  <si>
    <t xml:space="preserve">GAZ001 </t>
  </si>
  <si>
    <t xml:space="preserve">GAZ005 </t>
  </si>
  <si>
    <t xml:space="preserve">GAZ010 </t>
  </si>
  <si>
    <t xml:space="preserve">HAV004 </t>
  </si>
  <si>
    <t xml:space="preserve">IMP005 </t>
  </si>
  <si>
    <t xml:space="preserve">MET001 </t>
  </si>
  <si>
    <t xml:space="preserve">NAP010 </t>
  </si>
  <si>
    <t xml:space="preserve">NAT001 </t>
  </si>
  <si>
    <t xml:space="preserve">NGU018 </t>
  </si>
  <si>
    <t xml:space="preserve">NGU019 </t>
  </si>
  <si>
    <t xml:space="preserve">NGU023 </t>
  </si>
  <si>
    <t xml:space="preserve">NGU027 </t>
  </si>
  <si>
    <t xml:space="preserve">NOV005 </t>
  </si>
  <si>
    <t xml:space="preserve">NUB007 </t>
  </si>
  <si>
    <t xml:space="preserve">ROS002 </t>
  </si>
  <si>
    <t xml:space="preserve">SAN006 </t>
  </si>
  <si>
    <t xml:space="preserve">SAN010 </t>
  </si>
  <si>
    <t xml:space="preserve">SAN016 </t>
  </si>
  <si>
    <t xml:space="preserve">SAN019 </t>
  </si>
  <si>
    <t xml:space="preserve">SHE018 </t>
  </si>
  <si>
    <t xml:space="preserve">SOR012 </t>
  </si>
  <si>
    <t xml:space="preserve">STO002 </t>
  </si>
  <si>
    <t xml:space="preserve">SZ007 </t>
  </si>
  <si>
    <t xml:space="preserve">TEX001 </t>
  </si>
  <si>
    <t xml:space="preserve">TEX008 </t>
  </si>
  <si>
    <t xml:space="preserve">TEX012 </t>
  </si>
  <si>
    <t xml:space="preserve">TEX018 </t>
  </si>
  <si>
    <t xml:space="preserve">TEX028 </t>
  </si>
  <si>
    <t xml:space="preserve">TRA002 </t>
  </si>
  <si>
    <t xml:space="preserve">TRA005 </t>
  </si>
  <si>
    <t xml:space="preserve">TRA008 </t>
  </si>
  <si>
    <t xml:space="preserve">TRA013 </t>
  </si>
  <si>
    <t xml:space="preserve">TUS002 </t>
  </si>
  <si>
    <t xml:space="preserve">Transfers between branches (after the count dates)</t>
  </si>
  <si>
    <t xml:space="preserve">Moves stock between branches. Put Y in column H if the stock had already left the sending branch before its stock count (then it is only added to the receiving branch). Row 5 is an example and is ignored.</t>
  </si>
  <si>
    <t xml:space="preserve">Date</t>
  </si>
  <si>
    <t xml:space="preserve">From</t>
  </si>
  <si>
    <t xml:space="preserve">To</t>
  </si>
  <si>
    <t xml:space="preserve">Already off sender's count? (Y)</t>
  </si>
  <si>
    <t xml:space="preserve">From (auto)</t>
  </si>
  <si>
    <t xml:space="preserve">To (auto)</t>
  </si>
  <si>
    <t xml:space="preserve">2 bundles + 5 hides on courier</t>
  </si>
  <si>
    <t xml:space="preserve">CPT </t>
  </si>
  <si>
    <t xml:space="preserve">Y</t>
  </si>
  <si>
    <t xml:space="preserve">RECEIVED FROM SUPPLIER – October order</t>
  </si>
  <si>
    <t xml:space="preserve">Sales History – last 6 months (one line per month, branch and item)</t>
  </si>
  <si>
    <t xml:space="preserve">Paste 6 months of sales into columns A–E (Month, Branch, Item code, Article, m² sold). Columns G–H work out by themselves. Row 5 is an example and is ignored.</t>
  </si>
  <si>
    <t xml:space="preserve">Code Aliases</t>
  </si>
  <si>
    <t xml:space="preserve">When a branch or the sales system uses a different code for the same leather, list it here. Weekly Sales, Transfers and Sales History use this automatically.</t>
  </si>
  <si>
    <t xml:space="preserve">Other code</t>
  </si>
  <si>
    <t xml:space="preserve">Why</t>
  </si>
  <si>
    <t xml:space="preserve">Settings</t>
  </si>
  <si>
    <t xml:space="preserve">Change the yellow cells; every tab uses these.</t>
  </si>
  <si>
    <t xml:space="preserve">Months of sales history used for the average</t>
  </si>
  <si>
    <t xml:space="preserve">Slow mover = months of cover above</t>
  </si>
  <si>
    <t xml:space="preserve">CPT count date</t>
  </si>
  <si>
    <t xml:space="preserve">JHB count date</t>
  </si>
  <si>
    <t xml:space="preserve">DBN count date</t>
  </si>
  <si>
    <t xml:space="preserve">Hide m² per hide</t>
  </si>
  <si>
    <t xml:space="preserve">Side m² per side</t>
  </si>
  <si>
    <t xml:space="preserve">Hides/sides per bundle</t>
  </si>
  <si>
    <t xml:space="preserve">Order complete when received is at least (% of ordered)</t>
  </si>
  <si>
    <t xml:space="preserve">Stock as at</t>
  </si>
  <si>
    <t xml:space="preserve">Source: values from your instruction (6-month average, buffer as basis) and the conversions you confirmed (4 m²/hide, 1.8 m²/side, 5 per bundle).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</si>
</sst>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.0;[RED]\-#,##0.0;\-"/>
    <numFmt numFmtId="166" formatCode="mmm\-yy"/>
    <numFmt numFmtId="167" formatCode="#,##0.0"/>
    <numFmt numFmtId="168" formatCode="&quot;R &quot;#,##0"/>
    <numFmt numFmtId="169" formatCode="0.0"/>
    <numFmt numFmtId="170" formatCode="General"/>
    <numFmt numFmtId="171" formatCode="&quot;On order &quot;mmm\-yy"/>
    <numFmt numFmtId="172" formatCode="0.0;[RED]\-0.0"/>
    <numFmt numFmtId="173" formatCode="dd\ mmm\ yyyy"/>
    <numFmt numFmtId="174" formatCode="&quot;R &quot;#,##0.00;[RED]&quot;-R &quot;#,##0.00;\-"/>
    <numFmt numFmtId="175" formatCode="&quot;R &quot;#,##0.00"/>
    <numFmt numFmtId="176" formatCode="d\-mmm\-yy"/>
    <numFmt numFmtId="177" formatCode="0"/>
    <numFmt numFmtId="178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1F3864"/>
      <name val="Arial"/>
      <family val="2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86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sz val="10"/>
      <color rgb="FF808080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2"/>
      <charset val="1"/>
    </font>
    <font>
      <sz val="8"/>
      <color rgb="FFA6A6A6"/>
      <name val="Arial"/>
      <family val="2"/>
      <charset val="1"/>
    </font>
    <font>
      <b val="true"/>
      <sz val="10"/>
      <color rgb="FFC00000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sz val="10"/>
      <color rgb="FFC00000"/>
      <name val="Arial"/>
      <family val="2"/>
      <charset val="1"/>
    </font>
    <font>
      <sz val="10"/>
      <color rgb="FF008000"/>
      <name val="Arial"/>
      <family val="2"/>
      <charset val="1"/>
    </font>
    <font>
      <i val="true"/>
      <sz val="10"/>
      <color rgb="FF595959"/>
      <name val="Arial"/>
      <family val="0"/>
      <charset val="1"/>
    </font>
    <font>
      <i val="true"/>
      <sz val="10"/>
      <color rgb="FF808080"/>
      <name val="Arial"/>
      <family val="2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  <fill>
      <patternFill patternType="solid">
        <fgColor rgb="FF2F5597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6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3">
    <dxf>
      <font>
        <name val="Arial"/>
        <charset val="1"/>
        <family val="0"/>
        <b val="1"/>
        <color rgb="FF000000"/>
      </font>
      <fill>
        <patternFill>
          <bgColor rgb="FFFF7C8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A9D08E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9BC2E6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7C8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DDEBF7"/>
        </patternFill>
      </fill>
    </dxf>
    <dxf>
      <font>
        <name val="Arial"/>
        <charset val="1"/>
        <family val="0"/>
        <color rgb="FFA6A6A6"/>
      </font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7C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A9D08E"/>
      <rgbColor rgb="FFFCE4D6"/>
      <rgbColor rgb="FF9BC2E6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40"/>
  </cols>
  <sheetData>
    <row r="1" customFormat="false" ht="18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/>
    </row>
    <row r="3" customFormat="false" ht="14.25" hidden="false" customHeight="true" outlineLevel="0" collapsed="false">
      <c r="A3" s="4" t="s">
        <v>1</v>
      </c>
    </row>
    <row r="4" customFormat="false" ht="14.25" hidden="false" customHeight="true" outlineLevel="0" collapsed="false">
      <c r="A4" s="3" t="s">
        <v>2</v>
      </c>
    </row>
    <row r="5" customFormat="false" ht="14.25" hidden="false" customHeight="true" outlineLevel="0" collapsed="false">
      <c r="A5" s="3" t="s">
        <v>3</v>
      </c>
    </row>
    <row r="6" customFormat="false" ht="14.25" hidden="false" customHeight="true" outlineLevel="0" collapsed="false">
      <c r="A6" s="3" t="s">
        <v>4</v>
      </c>
    </row>
    <row r="7" customFormat="false" ht="14.25" hidden="false" customHeight="true" outlineLevel="0" collapsed="false">
      <c r="A7" s="3" t="s">
        <v>5</v>
      </c>
    </row>
    <row r="8" customFormat="false" ht="14.25" hidden="false" customHeight="true" outlineLevel="0" collapsed="false">
      <c r="A8" s="3" t="s">
        <v>6</v>
      </c>
    </row>
    <row r="9" customFormat="false" ht="14.25" hidden="false" customHeight="true" outlineLevel="0" collapsed="false">
      <c r="A9" s="3"/>
    </row>
    <row r="10" customFormat="false" ht="14.25" hidden="false" customHeight="true" outlineLevel="0" collapsed="false">
      <c r="A10" s="4" t="s">
        <v>7</v>
      </c>
    </row>
    <row r="11" customFormat="false" ht="14.25" hidden="false" customHeight="true" outlineLevel="0" collapsed="false">
      <c r="A11" s="3" t="s">
        <v>8</v>
      </c>
    </row>
    <row r="12" customFormat="false" ht="14.25" hidden="false" customHeight="true" outlineLevel="0" collapsed="false">
      <c r="A12" s="3"/>
    </row>
    <row r="13" customFormat="false" ht="14.25" hidden="false" customHeight="true" outlineLevel="0" collapsed="false">
      <c r="A13" s="4" t="s">
        <v>9</v>
      </c>
    </row>
    <row r="14" customFormat="false" ht="14.25" hidden="false" customHeight="true" outlineLevel="0" collapsed="false">
      <c r="A14" s="3" t="s">
        <v>10</v>
      </c>
    </row>
    <row r="15" customFormat="false" ht="14.25" hidden="false" customHeight="true" outlineLevel="0" collapsed="false">
      <c r="A15" s="3" t="s">
        <v>11</v>
      </c>
    </row>
    <row r="16" customFormat="false" ht="14.25" hidden="false" customHeight="true" outlineLevel="0" collapsed="false">
      <c r="A16" s="3" t="s">
        <v>12</v>
      </c>
    </row>
    <row r="17" customFormat="false" ht="14.25" hidden="false" customHeight="true" outlineLevel="0" collapsed="false">
      <c r="A17" s="3" t="s">
        <v>13</v>
      </c>
    </row>
    <row r="18" customFormat="false" ht="14.25" hidden="false" customHeight="true" outlineLevel="0" collapsed="false">
      <c r="A18" s="3" t="s">
        <v>14</v>
      </c>
    </row>
    <row r="19" customFormat="false" ht="14.25" hidden="false" customHeight="true" outlineLevel="0" collapsed="false">
      <c r="A19" s="3" t="s">
        <v>15</v>
      </c>
    </row>
    <row r="20" customFormat="false" ht="14.25" hidden="false" customHeight="true" outlineLevel="0" collapsed="false">
      <c r="A20" s="3" t="s">
        <v>16</v>
      </c>
    </row>
    <row r="21" customFormat="false" ht="14.25" hidden="false" customHeight="true" outlineLevel="0" collapsed="false">
      <c r="A21" s="3" t="s">
        <v>17</v>
      </c>
    </row>
    <row r="22" customFormat="false" ht="14.25" hidden="false" customHeight="true" outlineLevel="0" collapsed="false">
      <c r="A22" s="3"/>
    </row>
    <row r="23" customFormat="false" ht="14.25" hidden="false" customHeight="true" outlineLevel="0" collapsed="false">
      <c r="A23" s="4" t="s">
        <v>18</v>
      </c>
    </row>
    <row r="24" customFormat="false" ht="14.25" hidden="false" customHeight="true" outlineLevel="0" collapsed="false">
      <c r="A24" s="3" t="s">
        <v>19</v>
      </c>
    </row>
    <row r="25" customFormat="false" ht="14.25" hidden="false" customHeight="true" outlineLevel="0" collapsed="false">
      <c r="A25" s="3" t="s">
        <v>20</v>
      </c>
    </row>
    <row r="26" customFormat="false" ht="14.25" hidden="false" customHeight="true" outlineLevel="0" collapsed="false">
      <c r="A26" s="3" t="s">
        <v>21</v>
      </c>
    </row>
    <row r="27" customFormat="false" ht="14.25" hidden="false" customHeight="true" outlineLevel="0" collapsed="false">
      <c r="A27" s="3"/>
    </row>
    <row r="28" customFormat="false" ht="14.25" hidden="false" customHeight="true" outlineLevel="0" collapsed="false">
      <c r="A28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13" activeCellId="0" sqref="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34"/>
    <col collapsed="false" customWidth="true" hidden="false" outlineLevel="0" max="4" min="4" style="1" width="7"/>
    <col collapsed="false" customWidth="true" hidden="false" outlineLevel="0" max="7" min="5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1.73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8"/>
  </cols>
  <sheetData>
    <row r="1" customFormat="false" ht="18" hidden="false" customHeight="true" outlineLevel="0" collapsed="false">
      <c r="A1" s="2" t="s">
        <v>23</v>
      </c>
    </row>
    <row r="2" customFormat="false" ht="14.25" hidden="false" customHeight="true" outlineLevel="0" collapsed="false">
      <c r="A2" s="5" t="str">
        <f aca="false">"Stock as at "&amp;TEXT(Settings!$B$13,"d mmmm yyyy")&amp;"  ·  everything on this page updates from Master Stock."</f>
        <v>Stock as at 9 October 2026  ·  everything on this page updates from Master Stock.</v>
      </c>
    </row>
    <row r="4" customFormat="false" ht="14.25" hidden="false" customHeight="true" outlineLevel="0" collapsed="false">
      <c r="A4" s="6" t="s">
        <v>24</v>
      </c>
      <c r="G4" s="6" t="s">
        <v>25</v>
      </c>
      <c r="L4" s="6" t="s">
        <v>26</v>
      </c>
    </row>
    <row r="5" customFormat="false" ht="14.25" hidden="false" customHeight="true" outlineLevel="0" collapsed="false">
      <c r="A5" s="7"/>
      <c r="B5" s="7" t="s">
        <v>27</v>
      </c>
      <c r="C5" s="7" t="s">
        <v>28</v>
      </c>
      <c r="D5" s="7" t="s">
        <v>29</v>
      </c>
      <c r="E5" s="7" t="s">
        <v>30</v>
      </c>
      <c r="G5" s="7" t="s">
        <v>31</v>
      </c>
      <c r="H5" s="7" t="s">
        <v>32</v>
      </c>
      <c r="I5" s="7" t="s">
        <v>33</v>
      </c>
      <c r="J5" s="7" t="s">
        <v>34</v>
      </c>
      <c r="L5" s="8" t="s">
        <v>35</v>
      </c>
      <c r="M5" s="8" t="s">
        <v>36</v>
      </c>
    </row>
    <row r="6" customFormat="false" ht="14.25" hidden="false" customHeight="true" outlineLevel="0" collapsed="false">
      <c r="A6" s="9" t="s">
        <v>37</v>
      </c>
      <c r="B6" s="10" t="n">
        <f aca="false">SUMIFS('Master Stock'!$E$5:$E$206,'Master Stock'!$C$5:$C$206,"Hide")</f>
        <v>48961.5</v>
      </c>
      <c r="C6" s="10" t="n">
        <f aca="false">SUMIFS('Master Stock'!$F$5:$F$206,'Master Stock'!$C$5:$C$206,"Hide")</f>
        <v>16197.83</v>
      </c>
      <c r="D6" s="10" t="n">
        <f aca="false">SUMIFS('Master Stock'!$G$5:$G$206,'Master Stock'!$C$5:$C$206,"Hide")</f>
        <v>3132.66</v>
      </c>
      <c r="E6" s="10" t="n">
        <f aca="false">SUMIFS('Master Stock'!$H$5:$H$206,'Master Stock'!$C$5:$C$206,"Hide")</f>
        <v>68291.99</v>
      </c>
      <c r="G6" s="11" t="n">
        <f aca="false">'Master Stock'!J4</f>
        <v>46296</v>
      </c>
      <c r="H6" s="10" t="n">
        <f aca="false">SUMIFS(Orders!$L:$L,Orders!$F:$F,"&gt;="&amp;$G6,Orders!$F:$F,"&lt;"&amp;EDATE($G6,1),Orders!$G:$G,"CPT")</f>
        <v>5680</v>
      </c>
      <c r="I6" s="10" t="n">
        <f aca="false">SUMIFS(Orders!$L:$L,Orders!$F:$F,"&gt;="&amp;$G6,Orders!$F:$F,"&lt;"&amp;EDATE($G6,1),Orders!$G:$G,"JHB")</f>
        <v>2200</v>
      </c>
      <c r="J6" s="10" t="n">
        <f aca="false">H6+I6</f>
        <v>7880</v>
      </c>
      <c r="L6" s="9" t="s">
        <v>38</v>
      </c>
      <c r="M6" s="9" t="n">
        <f aca="false">COUNTIF('Master Stock'!$V$5:$V$206,L6)</f>
        <v>0</v>
      </c>
    </row>
    <row r="7" customFormat="false" ht="14.25" hidden="false" customHeight="true" outlineLevel="0" collapsed="false">
      <c r="A7" s="9" t="s">
        <v>39</v>
      </c>
      <c r="B7" s="10" t="n">
        <f aca="false">SUMIFS('Master Stock'!$E$5:$E$206,'Master Stock'!$C$5:$C$206,"Side")</f>
        <v>14814</v>
      </c>
      <c r="C7" s="10" t="n">
        <f aca="false">SUMIFS('Master Stock'!$F$5:$F$206,'Master Stock'!$C$5:$C$206,"Side")</f>
        <v>2107.75</v>
      </c>
      <c r="D7" s="10" t="n">
        <f aca="false">SUMIFS('Master Stock'!$G$5:$G$206,'Master Stock'!$C$5:$C$206,"Side")</f>
        <v>981.61</v>
      </c>
      <c r="E7" s="10" t="n">
        <f aca="false">SUMIFS('Master Stock'!$H$5:$H$206,'Master Stock'!$C$5:$C$206,"Side")</f>
        <v>17903.36</v>
      </c>
      <c r="G7" s="11" t="n">
        <f aca="false">'Master Stock'!K4</f>
        <v>46327</v>
      </c>
      <c r="H7" s="10" t="n">
        <f aca="false">SUMIFS(Orders!$L:$L,Orders!$F:$F,"&gt;="&amp;$G7,Orders!$F:$F,"&lt;"&amp;EDATE($G7,1),Orders!$G:$G,"CPT")</f>
        <v>17100</v>
      </c>
      <c r="I7" s="10" t="n">
        <f aca="false">SUMIFS(Orders!$L:$L,Orders!$F:$F,"&gt;="&amp;$G7,Orders!$F:$F,"&lt;"&amp;EDATE($G7,1),Orders!$G:$G,"JHB")</f>
        <v>8100</v>
      </c>
      <c r="J7" s="10" t="n">
        <f aca="false">H7+I7</f>
        <v>25200</v>
      </c>
      <c r="L7" s="9" t="s">
        <v>40</v>
      </c>
      <c r="M7" s="9" t="n">
        <f aca="false">COUNTIF('Master Stock'!$V$5:$V$206,L7)</f>
        <v>4</v>
      </c>
    </row>
    <row r="8" customFormat="false" ht="14.25" hidden="false" customHeight="true" outlineLevel="0" collapsed="false">
      <c r="A8" s="12" t="s">
        <v>34</v>
      </c>
      <c r="B8" s="13" t="n">
        <f aca="false">SUM(B6:B7)</f>
        <v>63775.5</v>
      </c>
      <c r="C8" s="13" t="n">
        <f aca="false">SUM(C6:C7)</f>
        <v>18305.58</v>
      </c>
      <c r="D8" s="13" t="n">
        <f aca="false">SUM(D6:D7)</f>
        <v>4114.27</v>
      </c>
      <c r="E8" s="13" t="n">
        <f aca="false">SUM(E6:E7)</f>
        <v>86195.35</v>
      </c>
      <c r="G8" s="11" t="n">
        <f aca="false">'Master Stock'!L4</f>
        <v>46357</v>
      </c>
      <c r="H8" s="10" t="n">
        <f aca="false">SUMIFS(Orders!$L:$L,Orders!$F:$F,"&gt;="&amp;$G8,Orders!$F:$F,"&lt;"&amp;EDATE($G8,1),Orders!$G:$G,"CPT")</f>
        <v>13300</v>
      </c>
      <c r="I8" s="10" t="n">
        <f aca="false">SUMIFS(Orders!$L:$L,Orders!$F:$F,"&gt;="&amp;$G8,Orders!$F:$F,"&lt;"&amp;EDATE($G8,1),Orders!$G:$G,"JHB")</f>
        <v>0</v>
      </c>
      <c r="J8" s="10" t="n">
        <f aca="false">H8+I8</f>
        <v>13300</v>
      </c>
      <c r="L8" s="9" t="s">
        <v>41</v>
      </c>
      <c r="M8" s="9" t="n">
        <f aca="false">COUNTIF('Master Stock'!$V$5:$V$206,L8)</f>
        <v>5</v>
      </c>
    </row>
    <row r="9" customFormat="false" ht="14.25" hidden="false" customHeight="true" outlineLevel="0" collapsed="false">
      <c r="A9" s="9" t="s">
        <v>42</v>
      </c>
      <c r="E9" s="10" t="n">
        <f aca="false">SUM('Master Stock'!$I$5:$I$206)</f>
        <v>5419.84</v>
      </c>
      <c r="G9" s="9" t="s">
        <v>43</v>
      </c>
      <c r="J9" s="10" t="n">
        <f aca="false">SUM('Master Stock'!$M$5:$M$206)</f>
        <v>0</v>
      </c>
      <c r="L9" s="9" t="s">
        <v>44</v>
      </c>
      <c r="M9" s="9" t="n">
        <f aca="false">COUNTIF('Master Stock'!$V$5:$V$206,L9)</f>
        <v>35</v>
      </c>
    </row>
    <row r="10" customFormat="false" ht="14.25" hidden="false" customHeight="true" outlineLevel="0" collapsed="false">
      <c r="G10" s="12" t="s">
        <v>34</v>
      </c>
      <c r="J10" s="13" t="n">
        <f aca="false">SUM('Master Stock'!$N$5:$N$206)</f>
        <v>46380</v>
      </c>
      <c r="L10" s="9" t="s">
        <v>45</v>
      </c>
      <c r="M10" s="9" t="n">
        <f aca="false">COUNTIF('Master Stock'!$V$5:$V$206,L10)</f>
        <v>93</v>
      </c>
    </row>
    <row r="11" customFormat="false" ht="14.25" hidden="false" customHeight="true" outlineLevel="0" collapsed="false">
      <c r="A11" s="9" t="s">
        <v>46</v>
      </c>
      <c r="E11" s="14" t="n">
        <f aca="false">SUMIFS('Weekly Sales'!$F:$F,'Weekly Sales'!$J:$J,"Not on stock sheet")</f>
        <v>186.6</v>
      </c>
      <c r="G11" s="9" t="s">
        <v>47</v>
      </c>
      <c r="J11" s="15" t="n">
        <f aca="false">SUM(Orders!M5:M133)</f>
        <v>12751784</v>
      </c>
      <c r="L11" s="9" t="s">
        <v>48</v>
      </c>
      <c r="M11" s="9" t="n">
        <f aca="false">COUNTIF('Master Stock'!$V$5:$V$206,L11)</f>
        <v>12</v>
      </c>
    </row>
    <row r="12" customFormat="false" ht="14.25" hidden="false" customHeight="true" outlineLevel="0" collapsed="false">
      <c r="L12" s="9" t="s">
        <v>49</v>
      </c>
      <c r="M12" s="9" t="n">
        <f aca="false">COUNTIF('Master Stock'!$V$5:$V$206,L12)</f>
        <v>10</v>
      </c>
    </row>
    <row r="13" customFormat="false" ht="14.25" hidden="false" customHeight="true" outlineLevel="0" collapsed="false">
      <c r="L13" s="9" t="s">
        <v>50</v>
      </c>
      <c r="M13" s="9" t="n">
        <f aca="false">COUNTIF('Master Stock'!$V$5:$V$206,L13)</f>
        <v>43</v>
      </c>
    </row>
    <row r="16" customFormat="false" ht="14.25" hidden="false" customHeight="true" outlineLevel="0" collapsed="false">
      <c r="A16" s="16" t="s">
        <v>51</v>
      </c>
    </row>
    <row r="17" customFormat="false" ht="31.5" hidden="false" customHeight="true" outlineLevel="0" collapsed="false">
      <c r="A17" s="7" t="s">
        <v>52</v>
      </c>
      <c r="B17" s="7" t="s">
        <v>53</v>
      </c>
      <c r="C17" s="7" t="s">
        <v>54</v>
      </c>
      <c r="D17" s="7" t="s">
        <v>55</v>
      </c>
      <c r="E17" s="7" t="s">
        <v>56</v>
      </c>
      <c r="F17" s="7" t="s">
        <v>57</v>
      </c>
      <c r="G17" s="7" t="s">
        <v>58</v>
      </c>
      <c r="H17" s="7" t="s">
        <v>59</v>
      </c>
      <c r="I17" s="7" t="s">
        <v>60</v>
      </c>
      <c r="J17" s="7" t="s">
        <v>61</v>
      </c>
      <c r="K17" s="7" t="s">
        <v>35</v>
      </c>
    </row>
    <row r="18" customFormat="false" ht="14.25" hidden="false" customHeight="true" outlineLevel="0" collapsed="false">
      <c r="A18" s="17" t="n">
        <v>1</v>
      </c>
      <c r="B18" s="18" t="str">
        <f aca="false">IF($M18="","",INDEX('Master Stock'!$A$5:$A$206,$M18))</f>
        <v>CAS004</v>
      </c>
      <c r="C18" s="18" t="str">
        <f aca="false">IF($M18="","",INDEX('Master Stock'!$B$5:$B$206,$M18))</f>
        <v>CASTROL GREY</v>
      </c>
      <c r="D18" s="18" t="str">
        <f aca="false">IF($M18="","",INDEX('Master Stock'!$C$5:$C$206,$M18))</f>
        <v>Hide</v>
      </c>
      <c r="E18" s="19" t="n">
        <f aca="false">IF($M18="","",INDEX('Master Stock'!$H$5:$H$206,$M18))</f>
        <v>156</v>
      </c>
      <c r="F18" s="19" t="n">
        <f aca="false">IF($M18="","",INDEX('Master Stock'!$N$5:$N$206,$M18))</f>
        <v>0</v>
      </c>
      <c r="G18" s="19" t="n">
        <f aca="false">IF($M18="","",INDEX('Master Stock'!$T$5:$T$206,$M18))</f>
        <v>200</v>
      </c>
      <c r="H18" s="19" t="n">
        <f aca="false">IF($M18="","",INDEX('Master Stock'!$Q$5:$Q$206,$M18))</f>
        <v>10</v>
      </c>
      <c r="I18" s="19" t="n">
        <f aca="false">IF($M18="","",INDEX('Master Stock'!$U$5:$U$206,$M18))</f>
        <v>44</v>
      </c>
      <c r="J18" s="20" t="n">
        <f aca="false">IF($M18="","",INDEX('Master Stock'!$S$5:$S$206,$M18))</f>
        <v>15.6</v>
      </c>
      <c r="K18" s="18" t="str">
        <f aca="false">IF($M18="","",INDEX('Master Stock'!$V$5:$V$206,$M18))</f>
        <v>REORDER</v>
      </c>
      <c r="M18" s="21" t="n">
        <f aca="false">IF(LARGE('Master Stock'!$X$5:$X$206,A18)&gt;0,MATCH(LARGE('Master Stock'!$X$5:$X$206,A18),'Master Stock'!$X$5:$X$206,0),"")</f>
        <v>29</v>
      </c>
    </row>
    <row r="19" customFormat="false" ht="14.25" hidden="false" customHeight="true" outlineLevel="0" collapsed="false">
      <c r="A19" s="17" t="n">
        <v>2</v>
      </c>
      <c r="B19" s="18" t="str">
        <f aca="false">IF($M19="","",INDEX('Master Stock'!$A$5:$A$206,$M19))</f>
        <v>TEX031</v>
      </c>
      <c r="C19" s="18" t="str">
        <f aca="false">IF($M19="","",INDEX('Master Stock'!$B$5:$B$206,$M19))</f>
        <v>TEXAS COBALT</v>
      </c>
      <c r="D19" s="18" t="str">
        <f aca="false">IF($M19="","",INDEX('Master Stock'!$C$5:$C$206,$M19))</f>
        <v>Side</v>
      </c>
      <c r="E19" s="19" t="n">
        <f aca="false">IF($M19="","",INDEX('Master Stock'!$H$5:$H$206,$M19))</f>
        <v>184.58</v>
      </c>
      <c r="F19" s="19" t="n">
        <f aca="false">IF($M19="","",INDEX('Master Stock'!$N$5:$N$206,$M19))</f>
        <v>0</v>
      </c>
      <c r="G19" s="19" t="n">
        <f aca="false">IF($M19="","",INDEX('Master Stock'!$T$5:$T$206,$M19))</f>
        <v>200</v>
      </c>
      <c r="H19" s="19" t="n">
        <f aca="false">IF($M19="","",INDEX('Master Stock'!$Q$5:$Q$206,$M19))</f>
        <v>35</v>
      </c>
      <c r="I19" s="19" t="n">
        <f aca="false">IF($M19="","",INDEX('Master Stock'!$U$5:$U$206,$M19))</f>
        <v>15.42</v>
      </c>
      <c r="J19" s="20" t="n">
        <f aca="false">IF($M19="","",INDEX('Master Stock'!$S$5:$S$206,$M19))</f>
        <v>5.27371428571429</v>
      </c>
      <c r="K19" s="18" t="str">
        <f aca="false">IF($M19="","",INDEX('Master Stock'!$V$5:$V$206,$M19))</f>
        <v>REORDER</v>
      </c>
      <c r="M19" s="21" t="n">
        <f aca="false">IF(LARGE('Master Stock'!$X$5:$X$206,A19)&gt;0,MATCH(LARGE('Master Stock'!$X$5:$X$206,A19),'Master Stock'!$X$5:$X$206,0),"")</f>
        <v>166</v>
      </c>
    </row>
    <row r="20" customFormat="false" ht="14.25" hidden="false" customHeight="true" outlineLevel="0" collapsed="false">
      <c r="A20" s="17" t="n">
        <v>3</v>
      </c>
      <c r="B20" s="18" t="str">
        <f aca="false">IF($M20="","",INDEX('Master Stock'!$A$5:$A$206,$M20))</f>
        <v>TEX029</v>
      </c>
      <c r="C20" s="18" t="str">
        <f aca="false">IF($M20="","",INDEX('Master Stock'!$B$5:$B$206,$M20))</f>
        <v>TEXAS VIOLET</v>
      </c>
      <c r="D20" s="18" t="str">
        <f aca="false">IF($M20="","",INDEX('Master Stock'!$C$5:$C$206,$M20))</f>
        <v>Side</v>
      </c>
      <c r="E20" s="19" t="n">
        <f aca="false">IF($M20="","",INDEX('Master Stock'!$H$5:$H$206,$M20))</f>
        <v>189.58</v>
      </c>
      <c r="F20" s="19" t="n">
        <f aca="false">IF($M20="","",INDEX('Master Stock'!$N$5:$N$206,$M20))</f>
        <v>0</v>
      </c>
      <c r="G20" s="19" t="n">
        <f aca="false">IF($M20="","",INDEX('Master Stock'!$T$5:$T$206,$M20))</f>
        <v>200</v>
      </c>
      <c r="H20" s="19" t="n">
        <f aca="false">IF($M20="","",INDEX('Master Stock'!$Q$5:$Q$206,$M20))</f>
        <v>30</v>
      </c>
      <c r="I20" s="19" t="n">
        <f aca="false">IF($M20="","",INDEX('Master Stock'!$U$5:$U$206,$M20))</f>
        <v>10.42</v>
      </c>
      <c r="J20" s="20" t="n">
        <f aca="false">IF($M20="","",INDEX('Master Stock'!$S$5:$S$206,$M20))</f>
        <v>6.31933333333333</v>
      </c>
      <c r="K20" s="18" t="str">
        <f aca="false">IF($M20="","",INDEX('Master Stock'!$V$5:$V$206,$M20))</f>
        <v>REORDER</v>
      </c>
      <c r="M20" s="21" t="n">
        <f aca="false">IF(LARGE('Master Stock'!$X$5:$X$206,A20)&gt;0,MATCH(LARGE('Master Stock'!$X$5:$X$206,A20),'Master Stock'!$X$5:$X$206,0),"")</f>
        <v>174</v>
      </c>
    </row>
    <row r="21" customFormat="false" ht="14.25" hidden="false" customHeight="true" outlineLevel="0" collapsed="false">
      <c r="A21" s="17" t="n">
        <v>4</v>
      </c>
      <c r="B21" s="18" t="str">
        <f aca="false">IF($M21="","",INDEX('Master Stock'!$A$5:$A$206,$M21))</f>
        <v>SOR002</v>
      </c>
      <c r="C21" s="18" t="str">
        <f aca="false">IF($M21="","",INDEX('Master Stock'!$B$5:$B$206,$M21))</f>
        <v>SORRENTO GREY</v>
      </c>
      <c r="D21" s="18" t="str">
        <f aca="false">IF($M21="","",INDEX('Master Stock'!$C$5:$C$206,$M21))</f>
        <v>Hide</v>
      </c>
      <c r="E21" s="19" t="n">
        <f aca="false">IF($M21="","",INDEX('Master Stock'!$H$5:$H$206,$M21))</f>
        <v>97.01</v>
      </c>
      <c r="F21" s="19" t="n">
        <f aca="false">IF($M21="","",INDEX('Master Stock'!$N$5:$N$206,$M21))</f>
        <v>0</v>
      </c>
      <c r="G21" s="19" t="n">
        <f aca="false">IF($M21="","",INDEX('Master Stock'!$T$5:$T$206,$M21))</f>
        <v>100</v>
      </c>
      <c r="H21" s="19" t="n">
        <f aca="false">IF($M21="","",INDEX('Master Stock'!$Q$5:$Q$206,$M21))</f>
        <v>0</v>
      </c>
      <c r="I21" s="19" t="n">
        <f aca="false">IF($M21="","",INDEX('Master Stock'!$U$5:$U$206,$M21))</f>
        <v>2.99000000000001</v>
      </c>
      <c r="J21" s="20" t="str">
        <f aca="false">IF($M21="","",INDEX('Master Stock'!$S$5:$S$206,$M21))</f>
        <v/>
      </c>
      <c r="K21" s="18" t="str">
        <f aca="false">IF($M21="","",INDEX('Master Stock'!$V$5:$V$206,$M21))</f>
        <v>REORDER</v>
      </c>
      <c r="M21" s="21" t="n">
        <f aca="false">IF(LARGE('Master Stock'!$X$5:$X$206,A21)&gt;0,MATCH(LARGE('Master Stock'!$X$5:$X$206,A21),'Master Stock'!$X$5:$X$206,0),"")</f>
        <v>107</v>
      </c>
    </row>
    <row r="22" customFormat="false" ht="14.25" hidden="false" customHeight="true" outlineLevel="0" collapsed="false">
      <c r="A22" s="17" t="n">
        <v>5</v>
      </c>
      <c r="B22" s="18" t="str">
        <f aca="false">IF($M22="","",INDEX('Master Stock'!$A$5:$A$206,$M22))</f>
        <v/>
      </c>
      <c r="C22" s="18" t="str">
        <f aca="false">IF($M22="","",INDEX('Master Stock'!$B$5:$B$206,$M22))</f>
        <v/>
      </c>
      <c r="D22" s="18" t="str">
        <f aca="false">IF($M22="","",INDEX('Master Stock'!$C$5:$C$206,$M22))</f>
        <v/>
      </c>
      <c r="E22" s="19" t="str">
        <f aca="false">IF($M22="","",INDEX('Master Stock'!$H$5:$H$206,$M22))</f>
        <v/>
      </c>
      <c r="F22" s="19" t="str">
        <f aca="false">IF($M22="","",INDEX('Master Stock'!$N$5:$N$206,$M22))</f>
        <v/>
      </c>
      <c r="G22" s="19" t="str">
        <f aca="false">IF($M22="","",INDEX('Master Stock'!$T$5:$T$206,$M22))</f>
        <v/>
      </c>
      <c r="H22" s="19" t="str">
        <f aca="false">IF($M22="","",INDEX('Master Stock'!$Q$5:$Q$206,$M22))</f>
        <v/>
      </c>
      <c r="I22" s="19" t="str">
        <f aca="false">IF($M22="","",INDEX('Master Stock'!$U$5:$U$206,$M22))</f>
        <v/>
      </c>
      <c r="J22" s="20" t="str">
        <f aca="false">IF($M22="","",INDEX('Master Stock'!$S$5:$S$206,$M22))</f>
        <v/>
      </c>
      <c r="K22" s="18" t="str">
        <f aca="false">IF($M22="","",INDEX('Master Stock'!$V$5:$V$206,$M22))</f>
        <v/>
      </c>
      <c r="M22" s="21" t="str">
        <f aca="false">IF(LARGE('Master Stock'!$X$5:$X$206,A22)&gt;0,MATCH(LARGE('Master Stock'!$X$5:$X$206,A22),'Master Stock'!$X$5:$X$206,0),"")</f>
        <v/>
      </c>
    </row>
    <row r="23" customFormat="false" ht="14.25" hidden="false" customHeight="true" outlineLevel="0" collapsed="false">
      <c r="A23" s="17" t="n">
        <v>6</v>
      </c>
      <c r="B23" s="18" t="str">
        <f aca="false">IF($M23="","",INDEX('Master Stock'!$A$5:$A$206,$M23))</f>
        <v/>
      </c>
      <c r="C23" s="18" t="str">
        <f aca="false">IF($M23="","",INDEX('Master Stock'!$B$5:$B$206,$M23))</f>
        <v/>
      </c>
      <c r="D23" s="18" t="str">
        <f aca="false">IF($M23="","",INDEX('Master Stock'!$C$5:$C$206,$M23))</f>
        <v/>
      </c>
      <c r="E23" s="19" t="str">
        <f aca="false">IF($M23="","",INDEX('Master Stock'!$H$5:$H$206,$M23))</f>
        <v/>
      </c>
      <c r="F23" s="19" t="str">
        <f aca="false">IF($M23="","",INDEX('Master Stock'!$N$5:$N$206,$M23))</f>
        <v/>
      </c>
      <c r="G23" s="19" t="str">
        <f aca="false">IF($M23="","",INDEX('Master Stock'!$T$5:$T$206,$M23))</f>
        <v/>
      </c>
      <c r="H23" s="19" t="str">
        <f aca="false">IF($M23="","",INDEX('Master Stock'!$Q$5:$Q$206,$M23))</f>
        <v/>
      </c>
      <c r="I23" s="19" t="str">
        <f aca="false">IF($M23="","",INDEX('Master Stock'!$U$5:$U$206,$M23))</f>
        <v/>
      </c>
      <c r="J23" s="20" t="str">
        <f aca="false">IF($M23="","",INDEX('Master Stock'!$S$5:$S$206,$M23))</f>
        <v/>
      </c>
      <c r="K23" s="18" t="str">
        <f aca="false">IF($M23="","",INDEX('Master Stock'!$V$5:$V$206,$M23))</f>
        <v/>
      </c>
      <c r="M23" s="21" t="str">
        <f aca="false">IF(LARGE('Master Stock'!$X$5:$X$206,A23)&gt;0,MATCH(LARGE('Master Stock'!$X$5:$X$206,A23),'Master Stock'!$X$5:$X$206,0),"")</f>
        <v/>
      </c>
    </row>
    <row r="24" customFormat="false" ht="14.25" hidden="false" customHeight="true" outlineLevel="0" collapsed="false">
      <c r="A24" s="17" t="n">
        <v>7</v>
      </c>
      <c r="B24" s="18" t="str">
        <f aca="false">IF($M24="","",INDEX('Master Stock'!$A$5:$A$206,$M24))</f>
        <v/>
      </c>
      <c r="C24" s="18" t="str">
        <f aca="false">IF($M24="","",INDEX('Master Stock'!$B$5:$B$206,$M24))</f>
        <v/>
      </c>
      <c r="D24" s="18" t="str">
        <f aca="false">IF($M24="","",INDEX('Master Stock'!$C$5:$C$206,$M24))</f>
        <v/>
      </c>
      <c r="E24" s="19" t="str">
        <f aca="false">IF($M24="","",INDEX('Master Stock'!$H$5:$H$206,$M24))</f>
        <v/>
      </c>
      <c r="F24" s="19" t="str">
        <f aca="false">IF($M24="","",INDEX('Master Stock'!$N$5:$N$206,$M24))</f>
        <v/>
      </c>
      <c r="G24" s="19" t="str">
        <f aca="false">IF($M24="","",INDEX('Master Stock'!$T$5:$T$206,$M24))</f>
        <v/>
      </c>
      <c r="H24" s="19" t="str">
        <f aca="false">IF($M24="","",INDEX('Master Stock'!$Q$5:$Q$206,$M24))</f>
        <v/>
      </c>
      <c r="I24" s="19" t="str">
        <f aca="false">IF($M24="","",INDEX('Master Stock'!$U$5:$U$206,$M24))</f>
        <v/>
      </c>
      <c r="J24" s="20" t="str">
        <f aca="false">IF($M24="","",INDEX('Master Stock'!$S$5:$S$206,$M24))</f>
        <v/>
      </c>
      <c r="K24" s="18" t="str">
        <f aca="false">IF($M24="","",INDEX('Master Stock'!$V$5:$V$206,$M24))</f>
        <v/>
      </c>
      <c r="M24" s="21" t="str">
        <f aca="false">IF(LARGE('Master Stock'!$X$5:$X$206,A24)&gt;0,MATCH(LARGE('Master Stock'!$X$5:$X$206,A24),'Master Stock'!$X$5:$X$206,0),"")</f>
        <v/>
      </c>
    </row>
    <row r="25" customFormat="false" ht="14.25" hidden="false" customHeight="true" outlineLevel="0" collapsed="false">
      <c r="A25" s="17" t="n">
        <v>8</v>
      </c>
      <c r="B25" s="18" t="str">
        <f aca="false">IF($M25="","",INDEX('Master Stock'!$A$5:$A$206,$M25))</f>
        <v/>
      </c>
      <c r="C25" s="18" t="str">
        <f aca="false">IF($M25="","",INDEX('Master Stock'!$B$5:$B$206,$M25))</f>
        <v/>
      </c>
      <c r="D25" s="18" t="str">
        <f aca="false">IF($M25="","",INDEX('Master Stock'!$C$5:$C$206,$M25))</f>
        <v/>
      </c>
      <c r="E25" s="19" t="str">
        <f aca="false">IF($M25="","",INDEX('Master Stock'!$H$5:$H$206,$M25))</f>
        <v/>
      </c>
      <c r="F25" s="19" t="str">
        <f aca="false">IF($M25="","",INDEX('Master Stock'!$N$5:$N$206,$M25))</f>
        <v/>
      </c>
      <c r="G25" s="19" t="str">
        <f aca="false">IF($M25="","",INDEX('Master Stock'!$T$5:$T$206,$M25))</f>
        <v/>
      </c>
      <c r="H25" s="19" t="str">
        <f aca="false">IF($M25="","",INDEX('Master Stock'!$Q$5:$Q$206,$M25))</f>
        <v/>
      </c>
      <c r="I25" s="19" t="str">
        <f aca="false">IF($M25="","",INDEX('Master Stock'!$U$5:$U$206,$M25))</f>
        <v/>
      </c>
      <c r="J25" s="20" t="str">
        <f aca="false">IF($M25="","",INDEX('Master Stock'!$S$5:$S$206,$M25))</f>
        <v/>
      </c>
      <c r="K25" s="18" t="str">
        <f aca="false">IF($M25="","",INDEX('Master Stock'!$V$5:$V$206,$M25))</f>
        <v/>
      </c>
      <c r="M25" s="21" t="str">
        <f aca="false">IF(LARGE('Master Stock'!$X$5:$X$206,A25)&gt;0,MATCH(LARGE('Master Stock'!$X$5:$X$206,A25),'Master Stock'!$X$5:$X$206,0),"")</f>
        <v/>
      </c>
    </row>
    <row r="26" customFormat="false" ht="14.25" hidden="false" customHeight="true" outlineLevel="0" collapsed="false">
      <c r="A26" s="17" t="n">
        <v>9</v>
      </c>
      <c r="B26" s="18" t="str">
        <f aca="false">IF($M26="","",INDEX('Master Stock'!$A$5:$A$206,$M26))</f>
        <v/>
      </c>
      <c r="C26" s="18" t="str">
        <f aca="false">IF($M26="","",INDEX('Master Stock'!$B$5:$B$206,$M26))</f>
        <v/>
      </c>
      <c r="D26" s="18" t="str">
        <f aca="false">IF($M26="","",INDEX('Master Stock'!$C$5:$C$206,$M26))</f>
        <v/>
      </c>
      <c r="E26" s="19" t="str">
        <f aca="false">IF($M26="","",INDEX('Master Stock'!$H$5:$H$206,$M26))</f>
        <v/>
      </c>
      <c r="F26" s="19" t="str">
        <f aca="false">IF($M26="","",INDEX('Master Stock'!$N$5:$N$206,$M26))</f>
        <v/>
      </c>
      <c r="G26" s="19" t="str">
        <f aca="false">IF($M26="","",INDEX('Master Stock'!$T$5:$T$206,$M26))</f>
        <v/>
      </c>
      <c r="H26" s="19" t="str">
        <f aca="false">IF($M26="","",INDEX('Master Stock'!$Q$5:$Q$206,$M26))</f>
        <v/>
      </c>
      <c r="I26" s="19" t="str">
        <f aca="false">IF($M26="","",INDEX('Master Stock'!$U$5:$U$206,$M26))</f>
        <v/>
      </c>
      <c r="J26" s="20" t="str">
        <f aca="false">IF($M26="","",INDEX('Master Stock'!$S$5:$S$206,$M26))</f>
        <v/>
      </c>
      <c r="K26" s="18" t="str">
        <f aca="false">IF($M26="","",INDEX('Master Stock'!$V$5:$V$206,$M26))</f>
        <v/>
      </c>
      <c r="M26" s="21" t="str">
        <f aca="false">IF(LARGE('Master Stock'!$X$5:$X$206,A26)&gt;0,MATCH(LARGE('Master Stock'!$X$5:$X$206,A26),'Master Stock'!$X$5:$X$206,0),"")</f>
        <v/>
      </c>
    </row>
    <row r="27" customFormat="false" ht="14.25" hidden="false" customHeight="true" outlineLevel="0" collapsed="false">
      <c r="A27" s="17" t="n">
        <v>10</v>
      </c>
      <c r="B27" s="18" t="str">
        <f aca="false">IF($M27="","",INDEX('Master Stock'!$A$5:$A$206,$M27))</f>
        <v/>
      </c>
      <c r="C27" s="18" t="str">
        <f aca="false">IF($M27="","",INDEX('Master Stock'!$B$5:$B$206,$M27))</f>
        <v/>
      </c>
      <c r="D27" s="18" t="str">
        <f aca="false">IF($M27="","",INDEX('Master Stock'!$C$5:$C$206,$M27))</f>
        <v/>
      </c>
      <c r="E27" s="19" t="str">
        <f aca="false">IF($M27="","",INDEX('Master Stock'!$H$5:$H$206,$M27))</f>
        <v/>
      </c>
      <c r="F27" s="19" t="str">
        <f aca="false">IF($M27="","",INDEX('Master Stock'!$N$5:$N$206,$M27))</f>
        <v/>
      </c>
      <c r="G27" s="19" t="str">
        <f aca="false">IF($M27="","",INDEX('Master Stock'!$T$5:$T$206,$M27))</f>
        <v/>
      </c>
      <c r="H27" s="19" t="str">
        <f aca="false">IF($M27="","",INDEX('Master Stock'!$Q$5:$Q$206,$M27))</f>
        <v/>
      </c>
      <c r="I27" s="19" t="str">
        <f aca="false">IF($M27="","",INDEX('Master Stock'!$U$5:$U$206,$M27))</f>
        <v/>
      </c>
      <c r="J27" s="20" t="str">
        <f aca="false">IF($M27="","",INDEX('Master Stock'!$S$5:$S$206,$M27))</f>
        <v/>
      </c>
      <c r="K27" s="18" t="str">
        <f aca="false">IF($M27="","",INDEX('Master Stock'!$V$5:$V$206,$M27))</f>
        <v/>
      </c>
      <c r="M27" s="21" t="str">
        <f aca="false">IF(LARGE('Master Stock'!$X$5:$X$206,A27)&gt;0,MATCH(LARGE('Master Stock'!$X$5:$X$206,A27),'Master Stock'!$X$5:$X$206,0),"")</f>
        <v/>
      </c>
    </row>
    <row r="28" customFormat="false" ht="14.25" hidden="false" customHeight="true" outlineLevel="0" collapsed="false">
      <c r="A28" s="17" t="n">
        <v>11</v>
      </c>
      <c r="B28" s="18" t="str">
        <f aca="false">IF($M28="","",INDEX('Master Stock'!$A$5:$A$206,$M28))</f>
        <v/>
      </c>
      <c r="C28" s="18" t="str">
        <f aca="false">IF($M28="","",INDEX('Master Stock'!$B$5:$B$206,$M28))</f>
        <v/>
      </c>
      <c r="D28" s="18" t="str">
        <f aca="false">IF($M28="","",INDEX('Master Stock'!$C$5:$C$206,$M28))</f>
        <v/>
      </c>
      <c r="E28" s="19" t="str">
        <f aca="false">IF($M28="","",INDEX('Master Stock'!$H$5:$H$206,$M28))</f>
        <v/>
      </c>
      <c r="F28" s="19" t="str">
        <f aca="false">IF($M28="","",INDEX('Master Stock'!$N$5:$N$206,$M28))</f>
        <v/>
      </c>
      <c r="G28" s="19" t="str">
        <f aca="false">IF($M28="","",INDEX('Master Stock'!$T$5:$T$206,$M28))</f>
        <v/>
      </c>
      <c r="H28" s="19" t="str">
        <f aca="false">IF($M28="","",INDEX('Master Stock'!$Q$5:$Q$206,$M28))</f>
        <v/>
      </c>
      <c r="I28" s="19" t="str">
        <f aca="false">IF($M28="","",INDEX('Master Stock'!$U$5:$U$206,$M28))</f>
        <v/>
      </c>
      <c r="J28" s="20" t="str">
        <f aca="false">IF($M28="","",INDEX('Master Stock'!$S$5:$S$206,$M28))</f>
        <v/>
      </c>
      <c r="K28" s="18" t="str">
        <f aca="false">IF($M28="","",INDEX('Master Stock'!$V$5:$V$206,$M28))</f>
        <v/>
      </c>
      <c r="M28" s="21" t="str">
        <f aca="false">IF(LARGE('Master Stock'!$X$5:$X$206,A28)&gt;0,MATCH(LARGE('Master Stock'!$X$5:$X$206,A28),'Master Stock'!$X$5:$X$206,0),"")</f>
        <v/>
      </c>
    </row>
    <row r="29" customFormat="false" ht="14.25" hidden="false" customHeight="true" outlineLevel="0" collapsed="false">
      <c r="A29" s="17" t="n">
        <v>12</v>
      </c>
      <c r="B29" s="18" t="str">
        <f aca="false">IF($M29="","",INDEX('Master Stock'!$A$5:$A$206,$M29))</f>
        <v/>
      </c>
      <c r="C29" s="18" t="str">
        <f aca="false">IF($M29="","",INDEX('Master Stock'!$B$5:$B$206,$M29))</f>
        <v/>
      </c>
      <c r="D29" s="18" t="str">
        <f aca="false">IF($M29="","",INDEX('Master Stock'!$C$5:$C$206,$M29))</f>
        <v/>
      </c>
      <c r="E29" s="19" t="str">
        <f aca="false">IF($M29="","",INDEX('Master Stock'!$H$5:$H$206,$M29))</f>
        <v/>
      </c>
      <c r="F29" s="19" t="str">
        <f aca="false">IF($M29="","",INDEX('Master Stock'!$N$5:$N$206,$M29))</f>
        <v/>
      </c>
      <c r="G29" s="19" t="str">
        <f aca="false">IF($M29="","",INDEX('Master Stock'!$T$5:$T$206,$M29))</f>
        <v/>
      </c>
      <c r="H29" s="19" t="str">
        <f aca="false">IF($M29="","",INDEX('Master Stock'!$Q$5:$Q$206,$M29))</f>
        <v/>
      </c>
      <c r="I29" s="19" t="str">
        <f aca="false">IF($M29="","",INDEX('Master Stock'!$U$5:$U$206,$M29))</f>
        <v/>
      </c>
      <c r="J29" s="20" t="str">
        <f aca="false">IF($M29="","",INDEX('Master Stock'!$S$5:$S$206,$M29))</f>
        <v/>
      </c>
      <c r="K29" s="18" t="str">
        <f aca="false">IF($M29="","",INDEX('Master Stock'!$V$5:$V$206,$M29))</f>
        <v/>
      </c>
      <c r="M29" s="21" t="str">
        <f aca="false">IF(LARGE('Master Stock'!$X$5:$X$206,A29)&gt;0,MATCH(LARGE('Master Stock'!$X$5:$X$206,A29),'Master Stock'!$X$5:$X$206,0),"")</f>
        <v/>
      </c>
    </row>
    <row r="30" customFormat="false" ht="14.25" hidden="false" customHeight="true" outlineLevel="0" collapsed="false">
      <c r="A30" s="17" t="n">
        <v>13</v>
      </c>
      <c r="B30" s="18" t="str">
        <f aca="false">IF($M30="","",INDEX('Master Stock'!$A$5:$A$206,$M30))</f>
        <v/>
      </c>
      <c r="C30" s="18" t="str">
        <f aca="false">IF($M30="","",INDEX('Master Stock'!$B$5:$B$206,$M30))</f>
        <v/>
      </c>
      <c r="D30" s="18" t="str">
        <f aca="false">IF($M30="","",INDEX('Master Stock'!$C$5:$C$206,$M30))</f>
        <v/>
      </c>
      <c r="E30" s="19" t="str">
        <f aca="false">IF($M30="","",INDEX('Master Stock'!$H$5:$H$206,$M30))</f>
        <v/>
      </c>
      <c r="F30" s="19" t="str">
        <f aca="false">IF($M30="","",INDEX('Master Stock'!$N$5:$N$206,$M30))</f>
        <v/>
      </c>
      <c r="G30" s="19" t="str">
        <f aca="false">IF($M30="","",INDEX('Master Stock'!$T$5:$T$206,$M30))</f>
        <v/>
      </c>
      <c r="H30" s="19" t="str">
        <f aca="false">IF($M30="","",INDEX('Master Stock'!$Q$5:$Q$206,$M30))</f>
        <v/>
      </c>
      <c r="I30" s="19" t="str">
        <f aca="false">IF($M30="","",INDEX('Master Stock'!$U$5:$U$206,$M30))</f>
        <v/>
      </c>
      <c r="J30" s="20" t="str">
        <f aca="false">IF($M30="","",INDEX('Master Stock'!$S$5:$S$206,$M30))</f>
        <v/>
      </c>
      <c r="K30" s="18" t="str">
        <f aca="false">IF($M30="","",INDEX('Master Stock'!$V$5:$V$206,$M30))</f>
        <v/>
      </c>
      <c r="M30" s="21" t="str">
        <f aca="false">IF(LARGE('Master Stock'!$X$5:$X$206,A30)&gt;0,MATCH(LARGE('Master Stock'!$X$5:$X$206,A30),'Master Stock'!$X$5:$X$206,0),"")</f>
        <v/>
      </c>
    </row>
    <row r="31" customFormat="false" ht="14.25" hidden="false" customHeight="true" outlineLevel="0" collapsed="false">
      <c r="A31" s="17" t="n">
        <v>14</v>
      </c>
      <c r="B31" s="18" t="str">
        <f aca="false">IF($M31="","",INDEX('Master Stock'!$A$5:$A$206,$M31))</f>
        <v/>
      </c>
      <c r="C31" s="18" t="str">
        <f aca="false">IF($M31="","",INDEX('Master Stock'!$B$5:$B$206,$M31))</f>
        <v/>
      </c>
      <c r="D31" s="18" t="str">
        <f aca="false">IF($M31="","",INDEX('Master Stock'!$C$5:$C$206,$M31))</f>
        <v/>
      </c>
      <c r="E31" s="19" t="str">
        <f aca="false">IF($M31="","",INDEX('Master Stock'!$H$5:$H$206,$M31))</f>
        <v/>
      </c>
      <c r="F31" s="19" t="str">
        <f aca="false">IF($M31="","",INDEX('Master Stock'!$N$5:$N$206,$M31))</f>
        <v/>
      </c>
      <c r="G31" s="19" t="str">
        <f aca="false">IF($M31="","",INDEX('Master Stock'!$T$5:$T$206,$M31))</f>
        <v/>
      </c>
      <c r="H31" s="19" t="str">
        <f aca="false">IF($M31="","",INDEX('Master Stock'!$Q$5:$Q$206,$M31))</f>
        <v/>
      </c>
      <c r="I31" s="19" t="str">
        <f aca="false">IF($M31="","",INDEX('Master Stock'!$U$5:$U$206,$M31))</f>
        <v/>
      </c>
      <c r="J31" s="20" t="str">
        <f aca="false">IF($M31="","",INDEX('Master Stock'!$S$5:$S$206,$M31))</f>
        <v/>
      </c>
      <c r="K31" s="18" t="str">
        <f aca="false">IF($M31="","",INDEX('Master Stock'!$V$5:$V$206,$M31))</f>
        <v/>
      </c>
      <c r="M31" s="21" t="str">
        <f aca="false">IF(LARGE('Master Stock'!$X$5:$X$206,A31)&gt;0,MATCH(LARGE('Master Stock'!$X$5:$X$206,A31),'Master Stock'!$X$5:$X$206,0),"")</f>
        <v/>
      </c>
    </row>
    <row r="32" customFormat="false" ht="14.25" hidden="false" customHeight="true" outlineLevel="0" collapsed="false">
      <c r="A32" s="17" t="n">
        <v>15</v>
      </c>
      <c r="B32" s="18" t="str">
        <f aca="false">IF($M32="","",INDEX('Master Stock'!$A$5:$A$206,$M32))</f>
        <v/>
      </c>
      <c r="C32" s="18" t="str">
        <f aca="false">IF($M32="","",INDEX('Master Stock'!$B$5:$B$206,$M32))</f>
        <v/>
      </c>
      <c r="D32" s="18" t="str">
        <f aca="false">IF($M32="","",INDEX('Master Stock'!$C$5:$C$206,$M32))</f>
        <v/>
      </c>
      <c r="E32" s="19" t="str">
        <f aca="false">IF($M32="","",INDEX('Master Stock'!$H$5:$H$206,$M32))</f>
        <v/>
      </c>
      <c r="F32" s="19" t="str">
        <f aca="false">IF($M32="","",INDEX('Master Stock'!$N$5:$N$206,$M32))</f>
        <v/>
      </c>
      <c r="G32" s="19" t="str">
        <f aca="false">IF($M32="","",INDEX('Master Stock'!$T$5:$T$206,$M32))</f>
        <v/>
      </c>
      <c r="H32" s="19" t="str">
        <f aca="false">IF($M32="","",INDEX('Master Stock'!$Q$5:$Q$206,$M32))</f>
        <v/>
      </c>
      <c r="I32" s="19" t="str">
        <f aca="false">IF($M32="","",INDEX('Master Stock'!$U$5:$U$206,$M32))</f>
        <v/>
      </c>
      <c r="J32" s="20" t="str">
        <f aca="false">IF($M32="","",INDEX('Master Stock'!$S$5:$S$206,$M32))</f>
        <v/>
      </c>
      <c r="K32" s="18" t="str">
        <f aca="false">IF($M32="","",INDEX('Master Stock'!$V$5:$V$206,$M32))</f>
        <v/>
      </c>
      <c r="M32" s="21" t="str">
        <f aca="false">IF(LARGE('Master Stock'!$X$5:$X$206,A32)&gt;0,MATCH(LARGE('Master Stock'!$X$5:$X$206,A32),'Master Stock'!$X$5:$X$206,0),"")</f>
        <v/>
      </c>
    </row>
    <row r="33" customFormat="false" ht="14.25" hidden="false" customHeight="true" outlineLevel="0" collapsed="false">
      <c r="A33" s="17" t="n">
        <v>16</v>
      </c>
      <c r="B33" s="18" t="str">
        <f aca="false">IF($M33="","",INDEX('Master Stock'!$A$5:$A$206,$M33))</f>
        <v/>
      </c>
      <c r="C33" s="18" t="str">
        <f aca="false">IF($M33="","",INDEX('Master Stock'!$B$5:$B$206,$M33))</f>
        <v/>
      </c>
      <c r="D33" s="18" t="str">
        <f aca="false">IF($M33="","",INDEX('Master Stock'!$C$5:$C$206,$M33))</f>
        <v/>
      </c>
      <c r="E33" s="19" t="str">
        <f aca="false">IF($M33="","",INDEX('Master Stock'!$H$5:$H$206,$M33))</f>
        <v/>
      </c>
      <c r="F33" s="19" t="str">
        <f aca="false">IF($M33="","",INDEX('Master Stock'!$N$5:$N$206,$M33))</f>
        <v/>
      </c>
      <c r="G33" s="19" t="str">
        <f aca="false">IF($M33="","",INDEX('Master Stock'!$T$5:$T$206,$M33))</f>
        <v/>
      </c>
      <c r="H33" s="19" t="str">
        <f aca="false">IF($M33="","",INDEX('Master Stock'!$Q$5:$Q$206,$M33))</f>
        <v/>
      </c>
      <c r="I33" s="19" t="str">
        <f aca="false">IF($M33="","",INDEX('Master Stock'!$U$5:$U$206,$M33))</f>
        <v/>
      </c>
      <c r="J33" s="20" t="str">
        <f aca="false">IF($M33="","",INDEX('Master Stock'!$S$5:$S$206,$M33))</f>
        <v/>
      </c>
      <c r="K33" s="18" t="str">
        <f aca="false">IF($M33="","",INDEX('Master Stock'!$V$5:$V$206,$M33))</f>
        <v/>
      </c>
      <c r="M33" s="21" t="str">
        <f aca="false">IF(LARGE('Master Stock'!$X$5:$X$206,A33)&gt;0,MATCH(LARGE('Master Stock'!$X$5:$X$206,A33),'Master Stock'!$X$5:$X$206,0),"")</f>
        <v/>
      </c>
    </row>
    <row r="34" customFormat="false" ht="14.25" hidden="false" customHeight="true" outlineLevel="0" collapsed="false">
      <c r="A34" s="17" t="n">
        <v>17</v>
      </c>
      <c r="B34" s="18" t="str">
        <f aca="false">IF($M34="","",INDEX('Master Stock'!$A$5:$A$206,$M34))</f>
        <v/>
      </c>
      <c r="C34" s="18" t="str">
        <f aca="false">IF($M34="","",INDEX('Master Stock'!$B$5:$B$206,$M34))</f>
        <v/>
      </c>
      <c r="D34" s="18" t="str">
        <f aca="false">IF($M34="","",INDEX('Master Stock'!$C$5:$C$206,$M34))</f>
        <v/>
      </c>
      <c r="E34" s="19" t="str">
        <f aca="false">IF($M34="","",INDEX('Master Stock'!$H$5:$H$206,$M34))</f>
        <v/>
      </c>
      <c r="F34" s="19" t="str">
        <f aca="false">IF($M34="","",INDEX('Master Stock'!$N$5:$N$206,$M34))</f>
        <v/>
      </c>
      <c r="G34" s="19" t="str">
        <f aca="false">IF($M34="","",INDEX('Master Stock'!$T$5:$T$206,$M34))</f>
        <v/>
      </c>
      <c r="H34" s="19" t="str">
        <f aca="false">IF($M34="","",INDEX('Master Stock'!$Q$5:$Q$206,$M34))</f>
        <v/>
      </c>
      <c r="I34" s="19" t="str">
        <f aca="false">IF($M34="","",INDEX('Master Stock'!$U$5:$U$206,$M34))</f>
        <v/>
      </c>
      <c r="J34" s="20" t="str">
        <f aca="false">IF($M34="","",INDEX('Master Stock'!$S$5:$S$206,$M34))</f>
        <v/>
      </c>
      <c r="K34" s="18" t="str">
        <f aca="false">IF($M34="","",INDEX('Master Stock'!$V$5:$V$206,$M34))</f>
        <v/>
      </c>
      <c r="M34" s="21" t="str">
        <f aca="false">IF(LARGE('Master Stock'!$X$5:$X$206,A34)&gt;0,MATCH(LARGE('Master Stock'!$X$5:$X$206,A34),'Master Stock'!$X$5:$X$206,0),"")</f>
        <v/>
      </c>
    </row>
    <row r="35" customFormat="false" ht="14.25" hidden="false" customHeight="true" outlineLevel="0" collapsed="false">
      <c r="A35" s="17" t="n">
        <v>18</v>
      </c>
      <c r="B35" s="18" t="str">
        <f aca="false">IF($M35="","",INDEX('Master Stock'!$A$5:$A$206,$M35))</f>
        <v/>
      </c>
      <c r="C35" s="18" t="str">
        <f aca="false">IF($M35="","",INDEX('Master Stock'!$B$5:$B$206,$M35))</f>
        <v/>
      </c>
      <c r="D35" s="18" t="str">
        <f aca="false">IF($M35="","",INDEX('Master Stock'!$C$5:$C$206,$M35))</f>
        <v/>
      </c>
      <c r="E35" s="19" t="str">
        <f aca="false">IF($M35="","",INDEX('Master Stock'!$H$5:$H$206,$M35))</f>
        <v/>
      </c>
      <c r="F35" s="19" t="str">
        <f aca="false">IF($M35="","",INDEX('Master Stock'!$N$5:$N$206,$M35))</f>
        <v/>
      </c>
      <c r="G35" s="19" t="str">
        <f aca="false">IF($M35="","",INDEX('Master Stock'!$T$5:$T$206,$M35))</f>
        <v/>
      </c>
      <c r="H35" s="19" t="str">
        <f aca="false">IF($M35="","",INDEX('Master Stock'!$Q$5:$Q$206,$M35))</f>
        <v/>
      </c>
      <c r="I35" s="19" t="str">
        <f aca="false">IF($M35="","",INDEX('Master Stock'!$U$5:$U$206,$M35))</f>
        <v/>
      </c>
      <c r="J35" s="20" t="str">
        <f aca="false">IF($M35="","",INDEX('Master Stock'!$S$5:$S$206,$M35))</f>
        <v/>
      </c>
      <c r="K35" s="18" t="str">
        <f aca="false">IF($M35="","",INDEX('Master Stock'!$V$5:$V$206,$M35))</f>
        <v/>
      </c>
      <c r="M35" s="21" t="str">
        <f aca="false">IF(LARGE('Master Stock'!$X$5:$X$206,A35)&gt;0,MATCH(LARGE('Master Stock'!$X$5:$X$206,A35),'Master Stock'!$X$5:$X$206,0),"")</f>
        <v/>
      </c>
    </row>
    <row r="36" customFormat="false" ht="14.25" hidden="false" customHeight="true" outlineLevel="0" collapsed="false">
      <c r="A36" s="17" t="n">
        <v>19</v>
      </c>
      <c r="B36" s="18" t="str">
        <f aca="false">IF($M36="","",INDEX('Master Stock'!$A$5:$A$206,$M36))</f>
        <v/>
      </c>
      <c r="C36" s="18" t="str">
        <f aca="false">IF($M36="","",INDEX('Master Stock'!$B$5:$B$206,$M36))</f>
        <v/>
      </c>
      <c r="D36" s="18" t="str">
        <f aca="false">IF($M36="","",INDEX('Master Stock'!$C$5:$C$206,$M36))</f>
        <v/>
      </c>
      <c r="E36" s="19" t="str">
        <f aca="false">IF($M36="","",INDEX('Master Stock'!$H$5:$H$206,$M36))</f>
        <v/>
      </c>
      <c r="F36" s="19" t="str">
        <f aca="false">IF($M36="","",INDEX('Master Stock'!$N$5:$N$206,$M36))</f>
        <v/>
      </c>
      <c r="G36" s="19" t="str">
        <f aca="false">IF($M36="","",INDEX('Master Stock'!$T$5:$T$206,$M36))</f>
        <v/>
      </c>
      <c r="H36" s="19" t="str">
        <f aca="false">IF($M36="","",INDEX('Master Stock'!$Q$5:$Q$206,$M36))</f>
        <v/>
      </c>
      <c r="I36" s="19" t="str">
        <f aca="false">IF($M36="","",INDEX('Master Stock'!$U$5:$U$206,$M36))</f>
        <v/>
      </c>
      <c r="J36" s="20" t="str">
        <f aca="false">IF($M36="","",INDEX('Master Stock'!$S$5:$S$206,$M36))</f>
        <v/>
      </c>
      <c r="K36" s="18" t="str">
        <f aca="false">IF($M36="","",INDEX('Master Stock'!$V$5:$V$206,$M36))</f>
        <v/>
      </c>
      <c r="M36" s="21" t="str">
        <f aca="false">IF(LARGE('Master Stock'!$X$5:$X$206,A36)&gt;0,MATCH(LARGE('Master Stock'!$X$5:$X$206,A36),'Master Stock'!$X$5:$X$206,0),"")</f>
        <v/>
      </c>
    </row>
    <row r="37" customFormat="false" ht="14.25" hidden="false" customHeight="true" outlineLevel="0" collapsed="false">
      <c r="A37" s="17" t="n">
        <v>20</v>
      </c>
      <c r="B37" s="18" t="str">
        <f aca="false">IF($M37="","",INDEX('Master Stock'!$A$5:$A$206,$M37))</f>
        <v/>
      </c>
      <c r="C37" s="18" t="str">
        <f aca="false">IF($M37="","",INDEX('Master Stock'!$B$5:$B$206,$M37))</f>
        <v/>
      </c>
      <c r="D37" s="18" t="str">
        <f aca="false">IF($M37="","",INDEX('Master Stock'!$C$5:$C$206,$M37))</f>
        <v/>
      </c>
      <c r="E37" s="19" t="str">
        <f aca="false">IF($M37="","",INDEX('Master Stock'!$H$5:$H$206,$M37))</f>
        <v/>
      </c>
      <c r="F37" s="19" t="str">
        <f aca="false">IF($M37="","",INDEX('Master Stock'!$N$5:$N$206,$M37))</f>
        <v/>
      </c>
      <c r="G37" s="19" t="str">
        <f aca="false">IF($M37="","",INDEX('Master Stock'!$T$5:$T$206,$M37))</f>
        <v/>
      </c>
      <c r="H37" s="19" t="str">
        <f aca="false">IF($M37="","",INDEX('Master Stock'!$Q$5:$Q$206,$M37))</f>
        <v/>
      </c>
      <c r="I37" s="19" t="str">
        <f aca="false">IF($M37="","",INDEX('Master Stock'!$U$5:$U$206,$M37))</f>
        <v/>
      </c>
      <c r="J37" s="20" t="str">
        <f aca="false">IF($M37="","",INDEX('Master Stock'!$S$5:$S$206,$M37))</f>
        <v/>
      </c>
      <c r="K37" s="18" t="str">
        <f aca="false">IF($M37="","",INDEX('Master Stock'!$V$5:$V$206,$M37))</f>
        <v/>
      </c>
      <c r="M37" s="21" t="str">
        <f aca="false">IF(LARGE('Master Stock'!$X$5:$X$206,A37)&gt;0,MATCH(LARGE('Master Stock'!$X$5:$X$206,A37),'Master Stock'!$X$5:$X$206,0),"")</f>
        <v/>
      </c>
    </row>
    <row r="38" customFormat="false" ht="14.25" hidden="false" customHeight="true" outlineLevel="0" collapsed="false">
      <c r="A38" s="17" t="n">
        <v>21</v>
      </c>
      <c r="B38" s="18" t="str">
        <f aca="false">IF($M38="","",INDEX('Master Stock'!$A$5:$A$206,$M38))</f>
        <v/>
      </c>
      <c r="C38" s="18" t="str">
        <f aca="false">IF($M38="","",INDEX('Master Stock'!$B$5:$B$206,$M38))</f>
        <v/>
      </c>
      <c r="D38" s="18" t="str">
        <f aca="false">IF($M38="","",INDEX('Master Stock'!$C$5:$C$206,$M38))</f>
        <v/>
      </c>
      <c r="E38" s="19" t="str">
        <f aca="false">IF($M38="","",INDEX('Master Stock'!$H$5:$H$206,$M38))</f>
        <v/>
      </c>
      <c r="F38" s="19" t="str">
        <f aca="false">IF($M38="","",INDEX('Master Stock'!$N$5:$N$206,$M38))</f>
        <v/>
      </c>
      <c r="G38" s="19" t="str">
        <f aca="false">IF($M38="","",INDEX('Master Stock'!$T$5:$T$206,$M38))</f>
        <v/>
      </c>
      <c r="H38" s="19" t="str">
        <f aca="false">IF($M38="","",INDEX('Master Stock'!$Q$5:$Q$206,$M38))</f>
        <v/>
      </c>
      <c r="I38" s="19" t="str">
        <f aca="false">IF($M38="","",INDEX('Master Stock'!$U$5:$U$206,$M38))</f>
        <v/>
      </c>
      <c r="J38" s="20" t="str">
        <f aca="false">IF($M38="","",INDEX('Master Stock'!$S$5:$S$206,$M38))</f>
        <v/>
      </c>
      <c r="K38" s="18" t="str">
        <f aca="false">IF($M38="","",INDEX('Master Stock'!$V$5:$V$206,$M38))</f>
        <v/>
      </c>
      <c r="M38" s="21" t="str">
        <f aca="false">IF(LARGE('Master Stock'!$X$5:$X$206,A38)&gt;0,MATCH(LARGE('Master Stock'!$X$5:$X$206,A38),'Master Stock'!$X$5:$X$206,0),"")</f>
        <v/>
      </c>
    </row>
    <row r="39" customFormat="false" ht="14.25" hidden="false" customHeight="true" outlineLevel="0" collapsed="false">
      <c r="A39" s="17" t="n">
        <v>22</v>
      </c>
      <c r="B39" s="18" t="str">
        <f aca="false">IF($M39="","",INDEX('Master Stock'!$A$5:$A$206,$M39))</f>
        <v/>
      </c>
      <c r="C39" s="18" t="str">
        <f aca="false">IF($M39="","",INDEX('Master Stock'!$B$5:$B$206,$M39))</f>
        <v/>
      </c>
      <c r="D39" s="18" t="str">
        <f aca="false">IF($M39="","",INDEX('Master Stock'!$C$5:$C$206,$M39))</f>
        <v/>
      </c>
      <c r="E39" s="19" t="str">
        <f aca="false">IF($M39="","",INDEX('Master Stock'!$H$5:$H$206,$M39))</f>
        <v/>
      </c>
      <c r="F39" s="19" t="str">
        <f aca="false">IF($M39="","",INDEX('Master Stock'!$N$5:$N$206,$M39))</f>
        <v/>
      </c>
      <c r="G39" s="19" t="str">
        <f aca="false">IF($M39="","",INDEX('Master Stock'!$T$5:$T$206,$M39))</f>
        <v/>
      </c>
      <c r="H39" s="19" t="str">
        <f aca="false">IF($M39="","",INDEX('Master Stock'!$Q$5:$Q$206,$M39))</f>
        <v/>
      </c>
      <c r="I39" s="19" t="str">
        <f aca="false">IF($M39="","",INDEX('Master Stock'!$U$5:$U$206,$M39))</f>
        <v/>
      </c>
      <c r="J39" s="20" t="str">
        <f aca="false">IF($M39="","",INDEX('Master Stock'!$S$5:$S$206,$M39))</f>
        <v/>
      </c>
      <c r="K39" s="18" t="str">
        <f aca="false">IF($M39="","",INDEX('Master Stock'!$V$5:$V$206,$M39))</f>
        <v/>
      </c>
      <c r="M39" s="21" t="str">
        <f aca="false">IF(LARGE('Master Stock'!$X$5:$X$206,A39)&gt;0,MATCH(LARGE('Master Stock'!$X$5:$X$206,A39),'Master Stock'!$X$5:$X$206,0),"")</f>
        <v/>
      </c>
    </row>
    <row r="40" customFormat="false" ht="14.25" hidden="false" customHeight="true" outlineLevel="0" collapsed="false">
      <c r="A40" s="17" t="n">
        <v>23</v>
      </c>
      <c r="B40" s="18" t="str">
        <f aca="false">IF($M40="","",INDEX('Master Stock'!$A$5:$A$206,$M40))</f>
        <v/>
      </c>
      <c r="C40" s="18" t="str">
        <f aca="false">IF($M40="","",INDEX('Master Stock'!$B$5:$B$206,$M40))</f>
        <v/>
      </c>
      <c r="D40" s="18" t="str">
        <f aca="false">IF($M40="","",INDEX('Master Stock'!$C$5:$C$206,$M40))</f>
        <v/>
      </c>
      <c r="E40" s="19" t="str">
        <f aca="false">IF($M40="","",INDEX('Master Stock'!$H$5:$H$206,$M40))</f>
        <v/>
      </c>
      <c r="F40" s="19" t="str">
        <f aca="false">IF($M40="","",INDEX('Master Stock'!$N$5:$N$206,$M40))</f>
        <v/>
      </c>
      <c r="G40" s="19" t="str">
        <f aca="false">IF($M40="","",INDEX('Master Stock'!$T$5:$T$206,$M40))</f>
        <v/>
      </c>
      <c r="H40" s="19" t="str">
        <f aca="false">IF($M40="","",INDEX('Master Stock'!$Q$5:$Q$206,$M40))</f>
        <v/>
      </c>
      <c r="I40" s="19" t="str">
        <f aca="false">IF($M40="","",INDEX('Master Stock'!$U$5:$U$206,$M40))</f>
        <v/>
      </c>
      <c r="J40" s="20" t="str">
        <f aca="false">IF($M40="","",INDEX('Master Stock'!$S$5:$S$206,$M40))</f>
        <v/>
      </c>
      <c r="K40" s="18" t="str">
        <f aca="false">IF($M40="","",INDEX('Master Stock'!$V$5:$V$206,$M40))</f>
        <v/>
      </c>
      <c r="M40" s="21" t="str">
        <f aca="false">IF(LARGE('Master Stock'!$X$5:$X$206,A40)&gt;0,MATCH(LARGE('Master Stock'!$X$5:$X$206,A40),'Master Stock'!$X$5:$X$206,0),"")</f>
        <v/>
      </c>
    </row>
    <row r="41" customFormat="false" ht="14.25" hidden="false" customHeight="true" outlineLevel="0" collapsed="false">
      <c r="A41" s="17" t="n">
        <v>24</v>
      </c>
      <c r="B41" s="18" t="str">
        <f aca="false">IF($M41="","",INDEX('Master Stock'!$A$5:$A$206,$M41))</f>
        <v/>
      </c>
      <c r="C41" s="18" t="str">
        <f aca="false">IF($M41="","",INDEX('Master Stock'!$B$5:$B$206,$M41))</f>
        <v/>
      </c>
      <c r="D41" s="18" t="str">
        <f aca="false">IF($M41="","",INDEX('Master Stock'!$C$5:$C$206,$M41))</f>
        <v/>
      </c>
      <c r="E41" s="19" t="str">
        <f aca="false">IF($M41="","",INDEX('Master Stock'!$H$5:$H$206,$M41))</f>
        <v/>
      </c>
      <c r="F41" s="19" t="str">
        <f aca="false">IF($M41="","",INDEX('Master Stock'!$N$5:$N$206,$M41))</f>
        <v/>
      </c>
      <c r="G41" s="19" t="str">
        <f aca="false">IF($M41="","",INDEX('Master Stock'!$T$5:$T$206,$M41))</f>
        <v/>
      </c>
      <c r="H41" s="19" t="str">
        <f aca="false">IF($M41="","",INDEX('Master Stock'!$Q$5:$Q$206,$M41))</f>
        <v/>
      </c>
      <c r="I41" s="19" t="str">
        <f aca="false">IF($M41="","",INDEX('Master Stock'!$U$5:$U$206,$M41))</f>
        <v/>
      </c>
      <c r="J41" s="20" t="str">
        <f aca="false">IF($M41="","",INDEX('Master Stock'!$S$5:$S$206,$M41))</f>
        <v/>
      </c>
      <c r="K41" s="18" t="str">
        <f aca="false">IF($M41="","",INDEX('Master Stock'!$V$5:$V$206,$M41))</f>
        <v/>
      </c>
      <c r="M41" s="21" t="str">
        <f aca="false">IF(LARGE('Master Stock'!$X$5:$X$206,A41)&gt;0,MATCH(LARGE('Master Stock'!$X$5:$X$206,A41),'Master Stock'!$X$5:$X$206,0),"")</f>
        <v/>
      </c>
    </row>
    <row r="42" customFormat="false" ht="14.25" hidden="false" customHeight="true" outlineLevel="0" collapsed="false">
      <c r="A42" s="17" t="n">
        <v>25</v>
      </c>
      <c r="B42" s="18" t="str">
        <f aca="false">IF($M42="","",INDEX('Master Stock'!$A$5:$A$206,$M42))</f>
        <v/>
      </c>
      <c r="C42" s="18" t="str">
        <f aca="false">IF($M42="","",INDEX('Master Stock'!$B$5:$B$206,$M42))</f>
        <v/>
      </c>
      <c r="D42" s="18" t="str">
        <f aca="false">IF($M42="","",INDEX('Master Stock'!$C$5:$C$206,$M42))</f>
        <v/>
      </c>
      <c r="E42" s="19" t="str">
        <f aca="false">IF($M42="","",INDEX('Master Stock'!$H$5:$H$206,$M42))</f>
        <v/>
      </c>
      <c r="F42" s="19" t="str">
        <f aca="false">IF($M42="","",INDEX('Master Stock'!$N$5:$N$206,$M42))</f>
        <v/>
      </c>
      <c r="G42" s="19" t="str">
        <f aca="false">IF($M42="","",INDEX('Master Stock'!$T$5:$T$206,$M42))</f>
        <v/>
      </c>
      <c r="H42" s="19" t="str">
        <f aca="false">IF($M42="","",INDEX('Master Stock'!$Q$5:$Q$206,$M42))</f>
        <v/>
      </c>
      <c r="I42" s="19" t="str">
        <f aca="false">IF($M42="","",INDEX('Master Stock'!$U$5:$U$206,$M42))</f>
        <v/>
      </c>
      <c r="J42" s="20" t="str">
        <f aca="false">IF($M42="","",INDEX('Master Stock'!$S$5:$S$206,$M42))</f>
        <v/>
      </c>
      <c r="K42" s="18" t="str">
        <f aca="false">IF($M42="","",INDEX('Master Stock'!$V$5:$V$206,$M42))</f>
        <v/>
      </c>
      <c r="M42" s="21" t="str">
        <f aca="false">IF(LARGE('Master Stock'!$X$5:$X$206,A42)&gt;0,MATCH(LARGE('Master Stock'!$X$5:$X$206,A42),'Master Stock'!$X$5:$X$206,0),"")</f>
        <v/>
      </c>
    </row>
    <row r="43" customFormat="false" ht="14.25" hidden="false" customHeight="true" outlineLevel="0" collapsed="false">
      <c r="A43" s="17" t="n">
        <v>26</v>
      </c>
      <c r="B43" s="18" t="str">
        <f aca="false">IF($M43="","",INDEX('Master Stock'!$A$5:$A$206,$M43))</f>
        <v/>
      </c>
      <c r="C43" s="18" t="str">
        <f aca="false">IF($M43="","",INDEX('Master Stock'!$B$5:$B$206,$M43))</f>
        <v/>
      </c>
      <c r="D43" s="18" t="str">
        <f aca="false">IF($M43="","",INDEX('Master Stock'!$C$5:$C$206,$M43))</f>
        <v/>
      </c>
      <c r="E43" s="19" t="str">
        <f aca="false">IF($M43="","",INDEX('Master Stock'!$H$5:$H$206,$M43))</f>
        <v/>
      </c>
      <c r="F43" s="19" t="str">
        <f aca="false">IF($M43="","",INDEX('Master Stock'!$N$5:$N$206,$M43))</f>
        <v/>
      </c>
      <c r="G43" s="19" t="str">
        <f aca="false">IF($M43="","",INDEX('Master Stock'!$T$5:$T$206,$M43))</f>
        <v/>
      </c>
      <c r="H43" s="19" t="str">
        <f aca="false">IF($M43="","",INDEX('Master Stock'!$Q$5:$Q$206,$M43))</f>
        <v/>
      </c>
      <c r="I43" s="19" t="str">
        <f aca="false">IF($M43="","",INDEX('Master Stock'!$U$5:$U$206,$M43))</f>
        <v/>
      </c>
      <c r="J43" s="20" t="str">
        <f aca="false">IF($M43="","",INDEX('Master Stock'!$S$5:$S$206,$M43))</f>
        <v/>
      </c>
      <c r="K43" s="18" t="str">
        <f aca="false">IF($M43="","",INDEX('Master Stock'!$V$5:$V$206,$M43))</f>
        <v/>
      </c>
      <c r="M43" s="21" t="str">
        <f aca="false">IF(LARGE('Master Stock'!$X$5:$X$206,A43)&gt;0,MATCH(LARGE('Master Stock'!$X$5:$X$206,A43),'Master Stock'!$X$5:$X$206,0),"")</f>
        <v/>
      </c>
    </row>
    <row r="44" customFormat="false" ht="14.25" hidden="false" customHeight="true" outlineLevel="0" collapsed="false">
      <c r="A44" s="17" t="n">
        <v>27</v>
      </c>
      <c r="B44" s="18" t="str">
        <f aca="false">IF($M44="","",INDEX('Master Stock'!$A$5:$A$206,$M44))</f>
        <v/>
      </c>
      <c r="C44" s="18" t="str">
        <f aca="false">IF($M44="","",INDEX('Master Stock'!$B$5:$B$206,$M44))</f>
        <v/>
      </c>
      <c r="D44" s="18" t="str">
        <f aca="false">IF($M44="","",INDEX('Master Stock'!$C$5:$C$206,$M44))</f>
        <v/>
      </c>
      <c r="E44" s="19" t="str">
        <f aca="false">IF($M44="","",INDEX('Master Stock'!$H$5:$H$206,$M44))</f>
        <v/>
      </c>
      <c r="F44" s="19" t="str">
        <f aca="false">IF($M44="","",INDEX('Master Stock'!$N$5:$N$206,$M44))</f>
        <v/>
      </c>
      <c r="G44" s="19" t="str">
        <f aca="false">IF($M44="","",INDEX('Master Stock'!$T$5:$T$206,$M44))</f>
        <v/>
      </c>
      <c r="H44" s="19" t="str">
        <f aca="false">IF($M44="","",INDEX('Master Stock'!$Q$5:$Q$206,$M44))</f>
        <v/>
      </c>
      <c r="I44" s="19" t="str">
        <f aca="false">IF($M44="","",INDEX('Master Stock'!$U$5:$U$206,$M44))</f>
        <v/>
      </c>
      <c r="J44" s="20" t="str">
        <f aca="false">IF($M44="","",INDEX('Master Stock'!$S$5:$S$206,$M44))</f>
        <v/>
      </c>
      <c r="K44" s="18" t="str">
        <f aca="false">IF($M44="","",INDEX('Master Stock'!$V$5:$V$206,$M44))</f>
        <v/>
      </c>
      <c r="M44" s="21" t="str">
        <f aca="false">IF(LARGE('Master Stock'!$X$5:$X$206,A44)&gt;0,MATCH(LARGE('Master Stock'!$X$5:$X$206,A44),'Master Stock'!$X$5:$X$206,0),"")</f>
        <v/>
      </c>
    </row>
    <row r="45" customFormat="false" ht="14.25" hidden="false" customHeight="true" outlineLevel="0" collapsed="false">
      <c r="A45" s="17" t="n">
        <v>28</v>
      </c>
      <c r="B45" s="18" t="str">
        <f aca="false">IF($M45="","",INDEX('Master Stock'!$A$5:$A$206,$M45))</f>
        <v/>
      </c>
      <c r="C45" s="18" t="str">
        <f aca="false">IF($M45="","",INDEX('Master Stock'!$B$5:$B$206,$M45))</f>
        <v/>
      </c>
      <c r="D45" s="18" t="str">
        <f aca="false">IF($M45="","",INDEX('Master Stock'!$C$5:$C$206,$M45))</f>
        <v/>
      </c>
      <c r="E45" s="19" t="str">
        <f aca="false">IF($M45="","",INDEX('Master Stock'!$H$5:$H$206,$M45))</f>
        <v/>
      </c>
      <c r="F45" s="19" t="str">
        <f aca="false">IF($M45="","",INDEX('Master Stock'!$N$5:$N$206,$M45))</f>
        <v/>
      </c>
      <c r="G45" s="19" t="str">
        <f aca="false">IF($M45="","",INDEX('Master Stock'!$T$5:$T$206,$M45))</f>
        <v/>
      </c>
      <c r="H45" s="19" t="str">
        <f aca="false">IF($M45="","",INDEX('Master Stock'!$Q$5:$Q$206,$M45))</f>
        <v/>
      </c>
      <c r="I45" s="19" t="str">
        <f aca="false">IF($M45="","",INDEX('Master Stock'!$U$5:$U$206,$M45))</f>
        <v/>
      </c>
      <c r="J45" s="20" t="str">
        <f aca="false">IF($M45="","",INDEX('Master Stock'!$S$5:$S$206,$M45))</f>
        <v/>
      </c>
      <c r="K45" s="18" t="str">
        <f aca="false">IF($M45="","",INDEX('Master Stock'!$V$5:$V$206,$M45))</f>
        <v/>
      </c>
      <c r="M45" s="21" t="str">
        <f aca="false">IF(LARGE('Master Stock'!$X$5:$X$206,A45)&gt;0,MATCH(LARGE('Master Stock'!$X$5:$X$206,A45),'Master Stock'!$X$5:$X$206,0),"")</f>
        <v/>
      </c>
    </row>
    <row r="46" customFormat="false" ht="14.25" hidden="false" customHeight="true" outlineLevel="0" collapsed="false">
      <c r="A46" s="17" t="n">
        <v>29</v>
      </c>
      <c r="B46" s="18" t="str">
        <f aca="false">IF($M46="","",INDEX('Master Stock'!$A$5:$A$206,$M46))</f>
        <v/>
      </c>
      <c r="C46" s="18" t="str">
        <f aca="false">IF($M46="","",INDEX('Master Stock'!$B$5:$B$206,$M46))</f>
        <v/>
      </c>
      <c r="D46" s="18" t="str">
        <f aca="false">IF($M46="","",INDEX('Master Stock'!$C$5:$C$206,$M46))</f>
        <v/>
      </c>
      <c r="E46" s="19" t="str">
        <f aca="false">IF($M46="","",INDEX('Master Stock'!$H$5:$H$206,$M46))</f>
        <v/>
      </c>
      <c r="F46" s="19" t="str">
        <f aca="false">IF($M46="","",INDEX('Master Stock'!$N$5:$N$206,$M46))</f>
        <v/>
      </c>
      <c r="G46" s="19" t="str">
        <f aca="false">IF($M46="","",INDEX('Master Stock'!$T$5:$T$206,$M46))</f>
        <v/>
      </c>
      <c r="H46" s="19" t="str">
        <f aca="false">IF($M46="","",INDEX('Master Stock'!$Q$5:$Q$206,$M46))</f>
        <v/>
      </c>
      <c r="I46" s="19" t="str">
        <f aca="false">IF($M46="","",INDEX('Master Stock'!$U$5:$U$206,$M46))</f>
        <v/>
      </c>
      <c r="J46" s="20" t="str">
        <f aca="false">IF($M46="","",INDEX('Master Stock'!$S$5:$S$206,$M46))</f>
        <v/>
      </c>
      <c r="K46" s="18" t="str">
        <f aca="false">IF($M46="","",INDEX('Master Stock'!$V$5:$V$206,$M46))</f>
        <v/>
      </c>
      <c r="M46" s="21" t="str">
        <f aca="false">IF(LARGE('Master Stock'!$X$5:$X$206,A46)&gt;0,MATCH(LARGE('Master Stock'!$X$5:$X$206,A46),'Master Stock'!$X$5:$X$206,0),"")</f>
        <v/>
      </c>
    </row>
    <row r="47" customFormat="false" ht="14.25" hidden="false" customHeight="true" outlineLevel="0" collapsed="false">
      <c r="A47" s="17" t="n">
        <v>30</v>
      </c>
      <c r="B47" s="18" t="str">
        <f aca="false">IF($M47="","",INDEX('Master Stock'!$A$5:$A$206,$M47))</f>
        <v/>
      </c>
      <c r="C47" s="18" t="str">
        <f aca="false">IF($M47="","",INDEX('Master Stock'!$B$5:$B$206,$M47))</f>
        <v/>
      </c>
      <c r="D47" s="18" t="str">
        <f aca="false">IF($M47="","",INDEX('Master Stock'!$C$5:$C$206,$M47))</f>
        <v/>
      </c>
      <c r="E47" s="19" t="str">
        <f aca="false">IF($M47="","",INDEX('Master Stock'!$H$5:$H$206,$M47))</f>
        <v/>
      </c>
      <c r="F47" s="19" t="str">
        <f aca="false">IF($M47="","",INDEX('Master Stock'!$N$5:$N$206,$M47))</f>
        <v/>
      </c>
      <c r="G47" s="19" t="str">
        <f aca="false">IF($M47="","",INDEX('Master Stock'!$T$5:$T$206,$M47))</f>
        <v/>
      </c>
      <c r="H47" s="19" t="str">
        <f aca="false">IF($M47="","",INDEX('Master Stock'!$Q$5:$Q$206,$M47))</f>
        <v/>
      </c>
      <c r="I47" s="19" t="str">
        <f aca="false">IF($M47="","",INDEX('Master Stock'!$U$5:$U$206,$M47))</f>
        <v/>
      </c>
      <c r="J47" s="20" t="str">
        <f aca="false">IF($M47="","",INDEX('Master Stock'!$S$5:$S$206,$M47))</f>
        <v/>
      </c>
      <c r="K47" s="18" t="str">
        <f aca="false">IF($M47="","",INDEX('Master Stock'!$V$5:$V$206,$M47))</f>
        <v/>
      </c>
      <c r="M47" s="21" t="str">
        <f aca="false">IF(LARGE('Master Stock'!$X$5:$X$206,A47)&gt;0,MATCH(LARGE('Master Stock'!$X$5:$X$206,A47),'Master Stock'!$X$5:$X$206,0),"")</f>
        <v/>
      </c>
    </row>
    <row r="48" customFormat="false" ht="14.25" hidden="false" customHeight="true" outlineLevel="0" collapsed="false">
      <c r="A48" s="17" t="n">
        <v>31</v>
      </c>
      <c r="B48" s="18" t="str">
        <f aca="false">IF($M48="","",INDEX('Master Stock'!$A$5:$A$206,$M48))</f>
        <v/>
      </c>
      <c r="C48" s="18" t="str">
        <f aca="false">IF($M48="","",INDEX('Master Stock'!$B$5:$B$206,$M48))</f>
        <v/>
      </c>
      <c r="D48" s="18" t="str">
        <f aca="false">IF($M48="","",INDEX('Master Stock'!$C$5:$C$206,$M48))</f>
        <v/>
      </c>
      <c r="E48" s="19" t="str">
        <f aca="false">IF($M48="","",INDEX('Master Stock'!$H$5:$H$206,$M48))</f>
        <v/>
      </c>
      <c r="F48" s="19" t="str">
        <f aca="false">IF($M48="","",INDEX('Master Stock'!$N$5:$N$206,$M48))</f>
        <v/>
      </c>
      <c r="G48" s="19" t="str">
        <f aca="false">IF($M48="","",INDEX('Master Stock'!$T$5:$T$206,$M48))</f>
        <v/>
      </c>
      <c r="H48" s="19" t="str">
        <f aca="false">IF($M48="","",INDEX('Master Stock'!$Q$5:$Q$206,$M48))</f>
        <v/>
      </c>
      <c r="I48" s="19" t="str">
        <f aca="false">IF($M48="","",INDEX('Master Stock'!$U$5:$U$206,$M48))</f>
        <v/>
      </c>
      <c r="J48" s="20" t="str">
        <f aca="false">IF($M48="","",INDEX('Master Stock'!$S$5:$S$206,$M48))</f>
        <v/>
      </c>
      <c r="K48" s="18" t="str">
        <f aca="false">IF($M48="","",INDEX('Master Stock'!$V$5:$V$206,$M48))</f>
        <v/>
      </c>
      <c r="M48" s="21" t="str">
        <f aca="false">IF(LARGE('Master Stock'!$X$5:$X$206,A48)&gt;0,MATCH(LARGE('Master Stock'!$X$5:$X$206,A48),'Master Stock'!$X$5:$X$206,0),"")</f>
        <v/>
      </c>
    </row>
    <row r="49" customFormat="false" ht="14.25" hidden="false" customHeight="true" outlineLevel="0" collapsed="false">
      <c r="A49" s="17" t="n">
        <v>32</v>
      </c>
      <c r="B49" s="18" t="str">
        <f aca="false">IF($M49="","",INDEX('Master Stock'!$A$5:$A$206,$M49))</f>
        <v/>
      </c>
      <c r="C49" s="18" t="str">
        <f aca="false">IF($M49="","",INDEX('Master Stock'!$B$5:$B$206,$M49))</f>
        <v/>
      </c>
      <c r="D49" s="18" t="str">
        <f aca="false">IF($M49="","",INDEX('Master Stock'!$C$5:$C$206,$M49))</f>
        <v/>
      </c>
      <c r="E49" s="19" t="str">
        <f aca="false">IF($M49="","",INDEX('Master Stock'!$H$5:$H$206,$M49))</f>
        <v/>
      </c>
      <c r="F49" s="19" t="str">
        <f aca="false">IF($M49="","",INDEX('Master Stock'!$N$5:$N$206,$M49))</f>
        <v/>
      </c>
      <c r="G49" s="19" t="str">
        <f aca="false">IF($M49="","",INDEX('Master Stock'!$T$5:$T$206,$M49))</f>
        <v/>
      </c>
      <c r="H49" s="19" t="str">
        <f aca="false">IF($M49="","",INDEX('Master Stock'!$Q$5:$Q$206,$M49))</f>
        <v/>
      </c>
      <c r="I49" s="19" t="str">
        <f aca="false">IF($M49="","",INDEX('Master Stock'!$U$5:$U$206,$M49))</f>
        <v/>
      </c>
      <c r="J49" s="20" t="str">
        <f aca="false">IF($M49="","",INDEX('Master Stock'!$S$5:$S$206,$M49))</f>
        <v/>
      </c>
      <c r="K49" s="18" t="str">
        <f aca="false">IF($M49="","",INDEX('Master Stock'!$V$5:$V$206,$M49))</f>
        <v/>
      </c>
      <c r="M49" s="21" t="str">
        <f aca="false">IF(LARGE('Master Stock'!$X$5:$X$206,A49)&gt;0,MATCH(LARGE('Master Stock'!$X$5:$X$206,A49),'Master Stock'!$X$5:$X$206,0),"")</f>
        <v/>
      </c>
    </row>
    <row r="50" customFormat="false" ht="14.25" hidden="false" customHeight="true" outlineLevel="0" collapsed="false">
      <c r="A50" s="17" t="n">
        <v>33</v>
      </c>
      <c r="B50" s="18" t="str">
        <f aca="false">IF($M50="","",INDEX('Master Stock'!$A$5:$A$206,$M50))</f>
        <v/>
      </c>
      <c r="C50" s="18" t="str">
        <f aca="false">IF($M50="","",INDEX('Master Stock'!$B$5:$B$206,$M50))</f>
        <v/>
      </c>
      <c r="D50" s="18" t="str">
        <f aca="false">IF($M50="","",INDEX('Master Stock'!$C$5:$C$206,$M50))</f>
        <v/>
      </c>
      <c r="E50" s="19" t="str">
        <f aca="false">IF($M50="","",INDEX('Master Stock'!$H$5:$H$206,$M50))</f>
        <v/>
      </c>
      <c r="F50" s="19" t="str">
        <f aca="false">IF($M50="","",INDEX('Master Stock'!$N$5:$N$206,$M50))</f>
        <v/>
      </c>
      <c r="G50" s="19" t="str">
        <f aca="false">IF($M50="","",INDEX('Master Stock'!$T$5:$T$206,$M50))</f>
        <v/>
      </c>
      <c r="H50" s="19" t="str">
        <f aca="false">IF($M50="","",INDEX('Master Stock'!$Q$5:$Q$206,$M50))</f>
        <v/>
      </c>
      <c r="I50" s="19" t="str">
        <f aca="false">IF($M50="","",INDEX('Master Stock'!$U$5:$U$206,$M50))</f>
        <v/>
      </c>
      <c r="J50" s="20" t="str">
        <f aca="false">IF($M50="","",INDEX('Master Stock'!$S$5:$S$206,$M50))</f>
        <v/>
      </c>
      <c r="K50" s="18" t="str">
        <f aca="false">IF($M50="","",INDEX('Master Stock'!$V$5:$V$206,$M50))</f>
        <v/>
      </c>
      <c r="M50" s="21" t="str">
        <f aca="false">IF(LARGE('Master Stock'!$X$5:$X$206,A50)&gt;0,MATCH(LARGE('Master Stock'!$X$5:$X$206,A50),'Master Stock'!$X$5:$X$206,0),"")</f>
        <v/>
      </c>
    </row>
    <row r="51" customFormat="false" ht="14.25" hidden="false" customHeight="true" outlineLevel="0" collapsed="false">
      <c r="A51" s="17" t="n">
        <v>34</v>
      </c>
      <c r="B51" s="18" t="str">
        <f aca="false">IF($M51="","",INDEX('Master Stock'!$A$5:$A$206,$M51))</f>
        <v/>
      </c>
      <c r="C51" s="18" t="str">
        <f aca="false">IF($M51="","",INDEX('Master Stock'!$B$5:$B$206,$M51))</f>
        <v/>
      </c>
      <c r="D51" s="18" t="str">
        <f aca="false">IF($M51="","",INDEX('Master Stock'!$C$5:$C$206,$M51))</f>
        <v/>
      </c>
      <c r="E51" s="19" t="str">
        <f aca="false">IF($M51="","",INDEX('Master Stock'!$H$5:$H$206,$M51))</f>
        <v/>
      </c>
      <c r="F51" s="19" t="str">
        <f aca="false">IF($M51="","",INDEX('Master Stock'!$N$5:$N$206,$M51))</f>
        <v/>
      </c>
      <c r="G51" s="19" t="str">
        <f aca="false">IF($M51="","",INDEX('Master Stock'!$T$5:$T$206,$M51))</f>
        <v/>
      </c>
      <c r="H51" s="19" t="str">
        <f aca="false">IF($M51="","",INDEX('Master Stock'!$Q$5:$Q$206,$M51))</f>
        <v/>
      </c>
      <c r="I51" s="19" t="str">
        <f aca="false">IF($M51="","",INDEX('Master Stock'!$U$5:$U$206,$M51))</f>
        <v/>
      </c>
      <c r="J51" s="20" t="str">
        <f aca="false">IF($M51="","",INDEX('Master Stock'!$S$5:$S$206,$M51))</f>
        <v/>
      </c>
      <c r="K51" s="18" t="str">
        <f aca="false">IF($M51="","",INDEX('Master Stock'!$V$5:$V$206,$M51))</f>
        <v/>
      </c>
      <c r="M51" s="21" t="str">
        <f aca="false">IF(LARGE('Master Stock'!$X$5:$X$206,A51)&gt;0,MATCH(LARGE('Master Stock'!$X$5:$X$206,A51),'Master Stock'!$X$5:$X$206,0),"")</f>
        <v/>
      </c>
    </row>
    <row r="52" customFormat="false" ht="14.25" hidden="false" customHeight="true" outlineLevel="0" collapsed="false">
      <c r="A52" s="17" t="n">
        <v>35</v>
      </c>
      <c r="B52" s="18" t="str">
        <f aca="false">IF($M52="","",INDEX('Master Stock'!$A$5:$A$206,$M52))</f>
        <v/>
      </c>
      <c r="C52" s="18" t="str">
        <f aca="false">IF($M52="","",INDEX('Master Stock'!$B$5:$B$206,$M52))</f>
        <v/>
      </c>
      <c r="D52" s="18" t="str">
        <f aca="false">IF($M52="","",INDEX('Master Stock'!$C$5:$C$206,$M52))</f>
        <v/>
      </c>
      <c r="E52" s="19" t="str">
        <f aca="false">IF($M52="","",INDEX('Master Stock'!$H$5:$H$206,$M52))</f>
        <v/>
      </c>
      <c r="F52" s="19" t="str">
        <f aca="false">IF($M52="","",INDEX('Master Stock'!$N$5:$N$206,$M52))</f>
        <v/>
      </c>
      <c r="G52" s="19" t="str">
        <f aca="false">IF($M52="","",INDEX('Master Stock'!$T$5:$T$206,$M52))</f>
        <v/>
      </c>
      <c r="H52" s="19" t="str">
        <f aca="false">IF($M52="","",INDEX('Master Stock'!$Q$5:$Q$206,$M52))</f>
        <v/>
      </c>
      <c r="I52" s="19" t="str">
        <f aca="false">IF($M52="","",INDEX('Master Stock'!$U$5:$U$206,$M52))</f>
        <v/>
      </c>
      <c r="J52" s="20" t="str">
        <f aca="false">IF($M52="","",INDEX('Master Stock'!$S$5:$S$206,$M52))</f>
        <v/>
      </c>
      <c r="K52" s="18" t="str">
        <f aca="false">IF($M52="","",INDEX('Master Stock'!$V$5:$V$206,$M52))</f>
        <v/>
      </c>
      <c r="M52" s="21" t="str">
        <f aca="false">IF(LARGE('Master Stock'!$X$5:$X$206,A52)&gt;0,MATCH(LARGE('Master Stock'!$X$5:$X$206,A52),'Master Stock'!$X$5:$X$206,0),"")</f>
        <v/>
      </c>
    </row>
    <row r="53" customFormat="false" ht="14.25" hidden="false" customHeight="true" outlineLevel="0" collapsed="false">
      <c r="A53" s="17" t="n">
        <v>36</v>
      </c>
      <c r="B53" s="18" t="str">
        <f aca="false">IF($M53="","",INDEX('Master Stock'!$A$5:$A$206,$M53))</f>
        <v/>
      </c>
      <c r="C53" s="18" t="str">
        <f aca="false">IF($M53="","",INDEX('Master Stock'!$B$5:$B$206,$M53))</f>
        <v/>
      </c>
      <c r="D53" s="18" t="str">
        <f aca="false">IF($M53="","",INDEX('Master Stock'!$C$5:$C$206,$M53))</f>
        <v/>
      </c>
      <c r="E53" s="19" t="str">
        <f aca="false">IF($M53="","",INDEX('Master Stock'!$H$5:$H$206,$M53))</f>
        <v/>
      </c>
      <c r="F53" s="19" t="str">
        <f aca="false">IF($M53="","",INDEX('Master Stock'!$N$5:$N$206,$M53))</f>
        <v/>
      </c>
      <c r="G53" s="19" t="str">
        <f aca="false">IF($M53="","",INDEX('Master Stock'!$T$5:$T$206,$M53))</f>
        <v/>
      </c>
      <c r="H53" s="19" t="str">
        <f aca="false">IF($M53="","",INDEX('Master Stock'!$Q$5:$Q$206,$M53))</f>
        <v/>
      </c>
      <c r="I53" s="19" t="str">
        <f aca="false">IF($M53="","",INDEX('Master Stock'!$U$5:$U$206,$M53))</f>
        <v/>
      </c>
      <c r="J53" s="20" t="str">
        <f aca="false">IF($M53="","",INDEX('Master Stock'!$S$5:$S$206,$M53))</f>
        <v/>
      </c>
      <c r="K53" s="18" t="str">
        <f aca="false">IF($M53="","",INDEX('Master Stock'!$V$5:$V$206,$M53))</f>
        <v/>
      </c>
      <c r="M53" s="21" t="str">
        <f aca="false">IF(LARGE('Master Stock'!$X$5:$X$206,A53)&gt;0,MATCH(LARGE('Master Stock'!$X$5:$X$206,A53),'Master Stock'!$X$5:$X$206,0),"")</f>
        <v/>
      </c>
    </row>
    <row r="54" customFormat="false" ht="14.25" hidden="false" customHeight="true" outlineLevel="0" collapsed="false">
      <c r="A54" s="17" t="n">
        <v>37</v>
      </c>
      <c r="B54" s="18" t="str">
        <f aca="false">IF($M54="","",INDEX('Master Stock'!$A$5:$A$206,$M54))</f>
        <v/>
      </c>
      <c r="C54" s="18" t="str">
        <f aca="false">IF($M54="","",INDEX('Master Stock'!$B$5:$B$206,$M54))</f>
        <v/>
      </c>
      <c r="D54" s="18" t="str">
        <f aca="false">IF($M54="","",INDEX('Master Stock'!$C$5:$C$206,$M54))</f>
        <v/>
      </c>
      <c r="E54" s="19" t="str">
        <f aca="false">IF($M54="","",INDEX('Master Stock'!$H$5:$H$206,$M54))</f>
        <v/>
      </c>
      <c r="F54" s="19" t="str">
        <f aca="false">IF($M54="","",INDEX('Master Stock'!$N$5:$N$206,$M54))</f>
        <v/>
      </c>
      <c r="G54" s="19" t="str">
        <f aca="false">IF($M54="","",INDEX('Master Stock'!$T$5:$T$206,$M54))</f>
        <v/>
      </c>
      <c r="H54" s="19" t="str">
        <f aca="false">IF($M54="","",INDEX('Master Stock'!$Q$5:$Q$206,$M54))</f>
        <v/>
      </c>
      <c r="I54" s="19" t="str">
        <f aca="false">IF($M54="","",INDEX('Master Stock'!$U$5:$U$206,$M54))</f>
        <v/>
      </c>
      <c r="J54" s="20" t="str">
        <f aca="false">IF($M54="","",INDEX('Master Stock'!$S$5:$S$206,$M54))</f>
        <v/>
      </c>
      <c r="K54" s="18" t="str">
        <f aca="false">IF($M54="","",INDEX('Master Stock'!$V$5:$V$206,$M54))</f>
        <v/>
      </c>
      <c r="M54" s="21" t="str">
        <f aca="false">IF(LARGE('Master Stock'!$X$5:$X$206,A54)&gt;0,MATCH(LARGE('Master Stock'!$X$5:$X$206,A54),'Master Stock'!$X$5:$X$206,0),"")</f>
        <v/>
      </c>
    </row>
    <row r="55" customFormat="false" ht="14.25" hidden="false" customHeight="true" outlineLevel="0" collapsed="false">
      <c r="A55" s="17" t="n">
        <v>38</v>
      </c>
      <c r="B55" s="18" t="str">
        <f aca="false">IF($M55="","",INDEX('Master Stock'!$A$5:$A$206,$M55))</f>
        <v/>
      </c>
      <c r="C55" s="18" t="str">
        <f aca="false">IF($M55="","",INDEX('Master Stock'!$B$5:$B$206,$M55))</f>
        <v/>
      </c>
      <c r="D55" s="18" t="str">
        <f aca="false">IF($M55="","",INDEX('Master Stock'!$C$5:$C$206,$M55))</f>
        <v/>
      </c>
      <c r="E55" s="19" t="str">
        <f aca="false">IF($M55="","",INDEX('Master Stock'!$H$5:$H$206,$M55))</f>
        <v/>
      </c>
      <c r="F55" s="19" t="str">
        <f aca="false">IF($M55="","",INDEX('Master Stock'!$N$5:$N$206,$M55))</f>
        <v/>
      </c>
      <c r="G55" s="19" t="str">
        <f aca="false">IF($M55="","",INDEX('Master Stock'!$T$5:$T$206,$M55))</f>
        <v/>
      </c>
      <c r="H55" s="19" t="str">
        <f aca="false">IF($M55="","",INDEX('Master Stock'!$Q$5:$Q$206,$M55))</f>
        <v/>
      </c>
      <c r="I55" s="19" t="str">
        <f aca="false">IF($M55="","",INDEX('Master Stock'!$U$5:$U$206,$M55))</f>
        <v/>
      </c>
      <c r="J55" s="20" t="str">
        <f aca="false">IF($M55="","",INDEX('Master Stock'!$S$5:$S$206,$M55))</f>
        <v/>
      </c>
      <c r="K55" s="18" t="str">
        <f aca="false">IF($M55="","",INDEX('Master Stock'!$V$5:$V$206,$M55))</f>
        <v/>
      </c>
      <c r="M55" s="21" t="str">
        <f aca="false">IF(LARGE('Master Stock'!$X$5:$X$206,A55)&gt;0,MATCH(LARGE('Master Stock'!$X$5:$X$206,A55),'Master Stock'!$X$5:$X$206,0),"")</f>
        <v/>
      </c>
    </row>
    <row r="56" customFormat="false" ht="14.25" hidden="false" customHeight="true" outlineLevel="0" collapsed="false">
      <c r="A56" s="17" t="n">
        <v>39</v>
      </c>
      <c r="B56" s="18" t="str">
        <f aca="false">IF($M56="","",INDEX('Master Stock'!$A$5:$A$206,$M56))</f>
        <v/>
      </c>
      <c r="C56" s="18" t="str">
        <f aca="false">IF($M56="","",INDEX('Master Stock'!$B$5:$B$206,$M56))</f>
        <v/>
      </c>
      <c r="D56" s="18" t="str">
        <f aca="false">IF($M56="","",INDEX('Master Stock'!$C$5:$C$206,$M56))</f>
        <v/>
      </c>
      <c r="E56" s="19" t="str">
        <f aca="false">IF($M56="","",INDEX('Master Stock'!$H$5:$H$206,$M56))</f>
        <v/>
      </c>
      <c r="F56" s="19" t="str">
        <f aca="false">IF($M56="","",INDEX('Master Stock'!$N$5:$N$206,$M56))</f>
        <v/>
      </c>
      <c r="G56" s="19" t="str">
        <f aca="false">IF($M56="","",INDEX('Master Stock'!$T$5:$T$206,$M56))</f>
        <v/>
      </c>
      <c r="H56" s="19" t="str">
        <f aca="false">IF($M56="","",INDEX('Master Stock'!$Q$5:$Q$206,$M56))</f>
        <v/>
      </c>
      <c r="I56" s="19" t="str">
        <f aca="false">IF($M56="","",INDEX('Master Stock'!$U$5:$U$206,$M56))</f>
        <v/>
      </c>
      <c r="J56" s="20" t="str">
        <f aca="false">IF($M56="","",INDEX('Master Stock'!$S$5:$S$206,$M56))</f>
        <v/>
      </c>
      <c r="K56" s="18" t="str">
        <f aca="false">IF($M56="","",INDEX('Master Stock'!$V$5:$V$206,$M56))</f>
        <v/>
      </c>
      <c r="M56" s="21" t="str">
        <f aca="false">IF(LARGE('Master Stock'!$X$5:$X$206,A56)&gt;0,MATCH(LARGE('Master Stock'!$X$5:$X$206,A56),'Master Stock'!$X$5:$X$206,0),"")</f>
        <v/>
      </c>
    </row>
    <row r="57" customFormat="false" ht="14.25" hidden="false" customHeight="true" outlineLevel="0" collapsed="false">
      <c r="A57" s="17" t="n">
        <v>40</v>
      </c>
      <c r="B57" s="18" t="str">
        <f aca="false">IF($M57="","",INDEX('Master Stock'!$A$5:$A$206,$M57))</f>
        <v/>
      </c>
      <c r="C57" s="18" t="str">
        <f aca="false">IF($M57="","",INDEX('Master Stock'!$B$5:$B$206,$M57))</f>
        <v/>
      </c>
      <c r="D57" s="18" t="str">
        <f aca="false">IF($M57="","",INDEX('Master Stock'!$C$5:$C$206,$M57))</f>
        <v/>
      </c>
      <c r="E57" s="19" t="str">
        <f aca="false">IF($M57="","",INDEX('Master Stock'!$H$5:$H$206,$M57))</f>
        <v/>
      </c>
      <c r="F57" s="19" t="str">
        <f aca="false">IF($M57="","",INDEX('Master Stock'!$N$5:$N$206,$M57))</f>
        <v/>
      </c>
      <c r="G57" s="19" t="str">
        <f aca="false">IF($M57="","",INDEX('Master Stock'!$T$5:$T$206,$M57))</f>
        <v/>
      </c>
      <c r="H57" s="19" t="str">
        <f aca="false">IF($M57="","",INDEX('Master Stock'!$Q$5:$Q$206,$M57))</f>
        <v/>
      </c>
      <c r="I57" s="19" t="str">
        <f aca="false">IF($M57="","",INDEX('Master Stock'!$U$5:$U$206,$M57))</f>
        <v/>
      </c>
      <c r="J57" s="20" t="str">
        <f aca="false">IF($M57="","",INDEX('Master Stock'!$S$5:$S$206,$M57))</f>
        <v/>
      </c>
      <c r="K57" s="18" t="str">
        <f aca="false">IF($M57="","",INDEX('Master Stock'!$V$5:$V$206,$M57))</f>
        <v/>
      </c>
      <c r="M57" s="21" t="str">
        <f aca="false">IF(LARGE('Master Stock'!$X$5:$X$206,A57)&gt;0,MATCH(LARGE('Master Stock'!$X$5:$X$206,A57),'Master Stock'!$X$5:$X$206,0),"")</f>
        <v/>
      </c>
    </row>
  </sheetData>
  <conditionalFormatting sqref="L6:L13">
    <cfRule type="expression" priority="2" aboveAverage="0" equalAverage="0" bottom="0" percent="0" rank="0" text="" dxfId="0">
      <formula>ISNUMBER(SEARCH("REORDER",L6))</formula>
    </cfRule>
    <cfRule type="expression" priority="3" aboveAverage="0" equalAverage="0" bottom="0" percent="0" rank="0" text="" dxfId="1">
      <formula>ISNUMBER(SEARCH("ON ORDER",L6))</formula>
    </cfRule>
    <cfRule type="expression" priority="4" aboveAverage="0" equalAverage="0" bottom="0" percent="0" rank="0" text="" dxfId="2">
      <formula>ISNUMBER(SEARCH("OK",L6))</formula>
    </cfRule>
    <cfRule type="expression" priority="5" aboveAverage="0" equalAverage="0" bottom="0" percent="0" rank="0" text="" dxfId="3">
      <formula>ISNUMBER(SEARCH("SLOW",L6))</formula>
    </cfRule>
    <cfRule type="expression" priority="6" aboveAverage="0" equalAverage="0" bottom="0" percent="0" rank="0" text="" dxfId="4">
      <formula>ISNUMBER(SEARCH("END OF",L6))</formula>
    </cfRule>
    <cfRule type="expression" priority="7" aboveAverage="0" equalAverage="0" bottom="0" percent="0" rank="0" text="" dxfId="5">
      <formula>ISNUMBER(SEARCH("NO BUFFER",L6))</formula>
    </cfRule>
  </conditionalFormatting>
  <conditionalFormatting sqref="K18:K57">
    <cfRule type="expression" priority="8" aboveAverage="0" equalAverage="0" bottom="0" percent="0" rank="0" text="" dxfId="0">
      <formula>ISNUMBER(SEARCH("REORDER",K18))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H30" activeCellId="0" sqref="H3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3" min="3" style="1" width="7"/>
    <col collapsed="false" customWidth="true" hidden="false" outlineLevel="0" max="4" min="4" style="1" width="12"/>
    <col collapsed="false" customWidth="true" hidden="false" outlineLevel="0" max="7" min="5" style="1" width="11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9.45"/>
    <col collapsed="false" customWidth="true" hidden="false" outlineLevel="0" max="11" min="11" style="1" width="19.73"/>
    <col collapsed="false" customWidth="true" hidden="false" outlineLevel="0" max="12" min="12" style="1" width="19.54"/>
    <col collapsed="false" customWidth="true" hidden="false" outlineLevel="0" max="13" min="13" style="1" width="10"/>
    <col collapsed="false" customWidth="true" hidden="false" outlineLevel="0" max="14" min="14" style="1" width="12"/>
    <col collapsed="false" customWidth="true" hidden="false" outlineLevel="0" max="15" min="15" style="1" width="13"/>
    <col collapsed="false" customWidth="true" hidden="false" outlineLevel="0" max="17" min="16" style="1" width="12"/>
    <col collapsed="false" customWidth="true" hidden="false" outlineLevel="0" max="18" min="18" style="1" width="13"/>
    <col collapsed="false" customWidth="true" hidden="false" outlineLevel="0" max="20" min="19" style="1" width="10"/>
    <col collapsed="false" customWidth="true" hidden="false" outlineLevel="0" max="21" min="21" style="1" width="11"/>
    <col collapsed="false" customWidth="true" hidden="false" outlineLevel="0" max="22" min="22" style="1" width="18"/>
    <col collapsed="false" customWidth="true" hidden="false" outlineLevel="0" max="23" min="23" style="1" width="40"/>
    <col collapsed="false" customWidth="true" hidden="false" outlineLevel="0" max="24" min="24" style="1" width="8"/>
  </cols>
  <sheetData>
    <row r="1" customFormat="false" ht="18" hidden="false" customHeight="true" outlineLevel="0" collapsed="false">
      <c r="A1" s="2" t="s">
        <v>62</v>
      </c>
    </row>
    <row r="2" customFormat="false" ht="14.25" hidden="false" customHeight="true" outlineLevel="0" collapsed="false">
      <c r="A2" s="22" t="str">
        <f aca="false">"Stock as at "&amp;TEXT(Settings!$B$13,"d mmmm yyyy")&amp;"  ·  CPT count 8 Oct, JHB &amp; DBN count 30 Sep, plus stock received, less weekly sales, ± transfers. Blue = input, black = formula."</f>
        <v>Stock as at 9 October 2026  ·  CPT count 8 Oct, JHB &amp; DBN count 30 Sep, plus stock received, less weekly sales, ± transfers. Blue = input, black = formula.</v>
      </c>
    </row>
    <row r="4" customFormat="false" ht="42" hidden="false" customHeight="true" outlineLevel="0" collapsed="false">
      <c r="A4" s="23" t="s">
        <v>53</v>
      </c>
      <c r="B4" s="23" t="s">
        <v>54</v>
      </c>
      <c r="C4" s="23" t="s">
        <v>55</v>
      </c>
      <c r="D4" s="23" t="s">
        <v>63</v>
      </c>
      <c r="E4" s="24" t="s">
        <v>64</v>
      </c>
      <c r="F4" s="25" t="s">
        <v>65</v>
      </c>
      <c r="G4" s="26" t="s">
        <v>66</v>
      </c>
      <c r="H4" s="27" t="s">
        <v>67</v>
      </c>
      <c r="I4" s="23" t="s">
        <v>68</v>
      </c>
      <c r="J4" s="28" t="n">
        <v>46296</v>
      </c>
      <c r="K4" s="28" t="n">
        <v>46327</v>
      </c>
      <c r="L4" s="28" t="n">
        <v>46357</v>
      </c>
      <c r="M4" s="23" t="s">
        <v>69</v>
      </c>
      <c r="N4" s="23" t="s">
        <v>70</v>
      </c>
      <c r="O4" s="23" t="s">
        <v>71</v>
      </c>
      <c r="P4" s="23" t="s">
        <v>72</v>
      </c>
      <c r="Q4" s="23" t="s">
        <v>59</v>
      </c>
      <c r="R4" s="23" t="s">
        <v>73</v>
      </c>
      <c r="S4" s="23" t="s">
        <v>61</v>
      </c>
      <c r="T4" s="23" t="s">
        <v>58</v>
      </c>
      <c r="U4" s="23" t="s">
        <v>60</v>
      </c>
      <c r="V4" s="23" t="s">
        <v>74</v>
      </c>
      <c r="W4" s="23" t="s">
        <v>75</v>
      </c>
      <c r="X4" s="23" t="s">
        <v>76</v>
      </c>
    </row>
    <row r="5" customFormat="false" ht="14.25" hidden="false" customHeight="true" outlineLevel="0" collapsed="false">
      <c r="A5" s="18" t="s">
        <v>77</v>
      </c>
      <c r="B5" s="18" t="s">
        <v>78</v>
      </c>
      <c r="C5" s="18" t="s">
        <v>79</v>
      </c>
      <c r="D5" s="18" t="s">
        <v>80</v>
      </c>
      <c r="E5" s="19" t="n">
        <f aca="false">SUMIFS('CPT Count'!$D:$D,'CPT Count'!$A:$A,$A5)-SUMIFS('Weekly Sales'!$F:$F,'Weekly Sales'!$H:$H,$A5,'Weekly Sales'!$I:$I,"CPT")+SUMIFS(Transfers!$F:$F,Transfers!$C:$C,$A5,Transfers!$J:$J,"CPT")-SUMIFS(Transfers!$F:$F,Transfers!$C:$C,$A5,Transfers!$I:$I,"CPT",Transfers!$H:$H,"&lt;&gt;Y")+SUMIFS('Stock Received'!$I:$I,'Stock Received'!$E:$E,$A5,'Stock Received'!$L:$L,"CPT")</f>
        <v>722.41</v>
      </c>
      <c r="F5" s="19" t="n">
        <f aca="false">SUMIFS('JHB Count'!$E:$E,'JHB Count'!$F:$F,$A5)-SUMIFS('Weekly Sales'!$F:$F,'Weekly Sales'!$H:$H,$A5,'Weekly Sales'!$I:$I,"JHB")+SUMIFS(Transfers!$F:$F,Transfers!$C:$C,$A5,Transfers!$J:$J,"JHB")-SUMIFS(Transfers!$F:$F,Transfers!$C:$C,$A5,Transfers!$I:$I,"JHB",Transfers!$H:$H,"&lt;&gt;Y")+SUMIFS('Stock Received'!$I:$I,'Stock Received'!$E:$E,$A5,'Stock Received'!$L:$L,"JHB")</f>
        <v>44</v>
      </c>
      <c r="G5" s="19" t="n">
        <f aca="false">SUMIFS('DBN Count'!$D:$D,'DBN Count'!$E:$E,$A5)-SUMIFS('Weekly Sales'!$F:$F,'Weekly Sales'!$H:$H,$A5,'Weekly Sales'!$I:$I,"DBN")+SUMIFS(Transfers!$F:$F,Transfers!$C:$C,$A5,Transfers!$J:$J,"DBN")-SUMIFS(Transfers!$F:$F,Transfers!$C:$C,$A5,Transfers!$I:$I,"DBN",Transfers!$H:$H,"&lt;&gt;Y")+SUMIFS('Stock Received'!$I:$I,'Stock Received'!$E:$E,$A5,'Stock Received'!$L:$L,"DBN")</f>
        <v>20.15</v>
      </c>
      <c r="H5" s="29" t="n">
        <f aca="false">E5+F5+G5</f>
        <v>786.56</v>
      </c>
      <c r="I5" s="19" t="n">
        <f aca="false">SUMIFS('Weekly Sales'!$F:$F,'Weekly Sales'!$H:$H,$A5)</f>
        <v>8.16</v>
      </c>
      <c r="J5" s="19" t="n">
        <f aca="false">SUMIFS(Orders!$L:$L,Orders!$D:$D,$A5,Orders!$F:$F,"&gt;="&amp;J$4,Orders!$F:$F,"&lt;"&amp;EDATE(J$4,1))</f>
        <v>0</v>
      </c>
      <c r="K5" s="19" t="n">
        <f aca="false">SUMIFS(Orders!$L:$L,Orders!$D:$D,$A5,Orders!$F:$F,"&gt;="&amp;K$4,Orders!$F:$F,"&lt;"&amp;EDATE(K$4,1))</f>
        <v>0</v>
      </c>
      <c r="L5" s="19" t="n">
        <f aca="false">SUMIFS(Orders!$L:$L,Orders!$D:$D,$A5,Orders!$F:$F,"&gt;="&amp;L$4,Orders!$F:$F,"&lt;"&amp;EDATE(L$4,1))</f>
        <v>0</v>
      </c>
      <c r="M5" s="19" t="n">
        <f aca="false">N5-J5-K5-L5</f>
        <v>0</v>
      </c>
      <c r="N5" s="19" t="n">
        <f aca="false">SUMIFS(Orders!$L:$L,Orders!$D:$D,$A5)</f>
        <v>0</v>
      </c>
      <c r="O5" s="19" t="n">
        <f aca="false">H5+N5</f>
        <v>786.56</v>
      </c>
      <c r="P5" s="30" t="n">
        <v>100</v>
      </c>
      <c r="Q5" s="19" t="n">
        <f aca="false">IF(SUMIFS('Sales History'!$E:$E,'Sales History'!$G:$G,$A5)&gt;0,SUMIFS('Sales History'!$E:$E,'Sales History'!$G:$G,$A5)/Settings!$B$4,N(P5))</f>
        <v>100</v>
      </c>
      <c r="R5" s="18" t="str">
        <f aca="false">IF(SUMIFS('Sales History'!$E:$E,'Sales History'!$G:$G,$A5)&gt;0,"6-month history",IF(N(P5)&gt;0,"Current sheet","No sales data"))</f>
        <v>Current sheet</v>
      </c>
      <c r="S5" s="31" t="n">
        <f aca="false">IF(Q5&gt;0,H5/Q5,"")</f>
        <v>7.8656</v>
      </c>
      <c r="T5" s="30" t="n">
        <v>300</v>
      </c>
      <c r="U5" s="19" t="n">
        <f aca="false">IF(T5="","",MAX(0,T5-O5))</f>
        <v>0</v>
      </c>
      <c r="V5" s="32" t="str">
        <f aca="false">IF(D5="End of range","END OF RANGE",IF(T5="","NO BUFFER SET",IF(H5&lt;=0,IF(O5&lt;T5,"OUT - REORDER","OUT - ON ORDER"),IF(O5&lt;T5,"REORDER",IF(H5&lt;T5,"LOW - ON ORDER",IF(AND(S5&lt;&gt;"",N(S5)&gt;Settings!$B$5),"SLOW MOVER","OK"))))))</f>
        <v>OK</v>
      </c>
      <c r="W5" s="18"/>
      <c r="X5" s="33" t="n">
        <f aca="false">IF(OR(D5="End of range",U5=""),0,IF(N(U5)&gt;0,U5+ROW()/1000000,0))</f>
        <v>0</v>
      </c>
    </row>
    <row r="6" customFormat="false" ht="14.25" hidden="false" customHeight="true" outlineLevel="0" collapsed="false">
      <c r="A6" s="18" t="s">
        <v>81</v>
      </c>
      <c r="B6" s="18" t="s">
        <v>82</v>
      </c>
      <c r="C6" s="18" t="s">
        <v>79</v>
      </c>
      <c r="D6" s="18" t="s">
        <v>80</v>
      </c>
      <c r="E6" s="19" t="n">
        <f aca="false">SUMIFS('CPT Count'!$D:$D,'CPT Count'!$A:$A,$A6)-SUMIFS('Weekly Sales'!$F:$F,'Weekly Sales'!$H:$H,$A6,'Weekly Sales'!$I:$I,"CPT")+SUMIFS(Transfers!$F:$F,Transfers!$C:$C,$A6,Transfers!$J:$J,"CPT")-SUMIFS(Transfers!$F:$F,Transfers!$C:$C,$A6,Transfers!$I:$I,"CPT",Transfers!$H:$H,"&lt;&gt;Y")+SUMIFS('Stock Received'!$I:$I,'Stock Received'!$E:$E,$A6,'Stock Received'!$L:$L,"CPT")</f>
        <v>558.18</v>
      </c>
      <c r="F6" s="19" t="n">
        <f aca="false">SUMIFS('JHB Count'!$E:$E,'JHB Count'!$F:$F,$A6)-SUMIFS('Weekly Sales'!$F:$F,'Weekly Sales'!$H:$H,$A6,'Weekly Sales'!$I:$I,"JHB")+SUMIFS(Transfers!$F:$F,Transfers!$C:$C,$A6,Transfers!$J:$J,"JHB")-SUMIFS(Transfers!$F:$F,Transfers!$C:$C,$A6,Transfers!$I:$I,"JHB",Transfers!$H:$H,"&lt;&gt;Y")+SUMIFS('Stock Received'!$I:$I,'Stock Received'!$E:$E,$A6,'Stock Received'!$L:$L,"JHB")</f>
        <v>64</v>
      </c>
      <c r="G6" s="19" t="n">
        <f aca="false">SUMIFS('DBN Count'!$D:$D,'DBN Count'!$E:$E,$A6)-SUMIFS('Weekly Sales'!$F:$F,'Weekly Sales'!$H:$H,$A6,'Weekly Sales'!$I:$I,"DBN")+SUMIFS(Transfers!$F:$F,Transfers!$C:$C,$A6,Transfers!$J:$J,"DBN")-SUMIFS(Transfers!$F:$F,Transfers!$C:$C,$A6,Transfers!$I:$I,"DBN",Transfers!$H:$H,"&lt;&gt;Y")+SUMIFS('Stock Received'!$I:$I,'Stock Received'!$E:$E,$A6,'Stock Received'!$L:$L,"DBN")</f>
        <v>24.59</v>
      </c>
      <c r="H6" s="29" t="n">
        <f aca="false">E6+F6+G6</f>
        <v>646.77</v>
      </c>
      <c r="I6" s="19" t="n">
        <f aca="false">SUMIFS('Weekly Sales'!$F:$F,'Weekly Sales'!$H:$H,$A6)</f>
        <v>48.01</v>
      </c>
      <c r="J6" s="19" t="n">
        <f aca="false">SUMIFS(Orders!$L:$L,Orders!$D:$D,$A6,Orders!$F:$F,"&gt;="&amp;J$4,Orders!$F:$F,"&lt;"&amp;EDATE(J$4,1))</f>
        <v>0</v>
      </c>
      <c r="K6" s="19" t="n">
        <f aca="false">SUMIFS(Orders!$L:$L,Orders!$D:$D,$A6,Orders!$F:$F,"&gt;="&amp;K$4,Orders!$F:$F,"&lt;"&amp;EDATE(K$4,1))</f>
        <v>0</v>
      </c>
      <c r="L6" s="19" t="n">
        <f aca="false">SUMIFS(Orders!$L:$L,Orders!$D:$D,$A6,Orders!$F:$F,"&gt;="&amp;L$4,Orders!$F:$F,"&lt;"&amp;EDATE(L$4,1))</f>
        <v>0</v>
      </c>
      <c r="M6" s="19" t="n">
        <f aca="false">N6-J6-K6-L6</f>
        <v>0</v>
      </c>
      <c r="N6" s="19" t="n">
        <f aca="false">SUMIFS(Orders!$L:$L,Orders!$D:$D,$A6)</f>
        <v>0</v>
      </c>
      <c r="O6" s="19" t="n">
        <f aca="false">H6+N6</f>
        <v>646.77</v>
      </c>
      <c r="P6" s="30" t="n">
        <v>110</v>
      </c>
      <c r="Q6" s="19" t="n">
        <f aca="false">IF(SUMIFS('Sales History'!$E:$E,'Sales History'!$G:$G,$A6)&gt;0,SUMIFS('Sales History'!$E:$E,'Sales History'!$G:$G,$A6)/Settings!$B$4,N(P6))</f>
        <v>110</v>
      </c>
      <c r="R6" s="18" t="str">
        <f aca="false">IF(SUMIFS('Sales History'!$E:$E,'Sales History'!$G:$G,$A6)&gt;0,"6-month history",IF(N(P6)&gt;0,"Current sheet","No sales data"))</f>
        <v>Current sheet</v>
      </c>
      <c r="S6" s="31" t="n">
        <f aca="false">IF(Q6&gt;0,H6/Q6,"")</f>
        <v>5.87972727272727</v>
      </c>
      <c r="T6" s="30" t="n">
        <v>300</v>
      </c>
      <c r="U6" s="19" t="n">
        <f aca="false">IF(T6="","",MAX(0,T6-O6))</f>
        <v>0</v>
      </c>
      <c r="V6" s="32" t="str">
        <f aca="false">IF(D6="End of range","END OF RANGE",IF(T6="","NO BUFFER SET",IF(H6&lt;=0,IF(O6&lt;T6,"OUT - REORDER","OUT - ON ORDER"),IF(O6&lt;T6,"REORDER",IF(H6&lt;T6,"LOW - ON ORDER",IF(AND(S6&lt;&gt;"",N(S6)&gt;Settings!$B$5),"SLOW MOVER","OK"))))))</f>
        <v>OK</v>
      </c>
      <c r="W6" s="18"/>
      <c r="X6" s="33" t="n">
        <f aca="false">IF(OR(D6="End of range",U6=""),0,IF(N(U6)&gt;0,U6+ROW()/1000000,0))</f>
        <v>0</v>
      </c>
    </row>
    <row r="7" customFormat="false" ht="14.25" hidden="false" customHeight="true" outlineLevel="0" collapsed="false">
      <c r="A7" s="18" t="s">
        <v>83</v>
      </c>
      <c r="B7" s="18" t="s">
        <v>84</v>
      </c>
      <c r="C7" s="18" t="s">
        <v>79</v>
      </c>
      <c r="D7" s="18" t="s">
        <v>80</v>
      </c>
      <c r="E7" s="19" t="n">
        <f aca="false">SUMIFS('CPT Count'!$D:$D,'CPT Count'!$A:$A,$A7)-SUMIFS('Weekly Sales'!$F:$F,'Weekly Sales'!$H:$H,$A7,'Weekly Sales'!$I:$I,"CPT")+SUMIFS(Transfers!$F:$F,Transfers!$C:$C,$A7,Transfers!$J:$J,"CPT")-SUMIFS(Transfers!$F:$F,Transfers!$C:$C,$A7,Transfers!$I:$I,"CPT",Transfers!$H:$H,"&lt;&gt;Y")+SUMIFS('Stock Received'!$I:$I,'Stock Received'!$E:$E,$A7,'Stock Received'!$L:$L,"CPT")</f>
        <v>1174.19</v>
      </c>
      <c r="F7" s="19" t="n">
        <f aca="false">SUMIFS('JHB Count'!$E:$E,'JHB Count'!$F:$F,$A7)-SUMIFS('Weekly Sales'!$F:$F,'Weekly Sales'!$H:$H,$A7,'Weekly Sales'!$I:$I,"JHB")+SUMIFS(Transfers!$F:$F,Transfers!$C:$C,$A7,Transfers!$J:$J,"JHB")-SUMIFS(Transfers!$F:$F,Transfers!$C:$C,$A7,Transfers!$I:$I,"JHB",Transfers!$H:$H,"&lt;&gt;Y")+SUMIFS('Stock Received'!$I:$I,'Stock Received'!$E:$E,$A7,'Stock Received'!$L:$L,"JHB")</f>
        <v>107.05</v>
      </c>
      <c r="G7" s="19" t="n">
        <f aca="false">SUMIFS('DBN Count'!$D:$D,'DBN Count'!$E:$E,$A7)-SUMIFS('Weekly Sales'!$F:$F,'Weekly Sales'!$H:$H,$A7,'Weekly Sales'!$I:$I,"DBN")+SUMIFS(Transfers!$F:$F,Transfers!$C:$C,$A7,Transfers!$J:$J,"DBN")-SUMIFS(Transfers!$F:$F,Transfers!$C:$C,$A7,Transfers!$I:$I,"DBN",Transfers!$H:$H,"&lt;&gt;Y")+SUMIFS('Stock Received'!$I:$I,'Stock Received'!$E:$E,$A7,'Stock Received'!$L:$L,"DBN")</f>
        <v>137.85</v>
      </c>
      <c r="H7" s="29" t="n">
        <f aca="false">E7+F7+G7</f>
        <v>1419.09</v>
      </c>
      <c r="I7" s="19" t="n">
        <f aca="false">SUMIFS('Weekly Sales'!$F:$F,'Weekly Sales'!$H:$H,$A7)</f>
        <v>33.43</v>
      </c>
      <c r="J7" s="19" t="n">
        <f aca="false">SUMIFS(Orders!$L:$L,Orders!$D:$D,$A7,Orders!$F:$F,"&gt;="&amp;J$4,Orders!$F:$F,"&lt;"&amp;EDATE(J$4,1))</f>
        <v>0</v>
      </c>
      <c r="K7" s="19" t="n">
        <f aca="false">SUMIFS(Orders!$L:$L,Orders!$D:$D,$A7,Orders!$F:$F,"&gt;="&amp;K$4,Orders!$F:$F,"&lt;"&amp;EDATE(K$4,1))</f>
        <v>0</v>
      </c>
      <c r="L7" s="19" t="n">
        <f aca="false">SUMIFS(Orders!$L:$L,Orders!$D:$D,$A7,Orders!$F:$F,"&gt;="&amp;L$4,Orders!$F:$F,"&lt;"&amp;EDATE(L$4,1))</f>
        <v>500</v>
      </c>
      <c r="M7" s="19" t="n">
        <f aca="false">N7-J7-K7-L7</f>
        <v>0</v>
      </c>
      <c r="N7" s="19" t="n">
        <f aca="false">SUMIFS(Orders!$L:$L,Orders!$D:$D,$A7)</f>
        <v>500</v>
      </c>
      <c r="O7" s="19" t="n">
        <f aca="false">H7+N7</f>
        <v>1919.09</v>
      </c>
      <c r="P7" s="30" t="n">
        <v>375</v>
      </c>
      <c r="Q7" s="19" t="n">
        <f aca="false">IF(SUMIFS('Sales History'!$E:$E,'Sales History'!$G:$G,$A7)&gt;0,SUMIFS('Sales History'!$E:$E,'Sales History'!$G:$G,$A7)/Settings!$B$4,N(P7))</f>
        <v>375</v>
      </c>
      <c r="R7" s="18" t="str">
        <f aca="false">IF(SUMIFS('Sales History'!$E:$E,'Sales History'!$G:$G,$A7)&gt;0,"6-month history",IF(N(P7)&gt;0,"Current sheet","No sales data"))</f>
        <v>Current sheet</v>
      </c>
      <c r="S7" s="31" t="n">
        <f aca="false">IF(Q7&gt;0,H7/Q7,"")</f>
        <v>3.78424</v>
      </c>
      <c r="T7" s="30" t="n">
        <v>500</v>
      </c>
      <c r="U7" s="19" t="n">
        <f aca="false">IF(T7="","",MAX(0,T7-O7))</f>
        <v>0</v>
      </c>
      <c r="V7" s="32" t="str">
        <f aca="false">IF(D7="End of range","END OF RANGE",IF(T7="","NO BUFFER SET",IF(H7&lt;=0,IF(O7&lt;T7,"OUT - REORDER","OUT - ON ORDER"),IF(O7&lt;T7,"REORDER",IF(H7&lt;T7,"LOW - ON ORDER",IF(AND(S7&lt;&gt;"",N(S7)&gt;Settings!$B$5),"SLOW MOVER","OK"))))))</f>
        <v>OK</v>
      </c>
      <c r="W7" s="18"/>
      <c r="X7" s="33" t="n">
        <f aca="false">IF(OR(D7="End of range",U7=""),0,IF(N(U7)&gt;0,U7+ROW()/1000000,0))</f>
        <v>0</v>
      </c>
    </row>
    <row r="8" customFormat="false" ht="14.25" hidden="false" customHeight="true" outlineLevel="0" collapsed="false">
      <c r="A8" s="18" t="s">
        <v>85</v>
      </c>
      <c r="B8" s="18" t="s">
        <v>86</v>
      </c>
      <c r="C8" s="18" t="s">
        <v>79</v>
      </c>
      <c r="D8" s="18" t="s">
        <v>80</v>
      </c>
      <c r="E8" s="19" t="n">
        <f aca="false">SUMIFS('CPT Count'!$D:$D,'CPT Count'!$A:$A,$A8)-SUMIFS('Weekly Sales'!$F:$F,'Weekly Sales'!$H:$H,$A8,'Weekly Sales'!$I:$I,"CPT")+SUMIFS(Transfers!$F:$F,Transfers!$C:$C,$A8,Transfers!$J:$J,"CPT")-SUMIFS(Transfers!$F:$F,Transfers!$C:$C,$A8,Transfers!$I:$I,"CPT",Transfers!$H:$H,"&lt;&gt;Y")+SUMIFS('Stock Received'!$I:$I,'Stock Received'!$E:$E,$A8,'Stock Received'!$L:$L,"CPT")</f>
        <v>351</v>
      </c>
      <c r="F8" s="19" t="n">
        <f aca="false">SUMIFS('JHB Count'!$E:$E,'JHB Count'!$F:$F,$A8)-SUMIFS('Weekly Sales'!$F:$F,'Weekly Sales'!$H:$H,$A8,'Weekly Sales'!$I:$I,"JHB")+SUMIFS(Transfers!$F:$F,Transfers!$C:$C,$A8,Transfers!$J:$J,"JHB")-SUMIFS(Transfers!$F:$F,Transfers!$C:$C,$A8,Transfers!$I:$I,"JHB",Transfers!$H:$H,"&lt;&gt;Y")+SUMIFS('Stock Received'!$I:$I,'Stock Received'!$E:$E,$A8,'Stock Received'!$L:$L,"JHB")</f>
        <v>60</v>
      </c>
      <c r="G8" s="19" t="n">
        <f aca="false">SUMIFS('DBN Count'!$D:$D,'DBN Count'!$E:$E,$A8)-SUMIFS('Weekly Sales'!$F:$F,'Weekly Sales'!$H:$H,$A8,'Weekly Sales'!$I:$I,"DBN")+SUMIFS(Transfers!$F:$F,Transfers!$C:$C,$A8,Transfers!$J:$J,"DBN")-SUMIFS(Transfers!$F:$F,Transfers!$C:$C,$A8,Transfers!$I:$I,"DBN",Transfers!$H:$H,"&lt;&gt;Y")+SUMIFS('Stock Received'!$I:$I,'Stock Received'!$E:$E,$A8,'Stock Received'!$L:$L,"DBN")</f>
        <v>21.47</v>
      </c>
      <c r="H8" s="29" t="n">
        <f aca="false">E8+F8+G8</f>
        <v>432.47</v>
      </c>
      <c r="I8" s="19" t="n">
        <f aca="false">SUMIFS('Weekly Sales'!$F:$F,'Weekly Sales'!$H:$H,$A8)</f>
        <v>0</v>
      </c>
      <c r="J8" s="19" t="n">
        <f aca="false">SUMIFS(Orders!$L:$L,Orders!$D:$D,$A8,Orders!$F:$F,"&gt;="&amp;J$4,Orders!$F:$F,"&lt;"&amp;EDATE(J$4,1))</f>
        <v>0</v>
      </c>
      <c r="K8" s="19" t="n">
        <f aca="false">SUMIFS(Orders!$L:$L,Orders!$D:$D,$A8,Orders!$F:$F,"&gt;="&amp;K$4,Orders!$F:$F,"&lt;"&amp;EDATE(K$4,1))</f>
        <v>0</v>
      </c>
      <c r="L8" s="19" t="n">
        <f aca="false">SUMIFS(Orders!$L:$L,Orders!$D:$D,$A8,Orders!$F:$F,"&gt;="&amp;L$4,Orders!$F:$F,"&lt;"&amp;EDATE(L$4,1))</f>
        <v>0</v>
      </c>
      <c r="M8" s="19" t="n">
        <f aca="false">N8-J8-K8-L8</f>
        <v>0</v>
      </c>
      <c r="N8" s="19" t="n">
        <f aca="false">SUMIFS(Orders!$L:$L,Orders!$D:$D,$A8)</f>
        <v>0</v>
      </c>
      <c r="O8" s="19" t="n">
        <f aca="false">H8+N8</f>
        <v>432.47</v>
      </c>
      <c r="P8" s="30" t="n">
        <v>50</v>
      </c>
      <c r="Q8" s="19" t="n">
        <f aca="false">IF(SUMIFS('Sales History'!$E:$E,'Sales History'!$G:$G,$A8)&gt;0,SUMIFS('Sales History'!$E:$E,'Sales History'!$G:$G,$A8)/Settings!$B$4,N(P8))</f>
        <v>50</v>
      </c>
      <c r="R8" s="18" t="str">
        <f aca="false">IF(SUMIFS('Sales History'!$E:$E,'Sales History'!$G:$G,$A8)&gt;0,"6-month history",IF(N(P8)&gt;0,"Current sheet","No sales data"))</f>
        <v>Current sheet</v>
      </c>
      <c r="S8" s="31" t="n">
        <f aca="false">IF(Q8&gt;0,H8/Q8,"")</f>
        <v>8.6494</v>
      </c>
      <c r="T8" s="30" t="n">
        <v>300</v>
      </c>
      <c r="U8" s="19" t="n">
        <f aca="false">IF(T8="","",MAX(0,T8-O8))</f>
        <v>0</v>
      </c>
      <c r="V8" s="32" t="str">
        <f aca="false">IF(D8="End of range","END OF RANGE",IF(T8="","NO BUFFER SET",IF(H8&lt;=0,IF(O8&lt;T8,"OUT - REORDER","OUT - ON ORDER"),IF(O8&lt;T8,"REORDER",IF(H8&lt;T8,"LOW - ON ORDER",IF(AND(S8&lt;&gt;"",N(S8)&gt;Settings!$B$5),"SLOW MOVER","OK"))))))</f>
        <v>OK</v>
      </c>
      <c r="W8" s="18"/>
      <c r="X8" s="33" t="n">
        <f aca="false">IF(OR(D8="End of range",U8=""),0,IF(N(U8)&gt;0,U8+ROW()/1000000,0))</f>
        <v>0</v>
      </c>
    </row>
    <row r="9" customFormat="false" ht="14.25" hidden="false" customHeight="true" outlineLevel="0" collapsed="false">
      <c r="A9" s="18" t="s">
        <v>87</v>
      </c>
      <c r="B9" s="18" t="s">
        <v>88</v>
      </c>
      <c r="C9" s="18" t="s">
        <v>79</v>
      </c>
      <c r="D9" s="18" t="s">
        <v>80</v>
      </c>
      <c r="E9" s="19" t="n">
        <f aca="false">SUMIFS('CPT Count'!$D:$D,'CPT Count'!$A:$A,$A9)-SUMIFS('Weekly Sales'!$F:$F,'Weekly Sales'!$H:$H,$A9,'Weekly Sales'!$I:$I,"CPT")+SUMIFS(Transfers!$F:$F,Transfers!$C:$C,$A9,Transfers!$J:$J,"CPT")-SUMIFS(Transfers!$F:$F,Transfers!$C:$C,$A9,Transfers!$I:$I,"CPT",Transfers!$H:$H,"&lt;&gt;Y")+SUMIFS('Stock Received'!$I:$I,'Stock Received'!$E:$E,$A9,'Stock Received'!$L:$L,"CPT")</f>
        <v>595.35</v>
      </c>
      <c r="F9" s="19" t="n">
        <f aca="false">SUMIFS('JHB Count'!$E:$E,'JHB Count'!$F:$F,$A9)-SUMIFS('Weekly Sales'!$F:$F,'Weekly Sales'!$H:$H,$A9,'Weekly Sales'!$I:$I,"JHB")+SUMIFS(Transfers!$F:$F,Transfers!$C:$C,$A9,Transfers!$J:$J,"JHB")-SUMIFS(Transfers!$F:$F,Transfers!$C:$C,$A9,Transfers!$I:$I,"JHB",Transfers!$H:$H,"&lt;&gt;Y")+SUMIFS('Stock Received'!$I:$I,'Stock Received'!$E:$E,$A9,'Stock Received'!$L:$L,"JHB")</f>
        <v>36</v>
      </c>
      <c r="G9" s="19" t="n">
        <f aca="false">SUMIFS('DBN Count'!$D:$D,'DBN Count'!$E:$E,$A9)-SUMIFS('Weekly Sales'!$F:$F,'Weekly Sales'!$H:$H,$A9,'Weekly Sales'!$I:$I,"DBN")+SUMIFS(Transfers!$F:$F,Transfers!$C:$C,$A9,Transfers!$J:$J,"DBN")-SUMIFS(Transfers!$F:$F,Transfers!$C:$C,$A9,Transfers!$I:$I,"DBN",Transfers!$H:$H,"&lt;&gt;Y")+SUMIFS('Stock Received'!$I:$I,'Stock Received'!$E:$E,$A9,'Stock Received'!$L:$L,"DBN")</f>
        <v>23.29</v>
      </c>
      <c r="H9" s="29" t="n">
        <f aca="false">E9+F9+G9</f>
        <v>654.64</v>
      </c>
      <c r="I9" s="19" t="n">
        <f aca="false">SUMIFS('Weekly Sales'!$F:$F,'Weekly Sales'!$H:$H,$A9)</f>
        <v>3.65</v>
      </c>
      <c r="J9" s="19" t="n">
        <f aca="false">SUMIFS(Orders!$L:$L,Orders!$D:$D,$A9,Orders!$F:$F,"&gt;="&amp;J$4,Orders!$F:$F,"&lt;"&amp;EDATE(J$4,1))</f>
        <v>0</v>
      </c>
      <c r="K9" s="19" t="n">
        <f aca="false">SUMIFS(Orders!$L:$L,Orders!$D:$D,$A9,Orders!$F:$F,"&gt;="&amp;K$4,Orders!$F:$F,"&lt;"&amp;EDATE(K$4,1))</f>
        <v>0</v>
      </c>
      <c r="L9" s="19" t="n">
        <f aca="false">SUMIFS(Orders!$L:$L,Orders!$D:$D,$A9,Orders!$F:$F,"&gt;="&amp;L$4,Orders!$F:$F,"&lt;"&amp;EDATE(L$4,1))</f>
        <v>0</v>
      </c>
      <c r="M9" s="19" t="n">
        <f aca="false">N9-J9-K9-L9</f>
        <v>0</v>
      </c>
      <c r="N9" s="19" t="n">
        <f aca="false">SUMIFS(Orders!$L:$L,Orders!$D:$D,$A9)</f>
        <v>0</v>
      </c>
      <c r="O9" s="19" t="n">
        <f aca="false">H9+N9</f>
        <v>654.64</v>
      </c>
      <c r="P9" s="30" t="n">
        <v>110</v>
      </c>
      <c r="Q9" s="19" t="n">
        <f aca="false">IF(SUMIFS('Sales History'!$E:$E,'Sales History'!$G:$G,$A9)&gt;0,SUMIFS('Sales History'!$E:$E,'Sales History'!$G:$G,$A9)/Settings!$B$4,N(P9))</f>
        <v>110</v>
      </c>
      <c r="R9" s="18" t="str">
        <f aca="false">IF(SUMIFS('Sales History'!$E:$E,'Sales History'!$G:$G,$A9)&gt;0,"6-month history",IF(N(P9)&gt;0,"Current sheet","No sales data"))</f>
        <v>Current sheet</v>
      </c>
      <c r="S9" s="31" t="n">
        <f aca="false">IF(Q9&gt;0,H9/Q9,"")</f>
        <v>5.95127272727273</v>
      </c>
      <c r="T9" s="30" t="n">
        <v>300</v>
      </c>
      <c r="U9" s="19" t="n">
        <f aca="false">IF(T9="","",MAX(0,T9-O9))</f>
        <v>0</v>
      </c>
      <c r="V9" s="32" t="str">
        <f aca="false">IF(D9="End of range","END OF RANGE",IF(T9="","NO BUFFER SET",IF(H9&lt;=0,IF(O9&lt;T9,"OUT - REORDER","OUT - ON ORDER"),IF(O9&lt;T9,"REORDER",IF(H9&lt;T9,"LOW - ON ORDER",IF(AND(S9&lt;&gt;"",N(S9)&gt;Settings!$B$5),"SLOW MOVER","OK"))))))</f>
        <v>OK</v>
      </c>
      <c r="W9" s="18"/>
      <c r="X9" s="33" t="n">
        <f aca="false">IF(OR(D9="End of range",U9=""),0,IF(N(U9)&gt;0,U9+ROW()/1000000,0))</f>
        <v>0</v>
      </c>
    </row>
    <row r="10" customFormat="false" ht="14.25" hidden="false" customHeight="true" outlineLevel="0" collapsed="false">
      <c r="A10" s="18" t="s">
        <v>89</v>
      </c>
      <c r="B10" s="18" t="s">
        <v>90</v>
      </c>
      <c r="C10" s="18" t="s">
        <v>79</v>
      </c>
      <c r="D10" s="18" t="s">
        <v>80</v>
      </c>
      <c r="E10" s="19" t="n">
        <f aca="false">SUMIFS('CPT Count'!$D:$D,'CPT Count'!$A:$A,$A10)-SUMIFS('Weekly Sales'!$F:$F,'Weekly Sales'!$H:$H,$A10,'Weekly Sales'!$I:$I,"CPT")+SUMIFS(Transfers!$F:$F,Transfers!$C:$C,$A10,Transfers!$J:$J,"CPT")-SUMIFS(Transfers!$F:$F,Transfers!$C:$C,$A10,Transfers!$I:$I,"CPT",Transfers!$H:$H,"&lt;&gt;Y")+SUMIFS('Stock Received'!$I:$I,'Stock Received'!$E:$E,$A10,'Stock Received'!$L:$L,"CPT")</f>
        <v>740</v>
      </c>
      <c r="F10" s="19" t="n">
        <f aca="false">SUMIFS('JHB Count'!$E:$E,'JHB Count'!$F:$F,$A10)-SUMIFS('Weekly Sales'!$F:$F,'Weekly Sales'!$H:$H,$A10,'Weekly Sales'!$I:$I,"JHB")+SUMIFS(Transfers!$F:$F,Transfers!$C:$C,$A10,Transfers!$J:$J,"JHB")-SUMIFS(Transfers!$F:$F,Transfers!$C:$C,$A10,Transfers!$I:$I,"JHB",Transfers!$H:$H,"&lt;&gt;Y")+SUMIFS('Stock Received'!$I:$I,'Stock Received'!$E:$E,$A10,'Stock Received'!$L:$L,"JHB")</f>
        <v>56</v>
      </c>
      <c r="G10" s="19" t="n">
        <f aca="false">SUMIFS('DBN Count'!$D:$D,'DBN Count'!$E:$E,$A10)-SUMIFS('Weekly Sales'!$F:$F,'Weekly Sales'!$H:$H,$A10,'Weekly Sales'!$I:$I,"DBN")+SUMIFS(Transfers!$F:$F,Transfers!$C:$C,$A10,Transfers!$J:$J,"DBN")-SUMIFS(Transfers!$F:$F,Transfers!$C:$C,$A10,Transfers!$I:$I,"DBN",Transfers!$H:$H,"&lt;&gt;Y")+SUMIFS('Stock Received'!$I:$I,'Stock Received'!$E:$E,$A10,'Stock Received'!$L:$L,"DBN")</f>
        <v>58.96</v>
      </c>
      <c r="H10" s="29" t="n">
        <f aca="false">E10+F10+G10</f>
        <v>854.96</v>
      </c>
      <c r="I10" s="19" t="n">
        <f aca="false">SUMIFS('Weekly Sales'!$F:$F,'Weekly Sales'!$H:$H,$A10)</f>
        <v>0</v>
      </c>
      <c r="J10" s="19" t="n">
        <f aca="false">SUMIFS(Orders!$L:$L,Orders!$D:$D,$A10,Orders!$F:$F,"&gt;="&amp;J$4,Orders!$F:$F,"&lt;"&amp;EDATE(J$4,1))</f>
        <v>0</v>
      </c>
      <c r="K10" s="19" t="n">
        <f aca="false">SUMIFS(Orders!$L:$L,Orders!$D:$D,$A10,Orders!$F:$F,"&gt;="&amp;K$4,Orders!$F:$F,"&lt;"&amp;EDATE(K$4,1))</f>
        <v>0</v>
      </c>
      <c r="L10" s="19" t="n">
        <f aca="false">SUMIFS(Orders!$L:$L,Orders!$D:$D,$A10,Orders!$F:$F,"&gt;="&amp;L$4,Orders!$F:$F,"&lt;"&amp;EDATE(L$4,1))</f>
        <v>0</v>
      </c>
      <c r="M10" s="19" t="n">
        <f aca="false">N10-J10-K10-L10</f>
        <v>0</v>
      </c>
      <c r="N10" s="19" t="n">
        <f aca="false">SUMIFS(Orders!$L:$L,Orders!$D:$D,$A10)</f>
        <v>0</v>
      </c>
      <c r="O10" s="19" t="n">
        <f aca="false">H10+N10</f>
        <v>854.96</v>
      </c>
      <c r="P10" s="30" t="n">
        <v>100</v>
      </c>
      <c r="Q10" s="19" t="n">
        <f aca="false">IF(SUMIFS('Sales History'!$E:$E,'Sales History'!$G:$G,$A10)&gt;0,SUMIFS('Sales History'!$E:$E,'Sales History'!$G:$G,$A10)/Settings!$B$4,N(P10))</f>
        <v>100</v>
      </c>
      <c r="R10" s="18" t="str">
        <f aca="false">IF(SUMIFS('Sales History'!$E:$E,'Sales History'!$G:$G,$A10)&gt;0,"6-month history",IF(N(P10)&gt;0,"Current sheet","No sales data"))</f>
        <v>Current sheet</v>
      </c>
      <c r="S10" s="31" t="n">
        <f aca="false">IF(Q10&gt;0,H10/Q10,"")</f>
        <v>8.5496</v>
      </c>
      <c r="T10" s="30" t="n">
        <v>300</v>
      </c>
      <c r="U10" s="19" t="n">
        <f aca="false">IF(T10="","",MAX(0,T10-O10))</f>
        <v>0</v>
      </c>
      <c r="V10" s="32" t="str">
        <f aca="false">IF(D10="End of range","END OF RANGE",IF(T10="","NO BUFFER SET",IF(H10&lt;=0,IF(O10&lt;T10,"OUT - REORDER","OUT - ON ORDER"),IF(O10&lt;T10,"REORDER",IF(H10&lt;T10,"LOW - ON ORDER",IF(AND(S10&lt;&gt;"",N(S10)&gt;Settings!$B$5),"SLOW MOVER","OK"))))))</f>
        <v>OK</v>
      </c>
      <c r="W10" s="18"/>
      <c r="X10" s="33" t="n">
        <f aca="false">IF(OR(D10="End of range",U10=""),0,IF(N(U10)&gt;0,U10+ROW()/1000000,0))</f>
        <v>0</v>
      </c>
    </row>
    <row r="11" customFormat="false" ht="14.25" hidden="false" customHeight="true" outlineLevel="0" collapsed="false">
      <c r="A11" s="18" t="s">
        <v>91</v>
      </c>
      <c r="B11" s="18" t="s">
        <v>92</v>
      </c>
      <c r="C11" s="18" t="s">
        <v>79</v>
      </c>
      <c r="D11" s="18" t="s">
        <v>80</v>
      </c>
      <c r="E11" s="19" t="n">
        <f aca="false">SUMIFS('CPT Count'!$D:$D,'CPT Count'!$A:$A,$A11)-SUMIFS('Weekly Sales'!$F:$F,'Weekly Sales'!$H:$H,$A11,'Weekly Sales'!$I:$I,"CPT")+SUMIFS(Transfers!$F:$F,Transfers!$C:$C,$A11,Transfers!$J:$J,"CPT")-SUMIFS(Transfers!$F:$F,Transfers!$C:$C,$A11,Transfers!$I:$I,"CPT",Transfers!$H:$H,"&lt;&gt;Y")+SUMIFS('Stock Received'!$I:$I,'Stock Received'!$E:$E,$A11,'Stock Received'!$L:$L,"CPT")</f>
        <v>160.06</v>
      </c>
      <c r="F11" s="19" t="n">
        <f aca="false">SUMIFS('JHB Count'!$E:$E,'JHB Count'!$F:$F,$A11)-SUMIFS('Weekly Sales'!$F:$F,'Weekly Sales'!$H:$H,$A11,'Weekly Sales'!$I:$I,"JHB")+SUMIFS(Transfers!$F:$F,Transfers!$C:$C,$A11,Transfers!$J:$J,"JHB")-SUMIFS(Transfers!$F:$F,Transfers!$C:$C,$A11,Transfers!$I:$I,"JHB",Transfers!$H:$H,"&lt;&gt;Y")+SUMIFS('Stock Received'!$I:$I,'Stock Received'!$E:$E,$A11,'Stock Received'!$L:$L,"JHB")</f>
        <v>87.18</v>
      </c>
      <c r="G11" s="19" t="n">
        <f aca="false">SUMIFS('DBN Count'!$D:$D,'DBN Count'!$E:$E,$A11)-SUMIFS('Weekly Sales'!$F:$F,'Weekly Sales'!$H:$H,$A11,'Weekly Sales'!$I:$I,"DBN")+SUMIFS(Transfers!$F:$F,Transfers!$C:$C,$A11,Transfers!$J:$J,"DBN")-SUMIFS(Transfers!$F:$F,Transfers!$C:$C,$A11,Transfers!$I:$I,"DBN",Transfers!$H:$H,"&lt;&gt;Y")+SUMIFS('Stock Received'!$I:$I,'Stock Received'!$E:$E,$A11,'Stock Received'!$L:$L,"DBN")</f>
        <v>49.17</v>
      </c>
      <c r="H11" s="29" t="n">
        <f aca="false">E11+F11+G11</f>
        <v>296.41</v>
      </c>
      <c r="I11" s="19" t="n">
        <f aca="false">SUMIFS('Weekly Sales'!$F:$F,'Weekly Sales'!$H:$H,$A11)</f>
        <v>64.76</v>
      </c>
      <c r="J11" s="19" t="n">
        <f aca="false">SUMIFS(Orders!$L:$L,Orders!$D:$D,$A11,Orders!$F:$F,"&gt;="&amp;J$4,Orders!$F:$F,"&lt;"&amp;EDATE(J$4,1))</f>
        <v>0</v>
      </c>
      <c r="K11" s="19" t="n">
        <f aca="false">SUMIFS(Orders!$L:$L,Orders!$D:$D,$A11,Orders!$F:$F,"&gt;="&amp;K$4,Orders!$F:$F,"&lt;"&amp;EDATE(K$4,1))</f>
        <v>500</v>
      </c>
      <c r="L11" s="19" t="n">
        <f aca="false">SUMIFS(Orders!$L:$L,Orders!$D:$D,$A11,Orders!$F:$F,"&gt;="&amp;L$4,Orders!$F:$F,"&lt;"&amp;EDATE(L$4,1))</f>
        <v>0</v>
      </c>
      <c r="M11" s="19" t="n">
        <f aca="false">N11-J11-K11-L11</f>
        <v>0</v>
      </c>
      <c r="N11" s="19" t="n">
        <f aca="false">SUMIFS(Orders!$L:$L,Orders!$D:$D,$A11)</f>
        <v>500</v>
      </c>
      <c r="O11" s="19" t="n">
        <f aca="false">H11+N11</f>
        <v>796.41</v>
      </c>
      <c r="P11" s="30" t="n">
        <v>210</v>
      </c>
      <c r="Q11" s="19" t="n">
        <f aca="false">IF(SUMIFS('Sales History'!$E:$E,'Sales History'!$G:$G,$A11)&gt;0,SUMIFS('Sales History'!$E:$E,'Sales History'!$G:$G,$A11)/Settings!$B$4,N(P11))</f>
        <v>210</v>
      </c>
      <c r="R11" s="18" t="str">
        <f aca="false">IF(SUMIFS('Sales History'!$E:$E,'Sales History'!$G:$G,$A11)&gt;0,"6-month history",IF(N(P11)&gt;0,"Current sheet","No sales data"))</f>
        <v>Current sheet</v>
      </c>
      <c r="S11" s="31" t="n">
        <f aca="false">IF(Q11&gt;0,H11/Q11,"")</f>
        <v>1.41147619047619</v>
      </c>
      <c r="T11" s="30" t="n">
        <v>300</v>
      </c>
      <c r="U11" s="19" t="n">
        <f aca="false">IF(T11="","",MAX(0,T11-O11))</f>
        <v>0</v>
      </c>
      <c r="V11" s="32" t="str">
        <f aca="false">IF(D11="End of range","END OF RANGE",IF(T11="","NO BUFFER SET",IF(H11&lt;=0,IF(O11&lt;T11,"OUT - REORDER","OUT - ON ORDER"),IF(O11&lt;T11,"REORDER",IF(H11&lt;T11,"LOW - ON ORDER",IF(AND(S11&lt;&gt;"",N(S11)&gt;Settings!$B$5),"SLOW MOVER","OK"))))))</f>
        <v>LOW - ON ORDER</v>
      </c>
      <c r="W11" s="18"/>
      <c r="X11" s="33" t="n">
        <f aca="false">IF(OR(D11="End of range",U11=""),0,IF(N(U11)&gt;0,U11+ROW()/1000000,0))</f>
        <v>0</v>
      </c>
    </row>
    <row r="12" customFormat="false" ht="14.25" hidden="false" customHeight="true" outlineLevel="0" collapsed="false">
      <c r="A12" s="18" t="s">
        <v>93</v>
      </c>
      <c r="B12" s="18" t="s">
        <v>94</v>
      </c>
      <c r="C12" s="18" t="s">
        <v>79</v>
      </c>
      <c r="D12" s="18" t="s">
        <v>80</v>
      </c>
      <c r="E12" s="19" t="n">
        <f aca="false">SUMIFS('CPT Count'!$D:$D,'CPT Count'!$A:$A,$A12)-SUMIFS('Weekly Sales'!$F:$F,'Weekly Sales'!$H:$H,$A12,'Weekly Sales'!$I:$I,"CPT")+SUMIFS(Transfers!$F:$F,Transfers!$C:$C,$A12,Transfers!$J:$J,"CPT")-SUMIFS(Transfers!$F:$F,Transfers!$C:$C,$A12,Transfers!$I:$I,"CPT",Transfers!$H:$H,"&lt;&gt;Y")+SUMIFS('Stock Received'!$I:$I,'Stock Received'!$E:$E,$A12,'Stock Received'!$L:$L,"CPT")</f>
        <v>288</v>
      </c>
      <c r="F12" s="19" t="n">
        <f aca="false">SUMIFS('JHB Count'!$E:$E,'JHB Count'!$F:$F,$A12)-SUMIFS('Weekly Sales'!$F:$F,'Weekly Sales'!$H:$H,$A12,'Weekly Sales'!$I:$I,"JHB")+SUMIFS(Transfers!$F:$F,Transfers!$C:$C,$A12,Transfers!$J:$J,"JHB")-SUMIFS(Transfers!$F:$F,Transfers!$C:$C,$A12,Transfers!$I:$I,"JHB",Transfers!$H:$H,"&lt;&gt;Y")+SUMIFS('Stock Received'!$I:$I,'Stock Received'!$E:$E,$A12,'Stock Received'!$L:$L,"JHB")</f>
        <v>92</v>
      </c>
      <c r="G12" s="19" t="n">
        <f aca="false">SUMIFS('DBN Count'!$D:$D,'DBN Count'!$E:$E,$A12)-SUMIFS('Weekly Sales'!$F:$F,'Weekly Sales'!$H:$H,$A12,'Weekly Sales'!$I:$I,"DBN")+SUMIFS(Transfers!$F:$F,Transfers!$C:$C,$A12,Transfers!$J:$J,"DBN")-SUMIFS(Transfers!$F:$F,Transfers!$C:$C,$A12,Transfers!$I:$I,"DBN",Transfers!$H:$H,"&lt;&gt;Y")+SUMIFS('Stock Received'!$I:$I,'Stock Received'!$E:$E,$A12,'Stock Received'!$L:$L,"DBN")</f>
        <v>81.3</v>
      </c>
      <c r="H12" s="29" t="n">
        <f aca="false">E12+F12+G12</f>
        <v>461.3</v>
      </c>
      <c r="I12" s="19" t="n">
        <f aca="false">SUMIFS('Weekly Sales'!$F:$F,'Weekly Sales'!$H:$H,$A12)</f>
        <v>0</v>
      </c>
      <c r="J12" s="19" t="n">
        <f aca="false">SUMIFS(Orders!$L:$L,Orders!$D:$D,$A12,Orders!$F:$F,"&gt;="&amp;J$4,Orders!$F:$F,"&lt;"&amp;EDATE(J$4,1))</f>
        <v>0</v>
      </c>
      <c r="K12" s="19" t="n">
        <f aca="false">SUMIFS(Orders!$L:$L,Orders!$D:$D,$A12,Orders!$F:$F,"&gt;="&amp;K$4,Orders!$F:$F,"&lt;"&amp;EDATE(K$4,1))</f>
        <v>0</v>
      </c>
      <c r="L12" s="19" t="n">
        <f aca="false">SUMIFS(Orders!$L:$L,Orders!$D:$D,$A12,Orders!$F:$F,"&gt;="&amp;L$4,Orders!$F:$F,"&lt;"&amp;EDATE(L$4,1))</f>
        <v>0</v>
      </c>
      <c r="M12" s="19" t="n">
        <f aca="false">N12-J12-K12-L12</f>
        <v>0</v>
      </c>
      <c r="N12" s="19" t="n">
        <f aca="false">SUMIFS(Orders!$L:$L,Orders!$D:$D,$A12)</f>
        <v>0</v>
      </c>
      <c r="O12" s="19" t="n">
        <f aca="false">H12+N12</f>
        <v>461.3</v>
      </c>
      <c r="P12" s="30" t="n">
        <v>35</v>
      </c>
      <c r="Q12" s="19" t="n">
        <f aca="false">IF(SUMIFS('Sales History'!$E:$E,'Sales History'!$G:$G,$A12)&gt;0,SUMIFS('Sales History'!$E:$E,'Sales History'!$G:$G,$A12)/Settings!$B$4,N(P12))</f>
        <v>35</v>
      </c>
      <c r="R12" s="18" t="str">
        <f aca="false">IF(SUMIFS('Sales History'!$E:$E,'Sales History'!$G:$G,$A12)&gt;0,"6-month history",IF(N(P12)&gt;0,"Current sheet","No sales data"))</f>
        <v>Current sheet</v>
      </c>
      <c r="S12" s="31" t="n">
        <f aca="false">IF(Q12&gt;0,H12/Q12,"")</f>
        <v>13.18</v>
      </c>
      <c r="T12" s="30" t="n">
        <v>200</v>
      </c>
      <c r="U12" s="19" t="n">
        <f aca="false">IF(T12="","",MAX(0,T12-O12))</f>
        <v>0</v>
      </c>
      <c r="V12" s="32" t="str">
        <f aca="false">IF(D12="End of range","END OF RANGE",IF(T12="","NO BUFFER SET",IF(H12&lt;=0,IF(O12&lt;T12,"OUT - REORDER","OUT - ON ORDER"),IF(O12&lt;T12,"REORDER",IF(H12&lt;T12,"LOW - ON ORDER",IF(AND(S12&lt;&gt;"",N(S12)&gt;Settings!$B$5),"SLOW MOVER","OK"))))))</f>
        <v>SLOW MOVER</v>
      </c>
      <c r="W12" s="18"/>
      <c r="X12" s="33" t="n">
        <f aca="false">IF(OR(D12="End of range",U12=""),0,IF(N(U12)&gt;0,U12+ROW()/1000000,0))</f>
        <v>0</v>
      </c>
    </row>
    <row r="13" customFormat="false" ht="14.25" hidden="false" customHeight="true" outlineLevel="0" collapsed="false">
      <c r="A13" s="18" t="s">
        <v>95</v>
      </c>
      <c r="B13" s="18" t="s">
        <v>96</v>
      </c>
      <c r="C13" s="18" t="s">
        <v>79</v>
      </c>
      <c r="D13" s="18" t="s">
        <v>80</v>
      </c>
      <c r="E13" s="19" t="n">
        <f aca="false">SUMIFS('CPT Count'!$D:$D,'CPT Count'!$A:$A,$A13)-SUMIFS('Weekly Sales'!$F:$F,'Weekly Sales'!$H:$H,$A13,'Weekly Sales'!$I:$I,"CPT")+SUMIFS(Transfers!$F:$F,Transfers!$C:$C,$A13,Transfers!$J:$J,"CPT")-SUMIFS(Transfers!$F:$F,Transfers!$C:$C,$A13,Transfers!$I:$I,"CPT",Transfers!$H:$H,"&lt;&gt;Y")+SUMIFS('Stock Received'!$I:$I,'Stock Received'!$E:$E,$A13,'Stock Received'!$L:$L,"CPT")</f>
        <v>1452.11</v>
      </c>
      <c r="F13" s="19" t="n">
        <f aca="false">SUMIFS('JHB Count'!$E:$E,'JHB Count'!$F:$F,$A13)-SUMIFS('Weekly Sales'!$F:$F,'Weekly Sales'!$H:$H,$A13,'Weekly Sales'!$I:$I,"JHB")+SUMIFS(Transfers!$F:$F,Transfers!$C:$C,$A13,Transfers!$J:$J,"JHB")-SUMIFS(Transfers!$F:$F,Transfers!$C:$C,$A13,Transfers!$I:$I,"JHB",Transfers!$H:$H,"&lt;&gt;Y")+SUMIFS('Stock Received'!$I:$I,'Stock Received'!$E:$E,$A13,'Stock Received'!$L:$L,"JHB")</f>
        <v>95.8</v>
      </c>
      <c r="G13" s="19" t="n">
        <f aca="false">SUMIFS('DBN Count'!$D:$D,'DBN Count'!$E:$E,$A13)-SUMIFS('Weekly Sales'!$F:$F,'Weekly Sales'!$H:$H,$A13,'Weekly Sales'!$I:$I,"DBN")+SUMIFS(Transfers!$F:$F,Transfers!$C:$C,$A13,Transfers!$J:$J,"DBN")-SUMIFS(Transfers!$F:$F,Transfers!$C:$C,$A13,Transfers!$I:$I,"DBN",Transfers!$H:$H,"&lt;&gt;Y")+SUMIFS('Stock Received'!$I:$I,'Stock Received'!$E:$E,$A13,'Stock Received'!$L:$L,"DBN")</f>
        <v>48.45</v>
      </c>
      <c r="H13" s="29" t="n">
        <f aca="false">E13+F13+G13</f>
        <v>1596.36</v>
      </c>
      <c r="I13" s="19" t="n">
        <f aca="false">SUMIFS('Weekly Sales'!$F:$F,'Weekly Sales'!$H:$H,$A13)</f>
        <v>36.09</v>
      </c>
      <c r="J13" s="19" t="n">
        <f aca="false">SUMIFS(Orders!$L:$L,Orders!$D:$D,$A13,Orders!$F:$F,"&gt;="&amp;J$4,Orders!$F:$F,"&lt;"&amp;EDATE(J$4,1))</f>
        <v>0</v>
      </c>
      <c r="K13" s="19" t="n">
        <f aca="false">SUMIFS(Orders!$L:$L,Orders!$D:$D,$A13,Orders!$F:$F,"&gt;="&amp;K$4,Orders!$F:$F,"&lt;"&amp;EDATE(K$4,1))</f>
        <v>0</v>
      </c>
      <c r="L13" s="19" t="n">
        <f aca="false">SUMIFS(Orders!$L:$L,Orders!$D:$D,$A13,Orders!$F:$F,"&gt;="&amp;L$4,Orders!$F:$F,"&lt;"&amp;EDATE(L$4,1))</f>
        <v>0</v>
      </c>
      <c r="M13" s="19" t="n">
        <f aca="false">N13-J13-K13-L13</f>
        <v>0</v>
      </c>
      <c r="N13" s="19" t="n">
        <f aca="false">SUMIFS(Orders!$L:$L,Orders!$D:$D,$A13)</f>
        <v>0</v>
      </c>
      <c r="O13" s="19" t="n">
        <f aca="false">H13+N13</f>
        <v>1596.36</v>
      </c>
      <c r="P13" s="30" t="n">
        <v>175</v>
      </c>
      <c r="Q13" s="19" t="n">
        <f aca="false">IF(SUMIFS('Sales History'!$E:$E,'Sales History'!$G:$G,$A13)&gt;0,SUMIFS('Sales History'!$E:$E,'Sales History'!$G:$G,$A13)/Settings!$B$4,N(P13))</f>
        <v>175</v>
      </c>
      <c r="R13" s="18" t="str">
        <f aca="false">IF(SUMIFS('Sales History'!$E:$E,'Sales History'!$G:$G,$A13)&gt;0,"6-month history",IF(N(P13)&gt;0,"Current sheet","No sales data"))</f>
        <v>Current sheet</v>
      </c>
      <c r="S13" s="31" t="n">
        <f aca="false">IF(Q13&gt;0,H13/Q13,"")</f>
        <v>9.12205714285714</v>
      </c>
      <c r="T13" s="30" t="n">
        <v>300</v>
      </c>
      <c r="U13" s="19" t="n">
        <f aca="false">IF(T13="","",MAX(0,T13-O13))</f>
        <v>0</v>
      </c>
      <c r="V13" s="32" t="str">
        <f aca="false">IF(D13="End of range","END OF RANGE",IF(T13="","NO BUFFER SET",IF(H13&lt;=0,IF(O13&lt;T13,"OUT - REORDER","OUT - ON ORDER"),IF(O13&lt;T13,"REORDER",IF(H13&lt;T13,"LOW - ON ORDER",IF(AND(S13&lt;&gt;"",N(S13)&gt;Settings!$B$5),"SLOW MOVER","OK"))))))</f>
        <v>OK</v>
      </c>
      <c r="W13" s="18"/>
      <c r="X13" s="33" t="n">
        <f aca="false">IF(OR(D13="End of range",U13=""),0,IF(N(U13)&gt;0,U13+ROW()/1000000,0))</f>
        <v>0</v>
      </c>
    </row>
    <row r="14" customFormat="false" ht="14.25" hidden="false" customHeight="true" outlineLevel="0" collapsed="false">
      <c r="A14" s="18" t="s">
        <v>97</v>
      </c>
      <c r="B14" s="18" t="s">
        <v>98</v>
      </c>
      <c r="C14" s="18" t="s">
        <v>79</v>
      </c>
      <c r="D14" s="18" t="s">
        <v>80</v>
      </c>
      <c r="E14" s="19" t="n">
        <f aca="false">SUMIFS('CPT Count'!$D:$D,'CPT Count'!$A:$A,$A14)-SUMIFS('Weekly Sales'!$F:$F,'Weekly Sales'!$H:$H,$A14,'Weekly Sales'!$I:$I,"CPT")+SUMIFS(Transfers!$F:$F,Transfers!$C:$C,$A14,Transfers!$J:$J,"CPT")-SUMIFS(Transfers!$F:$F,Transfers!$C:$C,$A14,Transfers!$I:$I,"CPT",Transfers!$H:$H,"&lt;&gt;Y")+SUMIFS('Stock Received'!$I:$I,'Stock Received'!$E:$E,$A14,'Stock Received'!$L:$L,"CPT")</f>
        <v>275.88</v>
      </c>
      <c r="F14" s="19" t="n">
        <f aca="false">SUMIFS('JHB Count'!$E:$E,'JHB Count'!$F:$F,$A14)-SUMIFS('Weekly Sales'!$F:$F,'Weekly Sales'!$H:$H,$A14,'Weekly Sales'!$I:$I,"JHB")+SUMIFS(Transfers!$F:$F,Transfers!$C:$C,$A14,Transfers!$J:$J,"JHB")-SUMIFS(Transfers!$F:$F,Transfers!$C:$C,$A14,Transfers!$I:$I,"JHB",Transfers!$H:$H,"&lt;&gt;Y")+SUMIFS('Stock Received'!$I:$I,'Stock Received'!$E:$E,$A14,'Stock Received'!$L:$L,"JHB")</f>
        <v>0</v>
      </c>
      <c r="G14" s="19" t="n">
        <f aca="false">SUMIFS('DBN Count'!$D:$D,'DBN Count'!$E:$E,$A14)-SUMIFS('Weekly Sales'!$F:$F,'Weekly Sales'!$H:$H,$A14,'Weekly Sales'!$I:$I,"DBN")+SUMIFS(Transfers!$F:$F,Transfers!$C:$C,$A14,Transfers!$J:$J,"DBN")-SUMIFS(Transfers!$F:$F,Transfers!$C:$C,$A14,Transfers!$I:$I,"DBN",Transfers!$H:$H,"&lt;&gt;Y")+SUMIFS('Stock Received'!$I:$I,'Stock Received'!$E:$E,$A14,'Stock Received'!$L:$L,"DBN")</f>
        <v>2.13</v>
      </c>
      <c r="H14" s="29" t="n">
        <f aca="false">E14+F14+G14</f>
        <v>278.01</v>
      </c>
      <c r="I14" s="19" t="n">
        <f aca="false">SUMIFS('Weekly Sales'!$F:$F,'Weekly Sales'!$H:$H,$A14)</f>
        <v>4.12</v>
      </c>
      <c r="J14" s="19" t="n">
        <f aca="false">SUMIFS(Orders!$L:$L,Orders!$D:$D,$A14,Orders!$F:$F,"&gt;="&amp;J$4,Orders!$F:$F,"&lt;"&amp;EDATE(J$4,1))</f>
        <v>0</v>
      </c>
      <c r="K14" s="19" t="n">
        <f aca="false">SUMIFS(Orders!$L:$L,Orders!$D:$D,$A14,Orders!$F:$F,"&gt;="&amp;K$4,Orders!$F:$F,"&lt;"&amp;EDATE(K$4,1))</f>
        <v>0</v>
      </c>
      <c r="L14" s="19" t="n">
        <f aca="false">SUMIFS(Orders!$L:$L,Orders!$D:$D,$A14,Orders!$F:$F,"&gt;="&amp;L$4,Orders!$F:$F,"&lt;"&amp;EDATE(L$4,1))</f>
        <v>0</v>
      </c>
      <c r="M14" s="19" t="n">
        <f aca="false">N14-J14-K14-L14</f>
        <v>0</v>
      </c>
      <c r="N14" s="19" t="n">
        <f aca="false">SUMIFS(Orders!$L:$L,Orders!$D:$D,$A14)</f>
        <v>0</v>
      </c>
      <c r="O14" s="19" t="n">
        <f aca="false">H14+N14</f>
        <v>278.01</v>
      </c>
      <c r="P14" s="30" t="n">
        <v>50</v>
      </c>
      <c r="Q14" s="19" t="n">
        <f aca="false">IF(SUMIFS('Sales History'!$E:$E,'Sales History'!$G:$G,$A14)&gt;0,SUMIFS('Sales History'!$E:$E,'Sales History'!$G:$G,$A14)/Settings!$B$4,N(P14))</f>
        <v>50</v>
      </c>
      <c r="R14" s="18" t="str">
        <f aca="false">IF(SUMIFS('Sales History'!$E:$E,'Sales History'!$G:$G,$A14)&gt;0,"6-month history",IF(N(P14)&gt;0,"Current sheet","No sales data"))</f>
        <v>Current sheet</v>
      </c>
      <c r="S14" s="31" t="n">
        <f aca="false">IF(Q14&gt;0,H14/Q14,"")</f>
        <v>5.5602</v>
      </c>
      <c r="T14" s="30" t="n">
        <v>200</v>
      </c>
      <c r="U14" s="19" t="n">
        <f aca="false">IF(T14="","",MAX(0,T14-O14))</f>
        <v>0</v>
      </c>
      <c r="V14" s="32" t="str">
        <f aca="false">IF(D14="End of range","END OF RANGE",IF(T14="","NO BUFFER SET",IF(H14&lt;=0,IF(O14&lt;T14,"OUT - REORDER","OUT - ON ORDER"),IF(O14&lt;T14,"REORDER",IF(H14&lt;T14,"LOW - ON ORDER",IF(AND(S14&lt;&gt;"",N(S14)&gt;Settings!$B$5),"SLOW MOVER","OK"))))))</f>
        <v>OK</v>
      </c>
      <c r="W14" s="18"/>
      <c r="X14" s="33" t="n">
        <f aca="false">IF(OR(D14="End of range",U14=""),0,IF(N(U14)&gt;0,U14+ROW()/1000000,0))</f>
        <v>0</v>
      </c>
    </row>
    <row r="15" customFormat="false" ht="14.25" hidden="false" customHeight="true" outlineLevel="0" collapsed="false">
      <c r="A15" s="18" t="s">
        <v>99</v>
      </c>
      <c r="B15" s="18" t="s">
        <v>100</v>
      </c>
      <c r="C15" s="18" t="s">
        <v>79</v>
      </c>
      <c r="D15" s="18" t="s">
        <v>80</v>
      </c>
      <c r="E15" s="19" t="n">
        <f aca="false">SUMIFS('CPT Count'!$D:$D,'CPT Count'!$A:$A,$A15)-SUMIFS('Weekly Sales'!$F:$F,'Weekly Sales'!$H:$H,$A15,'Weekly Sales'!$I:$I,"CPT")+SUMIFS(Transfers!$F:$F,Transfers!$C:$C,$A15,Transfers!$J:$J,"CPT")-SUMIFS(Transfers!$F:$F,Transfers!$C:$C,$A15,Transfers!$I:$I,"CPT",Transfers!$H:$H,"&lt;&gt;Y")+SUMIFS('Stock Received'!$I:$I,'Stock Received'!$E:$E,$A15,'Stock Received'!$L:$L,"CPT")</f>
        <v>598.42</v>
      </c>
      <c r="F15" s="19" t="n">
        <f aca="false">SUMIFS('JHB Count'!$E:$E,'JHB Count'!$F:$F,$A15)-SUMIFS('Weekly Sales'!$F:$F,'Weekly Sales'!$H:$H,$A15,'Weekly Sales'!$I:$I,"JHB")+SUMIFS(Transfers!$F:$F,Transfers!$C:$C,$A15,Transfers!$J:$J,"JHB")-SUMIFS(Transfers!$F:$F,Transfers!$C:$C,$A15,Transfers!$I:$I,"JHB",Transfers!$H:$H,"&lt;&gt;Y")+SUMIFS('Stock Received'!$I:$I,'Stock Received'!$E:$E,$A15,'Stock Received'!$L:$L,"JHB")</f>
        <v>39.88</v>
      </c>
      <c r="G15" s="19" t="n">
        <f aca="false">SUMIFS('DBN Count'!$D:$D,'DBN Count'!$E:$E,$A15)-SUMIFS('Weekly Sales'!$F:$F,'Weekly Sales'!$H:$H,$A15,'Weekly Sales'!$I:$I,"DBN")+SUMIFS(Transfers!$F:$F,Transfers!$C:$C,$A15,Transfers!$J:$J,"DBN")-SUMIFS(Transfers!$F:$F,Transfers!$C:$C,$A15,Transfers!$I:$I,"DBN",Transfers!$H:$H,"&lt;&gt;Y")+SUMIFS('Stock Received'!$I:$I,'Stock Received'!$E:$E,$A15,'Stock Received'!$L:$L,"DBN")</f>
        <v>15.56</v>
      </c>
      <c r="H15" s="29" t="n">
        <f aca="false">E15+F15+G15</f>
        <v>653.86</v>
      </c>
      <c r="I15" s="19" t="n">
        <f aca="false">SUMIFS('Weekly Sales'!$F:$F,'Weekly Sales'!$H:$H,$A15)</f>
        <v>25.33</v>
      </c>
      <c r="J15" s="19" t="n">
        <f aca="false">SUMIFS(Orders!$L:$L,Orders!$D:$D,$A15,Orders!$F:$F,"&gt;="&amp;J$4,Orders!$F:$F,"&lt;"&amp;EDATE(J$4,1))</f>
        <v>0</v>
      </c>
      <c r="K15" s="19" t="n">
        <f aca="false">SUMIFS(Orders!$L:$L,Orders!$D:$D,$A15,Orders!$F:$F,"&gt;="&amp;K$4,Orders!$F:$F,"&lt;"&amp;EDATE(K$4,1))</f>
        <v>0</v>
      </c>
      <c r="L15" s="19" t="n">
        <f aca="false">SUMIFS(Orders!$L:$L,Orders!$D:$D,$A15,Orders!$F:$F,"&gt;="&amp;L$4,Orders!$F:$F,"&lt;"&amp;EDATE(L$4,1))</f>
        <v>300</v>
      </c>
      <c r="M15" s="19" t="n">
        <f aca="false">N15-J15-K15-L15</f>
        <v>0</v>
      </c>
      <c r="N15" s="19" t="n">
        <f aca="false">SUMIFS(Orders!$L:$L,Orders!$D:$D,$A15)</f>
        <v>300</v>
      </c>
      <c r="O15" s="19" t="n">
        <f aca="false">H15+N15</f>
        <v>953.86</v>
      </c>
      <c r="P15" s="30" t="n">
        <v>200</v>
      </c>
      <c r="Q15" s="19" t="n">
        <f aca="false">IF(SUMIFS('Sales History'!$E:$E,'Sales History'!$G:$G,$A15)&gt;0,SUMIFS('Sales History'!$E:$E,'Sales History'!$G:$G,$A15)/Settings!$B$4,N(P15))</f>
        <v>200</v>
      </c>
      <c r="R15" s="18" t="str">
        <f aca="false">IF(SUMIFS('Sales History'!$E:$E,'Sales History'!$G:$G,$A15)&gt;0,"6-month history",IF(N(P15)&gt;0,"Current sheet","No sales data"))</f>
        <v>Current sheet</v>
      </c>
      <c r="S15" s="31" t="n">
        <f aca="false">IF(Q15&gt;0,H15/Q15,"")</f>
        <v>3.2693</v>
      </c>
      <c r="T15" s="30" t="n">
        <v>300</v>
      </c>
      <c r="U15" s="19" t="n">
        <f aca="false">IF(T15="","",MAX(0,T15-O15))</f>
        <v>0</v>
      </c>
      <c r="V15" s="32" t="str">
        <f aca="false">IF(D15="End of range","END OF RANGE",IF(T15="","NO BUFFER SET",IF(H15&lt;=0,IF(O15&lt;T15,"OUT - REORDER","OUT - ON ORDER"),IF(O15&lt;T15,"REORDER",IF(H15&lt;T15,"LOW - ON ORDER",IF(AND(S15&lt;&gt;"",N(S15)&gt;Settings!$B$5),"SLOW MOVER","OK"))))))</f>
        <v>OK</v>
      </c>
      <c r="W15" s="18"/>
      <c r="X15" s="33" t="n">
        <f aca="false">IF(OR(D15="End of range",U15=""),0,IF(N(U15)&gt;0,U15+ROW()/1000000,0))</f>
        <v>0</v>
      </c>
    </row>
    <row r="16" customFormat="false" ht="14.25" hidden="false" customHeight="true" outlineLevel="0" collapsed="false">
      <c r="A16" s="18" t="s">
        <v>101</v>
      </c>
      <c r="B16" s="18" t="s">
        <v>102</v>
      </c>
      <c r="C16" s="18" t="s">
        <v>79</v>
      </c>
      <c r="D16" s="18" t="s">
        <v>80</v>
      </c>
      <c r="E16" s="19" t="n">
        <f aca="false">SUMIFS('CPT Count'!$D:$D,'CPT Count'!$A:$A,$A16)-SUMIFS('Weekly Sales'!$F:$F,'Weekly Sales'!$H:$H,$A16,'Weekly Sales'!$I:$I,"CPT")+SUMIFS(Transfers!$F:$F,Transfers!$C:$C,$A16,Transfers!$J:$J,"CPT")-SUMIFS(Transfers!$F:$F,Transfers!$C:$C,$A16,Transfers!$I:$I,"CPT",Transfers!$H:$H,"&lt;&gt;Y")+SUMIFS('Stock Received'!$I:$I,'Stock Received'!$E:$E,$A16,'Stock Received'!$L:$L,"CPT")</f>
        <v>309</v>
      </c>
      <c r="F16" s="19" t="n">
        <f aca="false">SUMIFS('JHB Count'!$E:$E,'JHB Count'!$F:$F,$A16)-SUMIFS('Weekly Sales'!$F:$F,'Weekly Sales'!$H:$H,$A16,'Weekly Sales'!$I:$I,"JHB")+SUMIFS(Transfers!$F:$F,Transfers!$C:$C,$A16,Transfers!$J:$J,"JHB")-SUMIFS(Transfers!$F:$F,Transfers!$C:$C,$A16,Transfers!$I:$I,"JHB",Transfers!$H:$H,"&lt;&gt;Y")+SUMIFS('Stock Received'!$I:$I,'Stock Received'!$E:$E,$A16,'Stock Received'!$L:$L,"JHB")</f>
        <v>64.33</v>
      </c>
      <c r="G16" s="19" t="n">
        <f aca="false">SUMIFS('DBN Count'!$D:$D,'DBN Count'!$E:$E,$A16)-SUMIFS('Weekly Sales'!$F:$F,'Weekly Sales'!$H:$H,$A16,'Weekly Sales'!$I:$I,"DBN")+SUMIFS(Transfers!$F:$F,Transfers!$C:$C,$A16,Transfers!$J:$J,"DBN")-SUMIFS(Transfers!$F:$F,Transfers!$C:$C,$A16,Transfers!$I:$I,"DBN",Transfers!$H:$H,"&lt;&gt;Y")+SUMIFS('Stock Received'!$I:$I,'Stock Received'!$E:$E,$A16,'Stock Received'!$L:$L,"DBN")</f>
        <v>23.9</v>
      </c>
      <c r="H16" s="29" t="n">
        <f aca="false">E16+F16+G16</f>
        <v>397.23</v>
      </c>
      <c r="I16" s="19" t="n">
        <f aca="false">SUMIFS('Weekly Sales'!$F:$F,'Weekly Sales'!$H:$H,$A16)</f>
        <v>3.67</v>
      </c>
      <c r="J16" s="19" t="n">
        <f aca="false">SUMIFS(Orders!$L:$L,Orders!$D:$D,$A16,Orders!$F:$F,"&gt;="&amp;J$4,Orders!$F:$F,"&lt;"&amp;EDATE(J$4,1))</f>
        <v>0</v>
      </c>
      <c r="K16" s="19" t="n">
        <f aca="false">SUMIFS(Orders!$L:$L,Orders!$D:$D,$A16,Orders!$F:$F,"&gt;="&amp;K$4,Orders!$F:$F,"&lt;"&amp;EDATE(K$4,1))</f>
        <v>300</v>
      </c>
      <c r="L16" s="19" t="n">
        <f aca="false">SUMIFS(Orders!$L:$L,Orders!$D:$D,$A16,Orders!$F:$F,"&gt;="&amp;L$4,Orders!$F:$F,"&lt;"&amp;EDATE(L$4,1))</f>
        <v>300</v>
      </c>
      <c r="M16" s="19" t="n">
        <f aca="false">N16-J16-K16-L16</f>
        <v>0</v>
      </c>
      <c r="N16" s="19" t="n">
        <f aca="false">SUMIFS(Orders!$L:$L,Orders!$D:$D,$A16)</f>
        <v>600</v>
      </c>
      <c r="O16" s="19" t="n">
        <f aca="false">H16+N16</f>
        <v>997.23</v>
      </c>
      <c r="P16" s="30" t="n">
        <v>85</v>
      </c>
      <c r="Q16" s="19" t="n">
        <f aca="false">IF(SUMIFS('Sales History'!$E:$E,'Sales History'!$G:$G,$A16)&gt;0,SUMIFS('Sales History'!$E:$E,'Sales History'!$G:$G,$A16)/Settings!$B$4,N(P16))</f>
        <v>85</v>
      </c>
      <c r="R16" s="18" t="str">
        <f aca="false">IF(SUMIFS('Sales History'!$E:$E,'Sales History'!$G:$G,$A16)&gt;0,"6-month history",IF(N(P16)&gt;0,"Current sheet","No sales data"))</f>
        <v>Current sheet</v>
      </c>
      <c r="S16" s="31" t="n">
        <f aca="false">IF(Q16&gt;0,H16/Q16,"")</f>
        <v>4.67329411764706</v>
      </c>
      <c r="T16" s="30" t="n">
        <v>300</v>
      </c>
      <c r="U16" s="19" t="n">
        <f aca="false">IF(T16="","",MAX(0,T16-O16))</f>
        <v>0</v>
      </c>
      <c r="V16" s="32" t="str">
        <f aca="false">IF(D16="End of range","END OF RANGE",IF(T16="","NO BUFFER SET",IF(H16&lt;=0,IF(O16&lt;T16,"OUT - REORDER","OUT - ON ORDER"),IF(O16&lt;T16,"REORDER",IF(H16&lt;T16,"LOW - ON ORDER",IF(AND(S16&lt;&gt;"",N(S16)&gt;Settings!$B$5),"SLOW MOVER","OK"))))))</f>
        <v>OK</v>
      </c>
      <c r="W16" s="18"/>
      <c r="X16" s="33" t="n">
        <f aca="false">IF(OR(D16="End of range",U16=""),0,IF(N(U16)&gt;0,U16+ROW()/1000000,0))</f>
        <v>0</v>
      </c>
    </row>
    <row r="17" customFormat="false" ht="14.25" hidden="false" customHeight="true" outlineLevel="0" collapsed="false">
      <c r="A17" s="18" t="s">
        <v>103</v>
      </c>
      <c r="B17" s="18" t="s">
        <v>104</v>
      </c>
      <c r="C17" s="18" t="s">
        <v>79</v>
      </c>
      <c r="D17" s="18" t="s">
        <v>80</v>
      </c>
      <c r="E17" s="19" t="n">
        <f aca="false">SUMIFS('CPT Count'!$D:$D,'CPT Count'!$A:$A,$A17)-SUMIFS('Weekly Sales'!$F:$F,'Weekly Sales'!$H:$H,$A17,'Weekly Sales'!$I:$I,"CPT")+SUMIFS(Transfers!$F:$F,Transfers!$C:$C,$A17,Transfers!$J:$J,"CPT")-SUMIFS(Transfers!$F:$F,Transfers!$C:$C,$A17,Transfers!$I:$I,"CPT",Transfers!$H:$H,"&lt;&gt;Y")+SUMIFS('Stock Received'!$I:$I,'Stock Received'!$E:$E,$A17,'Stock Received'!$L:$L,"CPT")</f>
        <v>220</v>
      </c>
      <c r="F17" s="19" t="n">
        <f aca="false">SUMIFS('JHB Count'!$E:$E,'JHB Count'!$F:$F,$A17)-SUMIFS('Weekly Sales'!$F:$F,'Weekly Sales'!$H:$H,$A17,'Weekly Sales'!$I:$I,"JHB")+SUMIFS(Transfers!$F:$F,Transfers!$C:$C,$A17,Transfers!$J:$J,"JHB")-SUMIFS(Transfers!$F:$F,Transfers!$C:$C,$A17,Transfers!$I:$I,"JHB",Transfers!$H:$H,"&lt;&gt;Y")+SUMIFS('Stock Received'!$I:$I,'Stock Received'!$E:$E,$A17,'Stock Received'!$L:$L,"JHB")</f>
        <v>84</v>
      </c>
      <c r="G17" s="19" t="n">
        <f aca="false">SUMIFS('DBN Count'!$D:$D,'DBN Count'!$E:$E,$A17)-SUMIFS('Weekly Sales'!$F:$F,'Weekly Sales'!$H:$H,$A17,'Weekly Sales'!$I:$I,"DBN")+SUMIFS(Transfers!$F:$F,Transfers!$C:$C,$A17,Transfers!$J:$J,"DBN")-SUMIFS(Transfers!$F:$F,Transfers!$C:$C,$A17,Transfers!$I:$I,"DBN",Transfers!$H:$H,"&lt;&gt;Y")+SUMIFS('Stock Received'!$I:$I,'Stock Received'!$E:$E,$A17,'Stock Received'!$L:$L,"DBN")</f>
        <v>33.37</v>
      </c>
      <c r="H17" s="29" t="n">
        <f aca="false">E17+F17+G17</f>
        <v>337.37</v>
      </c>
      <c r="I17" s="19" t="n">
        <f aca="false">SUMIFS('Weekly Sales'!$F:$F,'Weekly Sales'!$H:$H,$A17)</f>
        <v>0</v>
      </c>
      <c r="J17" s="19" t="n">
        <f aca="false">SUMIFS(Orders!$L:$L,Orders!$D:$D,$A17,Orders!$F:$F,"&gt;="&amp;J$4,Orders!$F:$F,"&lt;"&amp;EDATE(J$4,1))</f>
        <v>300</v>
      </c>
      <c r="K17" s="19" t="n">
        <f aca="false">SUMIFS(Orders!$L:$L,Orders!$D:$D,$A17,Orders!$F:$F,"&gt;="&amp;K$4,Orders!$F:$F,"&lt;"&amp;EDATE(K$4,1))</f>
        <v>0</v>
      </c>
      <c r="L17" s="19" t="n">
        <f aca="false">SUMIFS(Orders!$L:$L,Orders!$D:$D,$A17,Orders!$F:$F,"&gt;="&amp;L$4,Orders!$F:$F,"&lt;"&amp;EDATE(L$4,1))</f>
        <v>0</v>
      </c>
      <c r="M17" s="19" t="n">
        <f aca="false">N17-J17-K17-L17</f>
        <v>0</v>
      </c>
      <c r="N17" s="19" t="n">
        <f aca="false">SUMIFS(Orders!$L:$L,Orders!$D:$D,$A17)</f>
        <v>300</v>
      </c>
      <c r="O17" s="19" t="n">
        <f aca="false">H17+N17</f>
        <v>637.37</v>
      </c>
      <c r="P17" s="30" t="n">
        <v>110</v>
      </c>
      <c r="Q17" s="19" t="n">
        <f aca="false">IF(SUMIFS('Sales History'!$E:$E,'Sales History'!$G:$G,$A17)&gt;0,SUMIFS('Sales History'!$E:$E,'Sales History'!$G:$G,$A17)/Settings!$B$4,N(P17))</f>
        <v>110</v>
      </c>
      <c r="R17" s="18" t="str">
        <f aca="false">IF(SUMIFS('Sales History'!$E:$E,'Sales History'!$G:$G,$A17)&gt;0,"6-month history",IF(N(P17)&gt;0,"Current sheet","No sales data"))</f>
        <v>Current sheet</v>
      </c>
      <c r="S17" s="31" t="n">
        <f aca="false">IF(Q17&gt;0,H17/Q17,"")</f>
        <v>3.067</v>
      </c>
      <c r="T17" s="30" t="n">
        <v>300</v>
      </c>
      <c r="U17" s="19" t="n">
        <f aca="false">IF(T17="","",MAX(0,T17-O17))</f>
        <v>0</v>
      </c>
      <c r="V17" s="32" t="str">
        <f aca="false">IF(D17="End of range","END OF RANGE",IF(T17="","NO BUFFER SET",IF(H17&lt;=0,IF(O17&lt;T17,"OUT - REORDER","OUT - ON ORDER"),IF(O17&lt;T17,"REORDER",IF(H17&lt;T17,"LOW - ON ORDER",IF(AND(S17&lt;&gt;"",N(S17)&gt;Settings!$B$5),"SLOW MOVER","OK"))))))</f>
        <v>OK</v>
      </c>
      <c r="W17" s="18"/>
      <c r="X17" s="33" t="n">
        <f aca="false">IF(OR(D17="End of range",U17=""),0,IF(N(U17)&gt;0,U17+ROW()/1000000,0))</f>
        <v>0</v>
      </c>
    </row>
    <row r="18" customFormat="false" ht="14.25" hidden="false" customHeight="true" outlineLevel="0" collapsed="false">
      <c r="A18" s="18" t="s">
        <v>105</v>
      </c>
      <c r="B18" s="18" t="s">
        <v>106</v>
      </c>
      <c r="C18" s="18" t="s">
        <v>79</v>
      </c>
      <c r="D18" s="18" t="s">
        <v>80</v>
      </c>
      <c r="E18" s="19" t="n">
        <f aca="false">SUMIFS('CPT Count'!$D:$D,'CPT Count'!$A:$A,$A18)-SUMIFS('Weekly Sales'!$F:$F,'Weekly Sales'!$H:$H,$A18,'Weekly Sales'!$I:$I,"CPT")+SUMIFS(Transfers!$F:$F,Transfers!$C:$C,$A18,Transfers!$J:$J,"CPT")-SUMIFS(Transfers!$F:$F,Transfers!$C:$C,$A18,Transfers!$I:$I,"CPT",Transfers!$H:$H,"&lt;&gt;Y")+SUMIFS('Stock Received'!$I:$I,'Stock Received'!$E:$E,$A18,'Stock Received'!$L:$L,"CPT")</f>
        <v>406.37</v>
      </c>
      <c r="F18" s="19" t="n">
        <f aca="false">SUMIFS('JHB Count'!$E:$E,'JHB Count'!$F:$F,$A18)-SUMIFS('Weekly Sales'!$F:$F,'Weekly Sales'!$H:$H,$A18,'Weekly Sales'!$I:$I,"JHB")+SUMIFS(Transfers!$F:$F,Transfers!$C:$C,$A18,Transfers!$J:$J,"JHB")-SUMIFS(Transfers!$F:$F,Transfers!$C:$C,$A18,Transfers!$I:$I,"JHB",Transfers!$H:$H,"&lt;&gt;Y")+SUMIFS('Stock Received'!$I:$I,'Stock Received'!$E:$E,$A18,'Stock Received'!$L:$L,"JHB")</f>
        <v>24.86</v>
      </c>
      <c r="G18" s="19" t="n">
        <f aca="false">SUMIFS('DBN Count'!$D:$D,'DBN Count'!$E:$E,$A18)-SUMIFS('Weekly Sales'!$F:$F,'Weekly Sales'!$H:$H,$A18,'Weekly Sales'!$I:$I,"DBN")+SUMIFS(Transfers!$F:$F,Transfers!$C:$C,$A18,Transfers!$J:$J,"DBN")-SUMIFS(Transfers!$F:$F,Transfers!$C:$C,$A18,Transfers!$I:$I,"DBN",Transfers!$H:$H,"&lt;&gt;Y")+SUMIFS('Stock Received'!$I:$I,'Stock Received'!$E:$E,$A18,'Stock Received'!$L:$L,"DBN")</f>
        <v>24.23</v>
      </c>
      <c r="H18" s="29" t="n">
        <f aca="false">E18+F18+G18</f>
        <v>455.46</v>
      </c>
      <c r="I18" s="19" t="n">
        <f aca="false">SUMIFS('Weekly Sales'!$F:$F,'Weekly Sales'!$H:$H,$A18)</f>
        <v>69.36</v>
      </c>
      <c r="J18" s="19" t="n">
        <f aca="false">SUMIFS(Orders!$L:$L,Orders!$D:$D,$A18,Orders!$F:$F,"&gt;="&amp;J$4,Orders!$F:$F,"&lt;"&amp;EDATE(J$4,1))</f>
        <v>0</v>
      </c>
      <c r="K18" s="19" t="n">
        <f aca="false">SUMIFS(Orders!$L:$L,Orders!$D:$D,$A18,Orders!$F:$F,"&gt;="&amp;K$4,Orders!$F:$F,"&lt;"&amp;EDATE(K$4,1))</f>
        <v>300</v>
      </c>
      <c r="L18" s="19" t="n">
        <f aca="false">SUMIFS(Orders!$L:$L,Orders!$D:$D,$A18,Orders!$F:$F,"&gt;="&amp;L$4,Orders!$F:$F,"&lt;"&amp;EDATE(L$4,1))</f>
        <v>0</v>
      </c>
      <c r="M18" s="19" t="n">
        <f aca="false">N18-J18-K18-L18</f>
        <v>0</v>
      </c>
      <c r="N18" s="19" t="n">
        <f aca="false">SUMIFS(Orders!$L:$L,Orders!$D:$D,$A18)</f>
        <v>300</v>
      </c>
      <c r="O18" s="19" t="n">
        <f aca="false">H18+N18</f>
        <v>755.46</v>
      </c>
      <c r="P18" s="30" t="n">
        <v>200</v>
      </c>
      <c r="Q18" s="19" t="n">
        <f aca="false">IF(SUMIFS('Sales History'!$E:$E,'Sales History'!$G:$G,$A18)&gt;0,SUMIFS('Sales History'!$E:$E,'Sales History'!$G:$G,$A18)/Settings!$B$4,N(P18))</f>
        <v>200</v>
      </c>
      <c r="R18" s="18" t="str">
        <f aca="false">IF(SUMIFS('Sales History'!$E:$E,'Sales History'!$G:$G,$A18)&gt;0,"6-month history",IF(N(P18)&gt;0,"Current sheet","No sales data"))</f>
        <v>Current sheet</v>
      </c>
      <c r="S18" s="31" t="n">
        <f aca="false">IF(Q18&gt;0,H18/Q18,"")</f>
        <v>2.2773</v>
      </c>
      <c r="T18" s="30" t="n">
        <v>300</v>
      </c>
      <c r="U18" s="19" t="n">
        <f aca="false">IF(T18="","",MAX(0,T18-O18))</f>
        <v>0</v>
      </c>
      <c r="V18" s="32" t="str">
        <f aca="false">IF(D18="End of range","END OF RANGE",IF(T18="","NO BUFFER SET",IF(H18&lt;=0,IF(O18&lt;T18,"OUT - REORDER","OUT - ON ORDER"),IF(O18&lt;T18,"REORDER",IF(H18&lt;T18,"LOW - ON ORDER",IF(AND(S18&lt;&gt;"",N(S18)&gt;Settings!$B$5),"SLOW MOVER","OK"))))))</f>
        <v>OK</v>
      </c>
      <c r="W18" s="18"/>
      <c r="X18" s="33" t="n">
        <f aca="false">IF(OR(D18="End of range",U18=""),0,IF(N(U18)&gt;0,U18+ROW()/1000000,0))</f>
        <v>0</v>
      </c>
    </row>
    <row r="19" customFormat="false" ht="14.25" hidden="false" customHeight="true" outlineLevel="0" collapsed="false">
      <c r="A19" s="18" t="s">
        <v>107</v>
      </c>
      <c r="B19" s="18" t="s">
        <v>108</v>
      </c>
      <c r="C19" s="18" t="s">
        <v>79</v>
      </c>
      <c r="D19" s="18" t="s">
        <v>80</v>
      </c>
      <c r="E19" s="19" t="n">
        <f aca="false">SUMIFS('CPT Count'!$D:$D,'CPT Count'!$A:$A,$A19)-SUMIFS('Weekly Sales'!$F:$F,'Weekly Sales'!$H:$H,$A19,'Weekly Sales'!$I:$I,"CPT")+SUMIFS(Transfers!$F:$F,Transfers!$C:$C,$A19,Transfers!$J:$J,"CPT")-SUMIFS(Transfers!$F:$F,Transfers!$C:$C,$A19,Transfers!$I:$I,"CPT",Transfers!$H:$H,"&lt;&gt;Y")+SUMIFS('Stock Received'!$I:$I,'Stock Received'!$E:$E,$A19,'Stock Received'!$L:$L,"CPT")</f>
        <v>0</v>
      </c>
      <c r="F19" s="19" t="n">
        <f aca="false">SUMIFS('JHB Count'!$E:$E,'JHB Count'!$F:$F,$A19)-SUMIFS('Weekly Sales'!$F:$F,'Weekly Sales'!$H:$H,$A19,'Weekly Sales'!$I:$I,"JHB")+SUMIFS(Transfers!$F:$F,Transfers!$C:$C,$A19,Transfers!$J:$J,"JHB")-SUMIFS(Transfers!$F:$F,Transfers!$C:$C,$A19,Transfers!$I:$I,"JHB",Transfers!$H:$H,"&lt;&gt;Y")+SUMIFS('Stock Received'!$I:$I,'Stock Received'!$E:$E,$A19,'Stock Received'!$L:$L,"JHB")</f>
        <v>1265.16</v>
      </c>
      <c r="G19" s="19" t="n">
        <f aca="false">SUMIFS('DBN Count'!$D:$D,'DBN Count'!$E:$E,$A19)-SUMIFS('Weekly Sales'!$F:$F,'Weekly Sales'!$H:$H,$A19,'Weekly Sales'!$I:$I,"DBN")+SUMIFS(Transfers!$F:$F,Transfers!$C:$C,$A19,Transfers!$J:$J,"DBN")-SUMIFS(Transfers!$F:$F,Transfers!$C:$C,$A19,Transfers!$I:$I,"DBN",Transfers!$H:$H,"&lt;&gt;Y")+SUMIFS('Stock Received'!$I:$I,'Stock Received'!$E:$E,$A19,'Stock Received'!$L:$L,"DBN")</f>
        <v>109.15</v>
      </c>
      <c r="H19" s="29" t="n">
        <f aca="false">E19+F19+G19</f>
        <v>1374.31</v>
      </c>
      <c r="I19" s="19" t="n">
        <f aca="false">SUMIFS('Weekly Sales'!$F:$F,'Weekly Sales'!$H:$H,$A19)</f>
        <v>126.84</v>
      </c>
      <c r="J19" s="19" t="n">
        <f aca="false">SUMIFS(Orders!$L:$L,Orders!$D:$D,$A19,Orders!$F:$F,"&gt;="&amp;J$4,Orders!$F:$F,"&lt;"&amp;EDATE(J$4,1))</f>
        <v>0</v>
      </c>
      <c r="K19" s="19" t="n">
        <f aca="false">SUMIFS(Orders!$L:$L,Orders!$D:$D,$A19,Orders!$F:$F,"&gt;="&amp;K$4,Orders!$F:$F,"&lt;"&amp;EDATE(K$4,1))</f>
        <v>1000</v>
      </c>
      <c r="L19" s="19" t="n">
        <f aca="false">SUMIFS(Orders!$L:$L,Orders!$D:$D,$A19,Orders!$F:$F,"&gt;="&amp;L$4,Orders!$F:$F,"&lt;"&amp;EDATE(L$4,1))</f>
        <v>0</v>
      </c>
      <c r="M19" s="19" t="n">
        <f aca="false">N19-J19-K19-L19</f>
        <v>0</v>
      </c>
      <c r="N19" s="19" t="n">
        <f aca="false">SUMIFS(Orders!$L:$L,Orders!$D:$D,$A19)</f>
        <v>1000</v>
      </c>
      <c r="O19" s="19" t="n">
        <f aca="false">H19+N19</f>
        <v>2374.31</v>
      </c>
      <c r="P19" s="30" t="n">
        <v>0</v>
      </c>
      <c r="Q19" s="19" t="n">
        <f aca="false">IF(SUMIFS('Sales History'!$E:$E,'Sales History'!$G:$G,$A19)&gt;0,SUMIFS('Sales History'!$E:$E,'Sales History'!$G:$G,$A19)/Settings!$B$4,N(P19))</f>
        <v>0</v>
      </c>
      <c r="R19" s="18" t="str">
        <f aca="false">IF(SUMIFS('Sales History'!$E:$E,'Sales History'!$G:$G,$A19)&gt;0,"6-month history",IF(N(P19)&gt;0,"Current sheet","No sales data"))</f>
        <v>No sales data</v>
      </c>
      <c r="S19" s="31" t="str">
        <f aca="false">IF(Q19&gt;0,H19/Q19,"")</f>
        <v/>
      </c>
      <c r="T19" s="30"/>
      <c r="U19" s="19" t="str">
        <f aca="false">IF(T19="","",MAX(0,T19-O19))</f>
        <v/>
      </c>
      <c r="V19" s="32" t="str">
        <f aca="false">IF(D19="End of range","END OF RANGE",IF(T19="","NO BUFFER SET",IF(H19&lt;=0,IF(O19&lt;T19,"OUT - REORDER","OUT - ON ORDER"),IF(O19&lt;T19,"REORDER",IF(H19&lt;T19,"LOW - ON ORDER",IF(AND(S19&lt;&gt;"",N(S19)&gt;Settings!$B$5),"SLOW MOVER","OK"))))))</f>
        <v>NO BUFFER SET</v>
      </c>
      <c r="W19" s="18"/>
      <c r="X19" s="33" t="n">
        <f aca="false">IF(OR(D19="End of range",U19=""),0,IF(N(U19)&gt;0,U19+ROW()/1000000,0))</f>
        <v>0</v>
      </c>
    </row>
    <row r="20" customFormat="false" ht="14.25" hidden="false" customHeight="true" outlineLevel="0" collapsed="false">
      <c r="A20" s="18" t="s">
        <v>109</v>
      </c>
      <c r="B20" s="18" t="s">
        <v>110</v>
      </c>
      <c r="C20" s="18" t="s">
        <v>79</v>
      </c>
      <c r="D20" s="18" t="s">
        <v>80</v>
      </c>
      <c r="E20" s="19" t="n">
        <f aca="false">SUMIFS('CPT Count'!$D:$D,'CPT Count'!$A:$A,$A20)-SUMIFS('Weekly Sales'!$F:$F,'Weekly Sales'!$H:$H,$A20,'Weekly Sales'!$I:$I,"CPT")+SUMIFS(Transfers!$F:$F,Transfers!$C:$C,$A20,Transfers!$J:$J,"CPT")-SUMIFS(Transfers!$F:$F,Transfers!$C:$C,$A20,Transfers!$I:$I,"CPT",Transfers!$H:$H,"&lt;&gt;Y")+SUMIFS('Stock Received'!$I:$I,'Stock Received'!$E:$E,$A20,'Stock Received'!$L:$L,"CPT")</f>
        <v>0</v>
      </c>
      <c r="F20" s="19" t="n">
        <f aca="false">SUMIFS('JHB Count'!$E:$E,'JHB Count'!$F:$F,$A20)-SUMIFS('Weekly Sales'!$F:$F,'Weekly Sales'!$H:$H,$A20,'Weekly Sales'!$I:$I,"JHB")+SUMIFS(Transfers!$F:$F,Transfers!$C:$C,$A20,Transfers!$J:$J,"JHB")-SUMIFS(Transfers!$F:$F,Transfers!$C:$C,$A20,Transfers!$I:$I,"JHB",Transfers!$H:$H,"&lt;&gt;Y")+SUMIFS('Stock Received'!$I:$I,'Stock Received'!$E:$E,$A20,'Stock Received'!$L:$L,"JHB")</f>
        <v>0</v>
      </c>
      <c r="G20" s="19" t="n">
        <f aca="false">SUMIFS('DBN Count'!$D:$D,'DBN Count'!$E:$E,$A20)-SUMIFS('Weekly Sales'!$F:$F,'Weekly Sales'!$H:$H,$A20,'Weekly Sales'!$I:$I,"DBN")+SUMIFS(Transfers!$F:$F,Transfers!$C:$C,$A20,Transfers!$J:$J,"DBN")-SUMIFS(Transfers!$F:$F,Transfers!$C:$C,$A20,Transfers!$I:$I,"DBN",Transfers!$H:$H,"&lt;&gt;Y")+SUMIFS('Stock Received'!$I:$I,'Stock Received'!$E:$E,$A20,'Stock Received'!$L:$L,"DBN")</f>
        <v>0</v>
      </c>
      <c r="H20" s="29" t="n">
        <f aca="false">E20+F20+G20</f>
        <v>0</v>
      </c>
      <c r="I20" s="19" t="n">
        <f aca="false">SUMIFS('Weekly Sales'!$F:$F,'Weekly Sales'!$H:$H,$A20)</f>
        <v>0</v>
      </c>
      <c r="J20" s="19" t="n">
        <f aca="false">SUMIFS(Orders!$L:$L,Orders!$D:$D,$A20,Orders!$F:$F,"&gt;="&amp;J$4,Orders!$F:$F,"&lt;"&amp;EDATE(J$4,1))</f>
        <v>0</v>
      </c>
      <c r="K20" s="19" t="n">
        <f aca="false">SUMIFS(Orders!$L:$L,Orders!$D:$D,$A20,Orders!$F:$F,"&gt;="&amp;K$4,Orders!$F:$F,"&lt;"&amp;EDATE(K$4,1))</f>
        <v>200</v>
      </c>
      <c r="L20" s="19" t="n">
        <f aca="false">SUMIFS(Orders!$L:$L,Orders!$D:$D,$A20,Orders!$F:$F,"&gt;="&amp;L$4,Orders!$F:$F,"&lt;"&amp;EDATE(L$4,1))</f>
        <v>0</v>
      </c>
      <c r="M20" s="19" t="n">
        <f aca="false">N20-J20-K20-L20</f>
        <v>0</v>
      </c>
      <c r="N20" s="19" t="n">
        <f aca="false">SUMIFS(Orders!$L:$L,Orders!$D:$D,$A20)</f>
        <v>200</v>
      </c>
      <c r="O20" s="19" t="n">
        <f aca="false">H20+N20</f>
        <v>200</v>
      </c>
      <c r="P20" s="30"/>
      <c r="Q20" s="19" t="n">
        <f aca="false">IF(SUMIFS('Sales History'!$E:$E,'Sales History'!$G:$G,$A20)&gt;0,SUMIFS('Sales History'!$E:$E,'Sales History'!$G:$G,$A20)/Settings!$B$4,N(P20))</f>
        <v>0</v>
      </c>
      <c r="R20" s="18" t="str">
        <f aca="false">IF(SUMIFS('Sales History'!$E:$E,'Sales History'!$G:$G,$A20)&gt;0,"6-month history",IF(N(P20)&gt;0,"Current sheet","No sales data"))</f>
        <v>No sales data</v>
      </c>
      <c r="S20" s="31" t="str">
        <f aca="false">IF(Q20&gt;0,H20/Q20,"")</f>
        <v/>
      </c>
      <c r="T20" s="30"/>
      <c r="U20" s="19" t="str">
        <f aca="false">IF(T20="","",MAX(0,T20-O20))</f>
        <v/>
      </c>
      <c r="V20" s="32" t="str">
        <f aca="false">IF(D20="End of range","END OF RANGE",IF(T20="","NO BUFFER SET",IF(H20&lt;=0,IF(O20&lt;T20,"OUT - REORDER","OUT - ON ORDER"),IF(O20&lt;T20,"REORDER",IF(H20&lt;T20,"LOW - ON ORDER",IF(AND(S20&lt;&gt;"",N(S20)&gt;Settings!$B$5),"SLOW MOVER","OK"))))))</f>
        <v>NO BUFFER SET</v>
      </c>
      <c r="W20" s="18"/>
      <c r="X20" s="33" t="n">
        <f aca="false">IF(OR(D20="End of range",U20=""),0,IF(N(U20)&gt;0,U20+ROW()/1000000,0))</f>
        <v>0</v>
      </c>
    </row>
    <row r="21" customFormat="false" ht="14.25" hidden="false" customHeight="true" outlineLevel="0" collapsed="false">
      <c r="A21" s="18" t="s">
        <v>111</v>
      </c>
      <c r="B21" s="18" t="s">
        <v>112</v>
      </c>
      <c r="C21" s="18" t="s">
        <v>79</v>
      </c>
      <c r="D21" s="18" t="s">
        <v>80</v>
      </c>
      <c r="E21" s="19" t="n">
        <f aca="false">SUMIFS('CPT Count'!$D:$D,'CPT Count'!$A:$A,$A21)-SUMIFS('Weekly Sales'!$F:$F,'Weekly Sales'!$H:$H,$A21,'Weekly Sales'!$I:$I,"CPT")+SUMIFS(Transfers!$F:$F,Transfers!$C:$C,$A21,Transfers!$J:$J,"CPT")-SUMIFS(Transfers!$F:$F,Transfers!$C:$C,$A21,Transfers!$I:$I,"CPT",Transfers!$H:$H,"&lt;&gt;Y")+SUMIFS('Stock Received'!$I:$I,'Stock Received'!$E:$E,$A21,'Stock Received'!$L:$L,"CPT")</f>
        <v>337.5</v>
      </c>
      <c r="F21" s="19" t="n">
        <f aca="false">SUMIFS('JHB Count'!$E:$E,'JHB Count'!$F:$F,$A21)-SUMIFS('Weekly Sales'!$F:$F,'Weekly Sales'!$H:$H,$A21,'Weekly Sales'!$I:$I,"JHB")+SUMIFS(Transfers!$F:$F,Transfers!$C:$C,$A21,Transfers!$J:$J,"JHB")-SUMIFS(Transfers!$F:$F,Transfers!$C:$C,$A21,Transfers!$I:$I,"JHB",Transfers!$H:$H,"&lt;&gt;Y")+SUMIFS('Stock Received'!$I:$I,'Stock Received'!$E:$E,$A21,'Stock Received'!$L:$L,"JHB")</f>
        <v>80</v>
      </c>
      <c r="G21" s="19" t="n">
        <f aca="false">SUMIFS('DBN Count'!$D:$D,'DBN Count'!$E:$E,$A21)-SUMIFS('Weekly Sales'!$F:$F,'Weekly Sales'!$H:$H,$A21,'Weekly Sales'!$I:$I,"DBN")+SUMIFS(Transfers!$F:$F,Transfers!$C:$C,$A21,Transfers!$J:$J,"DBN")-SUMIFS(Transfers!$F:$F,Transfers!$C:$C,$A21,Transfers!$I:$I,"DBN",Transfers!$H:$H,"&lt;&gt;Y")+SUMIFS('Stock Received'!$I:$I,'Stock Received'!$E:$E,$A21,'Stock Received'!$L:$L,"DBN")</f>
        <v>67.4</v>
      </c>
      <c r="H21" s="29" t="n">
        <f aca="false">E21+F21+G21</f>
        <v>484.9</v>
      </c>
      <c r="I21" s="19" t="n">
        <f aca="false">SUMIFS('Weekly Sales'!$F:$F,'Weekly Sales'!$H:$H,$A21)</f>
        <v>0.5</v>
      </c>
      <c r="J21" s="19" t="n">
        <f aca="false">SUMIFS(Orders!$L:$L,Orders!$D:$D,$A21,Orders!$F:$F,"&gt;="&amp;J$4,Orders!$F:$F,"&lt;"&amp;EDATE(J$4,1))</f>
        <v>0</v>
      </c>
      <c r="K21" s="19" t="n">
        <f aca="false">SUMIFS(Orders!$L:$L,Orders!$D:$D,$A21,Orders!$F:$F,"&gt;="&amp;K$4,Orders!$F:$F,"&lt;"&amp;EDATE(K$4,1))</f>
        <v>300</v>
      </c>
      <c r="L21" s="19" t="n">
        <f aca="false">SUMIFS(Orders!$L:$L,Orders!$D:$D,$A21,Orders!$F:$F,"&gt;="&amp;L$4,Orders!$F:$F,"&lt;"&amp;EDATE(L$4,1))</f>
        <v>0</v>
      </c>
      <c r="M21" s="19" t="n">
        <f aca="false">N21-J21-K21-L21</f>
        <v>0</v>
      </c>
      <c r="N21" s="19" t="n">
        <f aca="false">SUMIFS(Orders!$L:$L,Orders!$D:$D,$A21)</f>
        <v>300</v>
      </c>
      <c r="O21" s="19" t="n">
        <f aca="false">H21+N21</f>
        <v>784.9</v>
      </c>
      <c r="P21" s="30" t="n">
        <v>150</v>
      </c>
      <c r="Q21" s="19" t="n">
        <f aca="false">IF(SUMIFS('Sales History'!$E:$E,'Sales History'!$G:$G,$A21)&gt;0,SUMIFS('Sales History'!$E:$E,'Sales History'!$G:$G,$A21)/Settings!$B$4,N(P21))</f>
        <v>150</v>
      </c>
      <c r="R21" s="18" t="str">
        <f aca="false">IF(SUMIFS('Sales History'!$E:$E,'Sales History'!$G:$G,$A21)&gt;0,"6-month history",IF(N(P21)&gt;0,"Current sheet","No sales data"))</f>
        <v>Current sheet</v>
      </c>
      <c r="S21" s="31" t="n">
        <f aca="false">IF(Q21&gt;0,H21/Q21,"")</f>
        <v>3.23266666666667</v>
      </c>
      <c r="T21" s="30" t="n">
        <v>300</v>
      </c>
      <c r="U21" s="19" t="n">
        <f aca="false">IF(T21="","",MAX(0,T21-O21))</f>
        <v>0</v>
      </c>
      <c r="V21" s="32" t="str">
        <f aca="false">IF(D21="End of range","END OF RANGE",IF(T21="","NO BUFFER SET",IF(H21&lt;=0,IF(O21&lt;T21,"OUT - REORDER","OUT - ON ORDER"),IF(O21&lt;T21,"REORDER",IF(H21&lt;T21,"LOW - ON ORDER",IF(AND(S21&lt;&gt;"",N(S21)&gt;Settings!$B$5),"SLOW MOVER","OK"))))))</f>
        <v>OK</v>
      </c>
      <c r="W21" s="18"/>
      <c r="X21" s="33" t="n">
        <f aca="false">IF(OR(D21="End of range",U21=""),0,IF(N(U21)&gt;0,U21+ROW()/1000000,0))</f>
        <v>0</v>
      </c>
    </row>
    <row r="22" customFormat="false" ht="14.25" hidden="false" customHeight="true" outlineLevel="0" collapsed="false">
      <c r="A22" s="18" t="s">
        <v>113</v>
      </c>
      <c r="B22" s="18" t="s">
        <v>114</v>
      </c>
      <c r="C22" s="18" t="s">
        <v>79</v>
      </c>
      <c r="D22" s="18" t="s">
        <v>80</v>
      </c>
      <c r="E22" s="19" t="n">
        <f aca="false">SUMIFS('CPT Count'!$D:$D,'CPT Count'!$A:$A,$A22)-SUMIFS('Weekly Sales'!$F:$F,'Weekly Sales'!$H:$H,$A22,'Weekly Sales'!$I:$I,"CPT")+SUMIFS(Transfers!$F:$F,Transfers!$C:$C,$A22,Transfers!$J:$J,"CPT")-SUMIFS(Transfers!$F:$F,Transfers!$C:$C,$A22,Transfers!$I:$I,"CPT",Transfers!$H:$H,"&lt;&gt;Y")+SUMIFS('Stock Received'!$I:$I,'Stock Received'!$E:$E,$A22,'Stock Received'!$L:$L,"CPT")</f>
        <v>209.57</v>
      </c>
      <c r="F22" s="19" t="n">
        <f aca="false">SUMIFS('JHB Count'!$E:$E,'JHB Count'!$F:$F,$A22)-SUMIFS('Weekly Sales'!$F:$F,'Weekly Sales'!$H:$H,$A22,'Weekly Sales'!$I:$I,"JHB")+SUMIFS(Transfers!$F:$F,Transfers!$C:$C,$A22,Transfers!$J:$J,"JHB")-SUMIFS(Transfers!$F:$F,Transfers!$C:$C,$A22,Transfers!$I:$I,"JHB",Transfers!$H:$H,"&lt;&gt;Y")+SUMIFS('Stock Received'!$I:$I,'Stock Received'!$E:$E,$A22,'Stock Received'!$L:$L,"JHB")</f>
        <v>0</v>
      </c>
      <c r="G22" s="19" t="n">
        <f aca="false">SUMIFS('DBN Count'!$D:$D,'DBN Count'!$E:$E,$A22)-SUMIFS('Weekly Sales'!$F:$F,'Weekly Sales'!$H:$H,$A22,'Weekly Sales'!$I:$I,"DBN")+SUMIFS(Transfers!$F:$F,Transfers!$C:$C,$A22,Transfers!$J:$J,"DBN")-SUMIFS(Transfers!$F:$F,Transfers!$C:$C,$A22,Transfers!$I:$I,"DBN",Transfers!$H:$H,"&lt;&gt;Y")+SUMIFS('Stock Received'!$I:$I,'Stock Received'!$E:$E,$A22,'Stock Received'!$L:$L,"DBN")</f>
        <v>51.46</v>
      </c>
      <c r="H22" s="29" t="n">
        <f aca="false">E22+F22+G22</f>
        <v>261.03</v>
      </c>
      <c r="I22" s="19" t="n">
        <f aca="false">SUMIFS('Weekly Sales'!$F:$F,'Weekly Sales'!$H:$H,$A22)</f>
        <v>9.43</v>
      </c>
      <c r="J22" s="19" t="n">
        <f aca="false">SUMIFS(Orders!$L:$L,Orders!$D:$D,$A22,Orders!$F:$F,"&gt;="&amp;J$4,Orders!$F:$F,"&lt;"&amp;EDATE(J$4,1))</f>
        <v>0</v>
      </c>
      <c r="K22" s="19" t="n">
        <f aca="false">SUMIFS(Orders!$L:$L,Orders!$D:$D,$A22,Orders!$F:$F,"&gt;="&amp;K$4,Orders!$F:$F,"&lt;"&amp;EDATE(K$4,1))</f>
        <v>300</v>
      </c>
      <c r="L22" s="19" t="n">
        <f aca="false">SUMIFS(Orders!$L:$L,Orders!$D:$D,$A22,Orders!$F:$F,"&gt;="&amp;L$4,Orders!$F:$F,"&lt;"&amp;EDATE(L$4,1))</f>
        <v>0</v>
      </c>
      <c r="M22" s="19" t="n">
        <f aca="false">N22-J22-K22-L22</f>
        <v>0</v>
      </c>
      <c r="N22" s="19" t="n">
        <f aca="false">SUMIFS(Orders!$L:$L,Orders!$D:$D,$A22)</f>
        <v>300</v>
      </c>
      <c r="O22" s="19" t="n">
        <f aca="false">H22+N22</f>
        <v>561.03</v>
      </c>
      <c r="P22" s="30" t="n">
        <v>80</v>
      </c>
      <c r="Q22" s="19" t="n">
        <f aca="false">IF(SUMIFS('Sales History'!$E:$E,'Sales History'!$G:$G,$A22)&gt;0,SUMIFS('Sales History'!$E:$E,'Sales History'!$G:$G,$A22)/Settings!$B$4,N(P22))</f>
        <v>80</v>
      </c>
      <c r="R22" s="18" t="str">
        <f aca="false">IF(SUMIFS('Sales History'!$E:$E,'Sales History'!$G:$G,$A22)&gt;0,"6-month history",IF(N(P22)&gt;0,"Current sheet","No sales data"))</f>
        <v>Current sheet</v>
      </c>
      <c r="S22" s="31" t="n">
        <f aca="false">IF(Q22&gt;0,H22/Q22,"")</f>
        <v>3.262875</v>
      </c>
      <c r="T22" s="30" t="n">
        <v>200</v>
      </c>
      <c r="U22" s="19" t="n">
        <f aca="false">IF(T22="","",MAX(0,T22-O22))</f>
        <v>0</v>
      </c>
      <c r="V22" s="32" t="str">
        <f aca="false">IF(D22="End of range","END OF RANGE",IF(T22="","NO BUFFER SET",IF(H22&lt;=0,IF(O22&lt;T22,"OUT - REORDER","OUT - ON ORDER"),IF(O22&lt;T22,"REORDER",IF(H22&lt;T22,"LOW - ON ORDER",IF(AND(S22&lt;&gt;"",N(S22)&gt;Settings!$B$5),"SLOW MOVER","OK"))))))</f>
        <v>OK</v>
      </c>
      <c r="W22" s="18"/>
      <c r="X22" s="33" t="n">
        <f aca="false">IF(OR(D22="End of range",U22=""),0,IF(N(U22)&gt;0,U22+ROW()/1000000,0))</f>
        <v>0</v>
      </c>
    </row>
    <row r="23" customFormat="false" ht="14.25" hidden="false" customHeight="true" outlineLevel="0" collapsed="false">
      <c r="A23" s="18" t="s">
        <v>115</v>
      </c>
      <c r="B23" s="18" t="s">
        <v>116</v>
      </c>
      <c r="C23" s="18" t="s">
        <v>79</v>
      </c>
      <c r="D23" s="18" t="s">
        <v>80</v>
      </c>
      <c r="E23" s="19" t="n">
        <f aca="false">SUMIFS('CPT Count'!$D:$D,'CPT Count'!$A:$A,$A23)-SUMIFS('Weekly Sales'!$F:$F,'Weekly Sales'!$H:$H,$A23,'Weekly Sales'!$I:$I,"CPT")+SUMIFS(Transfers!$F:$F,Transfers!$C:$C,$A23,Transfers!$J:$J,"CPT")-SUMIFS(Transfers!$F:$F,Transfers!$C:$C,$A23,Transfers!$I:$I,"CPT",Transfers!$H:$H,"&lt;&gt;Y")+SUMIFS('Stock Received'!$I:$I,'Stock Received'!$E:$E,$A23,'Stock Received'!$L:$L,"CPT")</f>
        <v>318.72</v>
      </c>
      <c r="F23" s="19" t="n">
        <f aca="false">SUMIFS('JHB Count'!$E:$E,'JHB Count'!$F:$F,$A23)-SUMIFS('Weekly Sales'!$F:$F,'Weekly Sales'!$H:$H,$A23,'Weekly Sales'!$I:$I,"JHB")+SUMIFS(Transfers!$F:$F,Transfers!$C:$C,$A23,Transfers!$J:$J,"JHB")-SUMIFS(Transfers!$F:$F,Transfers!$C:$C,$A23,Transfers!$I:$I,"JHB",Transfers!$H:$H,"&lt;&gt;Y")+SUMIFS('Stock Received'!$I:$I,'Stock Received'!$E:$E,$A23,'Stock Received'!$L:$L,"JHB")</f>
        <v>67.79</v>
      </c>
      <c r="G23" s="19" t="n">
        <f aca="false">SUMIFS('DBN Count'!$D:$D,'DBN Count'!$E:$E,$A23)-SUMIFS('Weekly Sales'!$F:$F,'Weekly Sales'!$H:$H,$A23,'Weekly Sales'!$I:$I,"DBN")+SUMIFS(Transfers!$F:$F,Transfers!$C:$C,$A23,Transfers!$J:$J,"DBN")-SUMIFS(Transfers!$F:$F,Transfers!$C:$C,$A23,Transfers!$I:$I,"DBN",Transfers!$H:$H,"&lt;&gt;Y")+SUMIFS('Stock Received'!$I:$I,'Stock Received'!$E:$E,$A23,'Stock Received'!$L:$L,"DBN")</f>
        <v>32.74</v>
      </c>
      <c r="H23" s="29" t="n">
        <f aca="false">E23+F23+G23</f>
        <v>419.25</v>
      </c>
      <c r="I23" s="19" t="n">
        <f aca="false">SUMIFS('Weekly Sales'!$F:$F,'Weekly Sales'!$H:$H,$A23)</f>
        <v>4.21</v>
      </c>
      <c r="J23" s="19" t="n">
        <f aca="false">SUMIFS(Orders!$L:$L,Orders!$D:$D,$A23,Orders!$F:$F,"&gt;="&amp;J$4,Orders!$F:$F,"&lt;"&amp;EDATE(J$4,1))</f>
        <v>0</v>
      </c>
      <c r="K23" s="19" t="n">
        <f aca="false">SUMIFS(Orders!$L:$L,Orders!$D:$D,$A23,Orders!$F:$F,"&gt;="&amp;K$4,Orders!$F:$F,"&lt;"&amp;EDATE(K$4,1))</f>
        <v>0</v>
      </c>
      <c r="L23" s="19" t="n">
        <f aca="false">SUMIFS(Orders!$L:$L,Orders!$D:$D,$A23,Orders!$F:$F,"&gt;="&amp;L$4,Orders!$F:$F,"&lt;"&amp;EDATE(L$4,1))</f>
        <v>0</v>
      </c>
      <c r="M23" s="19" t="n">
        <f aca="false">N23-J23-K23-L23</f>
        <v>0</v>
      </c>
      <c r="N23" s="19" t="n">
        <f aca="false">SUMIFS(Orders!$L:$L,Orders!$D:$D,$A23)</f>
        <v>0</v>
      </c>
      <c r="O23" s="19" t="n">
        <f aca="false">H23+N23</f>
        <v>419.25</v>
      </c>
      <c r="P23" s="30" t="n">
        <v>45</v>
      </c>
      <c r="Q23" s="19" t="n">
        <f aca="false">IF(SUMIFS('Sales History'!$E:$E,'Sales History'!$G:$G,$A23)&gt;0,SUMIFS('Sales History'!$E:$E,'Sales History'!$G:$G,$A23)/Settings!$B$4,N(P23))</f>
        <v>45</v>
      </c>
      <c r="R23" s="18" t="str">
        <f aca="false">IF(SUMIFS('Sales History'!$E:$E,'Sales History'!$G:$G,$A23)&gt;0,"6-month history",IF(N(P23)&gt;0,"Current sheet","No sales data"))</f>
        <v>Current sheet</v>
      </c>
      <c r="S23" s="31" t="n">
        <f aca="false">IF(Q23&gt;0,H23/Q23,"")</f>
        <v>9.31666666666667</v>
      </c>
      <c r="T23" s="30" t="n">
        <v>200</v>
      </c>
      <c r="U23" s="19" t="n">
        <f aca="false">IF(T23="","",MAX(0,T23-O23))</f>
        <v>0</v>
      </c>
      <c r="V23" s="32" t="str">
        <f aca="false">IF(D23="End of range","END OF RANGE",IF(T23="","NO BUFFER SET",IF(H23&lt;=0,IF(O23&lt;T23,"OUT - REORDER","OUT - ON ORDER"),IF(O23&lt;T23,"REORDER",IF(H23&lt;T23,"LOW - ON ORDER",IF(AND(S23&lt;&gt;"",N(S23)&gt;Settings!$B$5),"SLOW MOVER","OK"))))))</f>
        <v>OK</v>
      </c>
      <c r="W23" s="18"/>
      <c r="X23" s="33" t="n">
        <f aca="false">IF(OR(D23="End of range",U23=""),0,IF(N(U23)&gt;0,U23+ROW()/1000000,0))</f>
        <v>0</v>
      </c>
    </row>
    <row r="24" customFormat="false" ht="14.25" hidden="false" customHeight="true" outlineLevel="0" collapsed="false">
      <c r="A24" s="18" t="s">
        <v>117</v>
      </c>
      <c r="B24" s="18" t="s">
        <v>118</v>
      </c>
      <c r="C24" s="18" t="s">
        <v>79</v>
      </c>
      <c r="D24" s="18" t="s">
        <v>80</v>
      </c>
      <c r="E24" s="19" t="n">
        <f aca="false">SUMIFS('CPT Count'!$D:$D,'CPT Count'!$A:$A,$A24)-SUMIFS('Weekly Sales'!$F:$F,'Weekly Sales'!$H:$H,$A24,'Weekly Sales'!$I:$I,"CPT")+SUMIFS(Transfers!$F:$F,Transfers!$C:$C,$A24,Transfers!$J:$J,"CPT")-SUMIFS(Transfers!$F:$F,Transfers!$C:$C,$A24,Transfers!$I:$I,"CPT",Transfers!$H:$H,"&lt;&gt;Y")+SUMIFS('Stock Received'!$I:$I,'Stock Received'!$E:$E,$A24,'Stock Received'!$L:$L,"CPT")</f>
        <v>260</v>
      </c>
      <c r="F24" s="19" t="n">
        <f aca="false">SUMIFS('JHB Count'!$E:$E,'JHB Count'!$F:$F,$A24)-SUMIFS('Weekly Sales'!$F:$F,'Weekly Sales'!$H:$H,$A24,'Weekly Sales'!$I:$I,"JHB")+SUMIFS(Transfers!$F:$F,Transfers!$C:$C,$A24,Transfers!$J:$J,"JHB")-SUMIFS(Transfers!$F:$F,Transfers!$C:$C,$A24,Transfers!$I:$I,"JHB",Transfers!$H:$H,"&lt;&gt;Y")+SUMIFS('Stock Received'!$I:$I,'Stock Received'!$E:$E,$A24,'Stock Received'!$L:$L,"JHB")</f>
        <v>-0.00999999999999801</v>
      </c>
      <c r="G24" s="19" t="n">
        <f aca="false">SUMIFS('DBN Count'!$D:$D,'DBN Count'!$E:$E,$A24)-SUMIFS('Weekly Sales'!$F:$F,'Weekly Sales'!$H:$H,$A24,'Weekly Sales'!$I:$I,"DBN")+SUMIFS(Transfers!$F:$F,Transfers!$C:$C,$A24,Transfers!$J:$J,"DBN")-SUMIFS(Transfers!$F:$F,Transfers!$C:$C,$A24,Transfers!$I:$I,"DBN",Transfers!$H:$H,"&lt;&gt;Y")+SUMIFS('Stock Received'!$I:$I,'Stock Received'!$E:$E,$A24,'Stock Received'!$L:$L,"DBN")</f>
        <v>41.16</v>
      </c>
      <c r="H24" s="29" t="n">
        <f aca="false">E24+F24+G24</f>
        <v>301.15</v>
      </c>
      <c r="I24" s="19" t="n">
        <f aca="false">SUMIFS('Weekly Sales'!$F:$F,'Weekly Sales'!$H:$H,$A24)</f>
        <v>33.01</v>
      </c>
      <c r="J24" s="19" t="n">
        <f aca="false">SUMIFS(Orders!$L:$L,Orders!$D:$D,$A24,Orders!$F:$F,"&gt;="&amp;J$4,Orders!$F:$F,"&lt;"&amp;EDATE(J$4,1))</f>
        <v>0</v>
      </c>
      <c r="K24" s="19" t="n">
        <f aca="false">SUMIFS(Orders!$L:$L,Orders!$D:$D,$A24,Orders!$F:$F,"&gt;="&amp;K$4,Orders!$F:$F,"&lt;"&amp;EDATE(K$4,1))</f>
        <v>0</v>
      </c>
      <c r="L24" s="19" t="n">
        <f aca="false">SUMIFS(Orders!$L:$L,Orders!$D:$D,$A24,Orders!$F:$F,"&gt;="&amp;L$4,Orders!$F:$F,"&lt;"&amp;EDATE(L$4,1))</f>
        <v>0</v>
      </c>
      <c r="M24" s="19" t="n">
        <f aca="false">N24-J24-K24-L24</f>
        <v>0</v>
      </c>
      <c r="N24" s="19" t="n">
        <f aca="false">SUMIFS(Orders!$L:$L,Orders!$D:$D,$A24)</f>
        <v>0</v>
      </c>
      <c r="O24" s="19" t="n">
        <f aca="false">H24+N24</f>
        <v>301.15</v>
      </c>
      <c r="P24" s="30" t="n">
        <v>55</v>
      </c>
      <c r="Q24" s="19" t="n">
        <f aca="false">IF(SUMIFS('Sales History'!$E:$E,'Sales History'!$G:$G,$A24)&gt;0,SUMIFS('Sales History'!$E:$E,'Sales History'!$G:$G,$A24)/Settings!$B$4,N(P24))</f>
        <v>55</v>
      </c>
      <c r="R24" s="18" t="str">
        <f aca="false">IF(SUMIFS('Sales History'!$E:$E,'Sales History'!$G:$G,$A24)&gt;0,"6-month history",IF(N(P24)&gt;0,"Current sheet","No sales data"))</f>
        <v>Current sheet</v>
      </c>
      <c r="S24" s="31" t="n">
        <f aca="false">IF(Q24&gt;0,H24/Q24,"")</f>
        <v>5.47545454545455</v>
      </c>
      <c r="T24" s="30" t="n">
        <v>200</v>
      </c>
      <c r="U24" s="19" t="n">
        <f aca="false">IF(T24="","",MAX(0,T24-O24))</f>
        <v>0</v>
      </c>
      <c r="V24" s="32" t="str">
        <f aca="false">IF(D24="End of range","END OF RANGE",IF(T24="","NO BUFFER SET",IF(H24&lt;=0,IF(O24&lt;T24,"OUT - REORDER","OUT - ON ORDER"),IF(O24&lt;T24,"REORDER",IF(H24&lt;T24,"LOW - ON ORDER",IF(AND(S24&lt;&gt;"",N(S24)&gt;Settings!$B$5),"SLOW MOVER","OK"))))))</f>
        <v>OK</v>
      </c>
      <c r="W24" s="18"/>
      <c r="X24" s="33" t="n">
        <f aca="false">IF(OR(D24="End of range",U24=""),0,IF(N(U24)&gt;0,U24+ROW()/1000000,0))</f>
        <v>0</v>
      </c>
    </row>
    <row r="25" customFormat="false" ht="14.25" hidden="false" customHeight="true" outlineLevel="0" collapsed="false">
      <c r="A25" s="18" t="s">
        <v>119</v>
      </c>
      <c r="B25" s="18" t="s">
        <v>120</v>
      </c>
      <c r="C25" s="18" t="s">
        <v>79</v>
      </c>
      <c r="D25" s="18" t="s">
        <v>80</v>
      </c>
      <c r="E25" s="19" t="n">
        <f aca="false">SUMIFS('CPT Count'!$D:$D,'CPT Count'!$A:$A,$A25)-SUMIFS('Weekly Sales'!$F:$F,'Weekly Sales'!$H:$H,$A25,'Weekly Sales'!$I:$I,"CPT")+SUMIFS(Transfers!$F:$F,Transfers!$C:$C,$A25,Transfers!$J:$J,"CPT")-SUMIFS(Transfers!$F:$F,Transfers!$C:$C,$A25,Transfers!$I:$I,"CPT",Transfers!$H:$H,"&lt;&gt;Y")+SUMIFS('Stock Received'!$I:$I,'Stock Received'!$E:$E,$A25,'Stock Received'!$L:$L,"CPT")</f>
        <v>420.55</v>
      </c>
      <c r="F25" s="19" t="n">
        <f aca="false">SUMIFS('JHB Count'!$E:$E,'JHB Count'!$F:$F,$A25)-SUMIFS('Weekly Sales'!$F:$F,'Weekly Sales'!$H:$H,$A25,'Weekly Sales'!$I:$I,"JHB")+SUMIFS(Transfers!$F:$F,Transfers!$C:$C,$A25,Transfers!$J:$J,"JHB")-SUMIFS(Transfers!$F:$F,Transfers!$C:$C,$A25,Transfers!$I:$I,"JHB",Transfers!$H:$H,"&lt;&gt;Y")+SUMIFS('Stock Received'!$I:$I,'Stock Received'!$E:$E,$A25,'Stock Received'!$L:$L,"JHB")</f>
        <v>0</v>
      </c>
      <c r="G25" s="19" t="n">
        <f aca="false">SUMIFS('DBN Count'!$D:$D,'DBN Count'!$E:$E,$A25)-SUMIFS('Weekly Sales'!$F:$F,'Weekly Sales'!$H:$H,$A25,'Weekly Sales'!$I:$I,"DBN")+SUMIFS(Transfers!$F:$F,Transfers!$C:$C,$A25,Transfers!$J:$J,"DBN")-SUMIFS(Transfers!$F:$F,Transfers!$C:$C,$A25,Transfers!$I:$I,"DBN",Transfers!$H:$H,"&lt;&gt;Y")+SUMIFS('Stock Received'!$I:$I,'Stock Received'!$E:$E,$A25,'Stock Received'!$L:$L,"DBN")</f>
        <v>30.96</v>
      </c>
      <c r="H25" s="29" t="n">
        <f aca="false">E25+F25+G25</f>
        <v>451.51</v>
      </c>
      <c r="I25" s="19" t="n">
        <f aca="false">SUMIFS('Weekly Sales'!$F:$F,'Weekly Sales'!$H:$H,$A25)</f>
        <v>59.45</v>
      </c>
      <c r="J25" s="19" t="n">
        <f aca="false">SUMIFS(Orders!$L:$L,Orders!$D:$D,$A25,Orders!$F:$F,"&gt;="&amp;J$4,Orders!$F:$F,"&lt;"&amp;EDATE(J$4,1))</f>
        <v>0</v>
      </c>
      <c r="K25" s="19" t="n">
        <f aca="false">SUMIFS(Orders!$L:$L,Orders!$D:$D,$A25,Orders!$F:$F,"&gt;="&amp;K$4,Orders!$F:$F,"&lt;"&amp;EDATE(K$4,1))</f>
        <v>0</v>
      </c>
      <c r="L25" s="19" t="n">
        <f aca="false">SUMIFS(Orders!$L:$L,Orders!$D:$D,$A25,Orders!$F:$F,"&gt;="&amp;L$4,Orders!$F:$F,"&lt;"&amp;EDATE(L$4,1))</f>
        <v>0</v>
      </c>
      <c r="M25" s="19" t="n">
        <f aca="false">N25-J25-K25-L25</f>
        <v>0</v>
      </c>
      <c r="N25" s="19" t="n">
        <f aca="false">SUMIFS(Orders!$L:$L,Orders!$D:$D,$A25)</f>
        <v>0</v>
      </c>
      <c r="O25" s="19" t="n">
        <f aca="false">H25+N25</f>
        <v>451.51</v>
      </c>
      <c r="P25" s="30" t="n">
        <v>25</v>
      </c>
      <c r="Q25" s="19" t="n">
        <f aca="false">IF(SUMIFS('Sales History'!$E:$E,'Sales History'!$G:$G,$A25)&gt;0,SUMIFS('Sales History'!$E:$E,'Sales History'!$G:$G,$A25)/Settings!$B$4,N(P25))</f>
        <v>25</v>
      </c>
      <c r="R25" s="18" t="str">
        <f aca="false">IF(SUMIFS('Sales History'!$E:$E,'Sales History'!$G:$G,$A25)&gt;0,"6-month history",IF(N(P25)&gt;0,"Current sheet","No sales data"))</f>
        <v>Current sheet</v>
      </c>
      <c r="S25" s="31" t="n">
        <f aca="false">IF(Q25&gt;0,H25/Q25,"")</f>
        <v>18.0604</v>
      </c>
      <c r="T25" s="30" t="n">
        <v>200</v>
      </c>
      <c r="U25" s="19" t="n">
        <f aca="false">IF(T25="","",MAX(0,T25-O25))</f>
        <v>0</v>
      </c>
      <c r="V25" s="32" t="str">
        <f aca="false">IF(D25="End of range","END OF RANGE",IF(T25="","NO BUFFER SET",IF(H25&lt;=0,IF(O25&lt;T25,"OUT - REORDER","OUT - ON ORDER"),IF(O25&lt;T25,"REORDER",IF(H25&lt;T25,"LOW - ON ORDER",IF(AND(S25&lt;&gt;"",N(S25)&gt;Settings!$B$5),"SLOW MOVER","OK"))))))</f>
        <v>SLOW MOVER</v>
      </c>
      <c r="W25" s="18"/>
      <c r="X25" s="33" t="n">
        <f aca="false">IF(OR(D25="End of range",U25=""),0,IF(N(U25)&gt;0,U25+ROW()/1000000,0))</f>
        <v>0</v>
      </c>
    </row>
    <row r="26" customFormat="false" ht="14.25" hidden="false" customHeight="true" outlineLevel="0" collapsed="false">
      <c r="A26" s="18" t="s">
        <v>121</v>
      </c>
      <c r="B26" s="18" t="s">
        <v>122</v>
      </c>
      <c r="C26" s="18" t="s">
        <v>79</v>
      </c>
      <c r="D26" s="18" t="s">
        <v>80</v>
      </c>
      <c r="E26" s="19" t="n">
        <f aca="false">SUMIFS('CPT Count'!$D:$D,'CPT Count'!$A:$A,$A26)-SUMIFS('Weekly Sales'!$F:$F,'Weekly Sales'!$H:$H,$A26,'Weekly Sales'!$I:$I,"CPT")+SUMIFS(Transfers!$F:$F,Transfers!$C:$C,$A26,Transfers!$J:$J,"CPT")-SUMIFS(Transfers!$F:$F,Transfers!$C:$C,$A26,Transfers!$I:$I,"CPT",Transfers!$H:$H,"&lt;&gt;Y")+SUMIFS('Stock Received'!$I:$I,'Stock Received'!$E:$E,$A26,'Stock Received'!$L:$L,"CPT")</f>
        <v>380</v>
      </c>
      <c r="F26" s="19" t="n">
        <f aca="false">SUMIFS('JHB Count'!$E:$E,'JHB Count'!$F:$F,$A26)-SUMIFS('Weekly Sales'!$F:$F,'Weekly Sales'!$H:$H,$A26,'Weekly Sales'!$I:$I,"JHB")+SUMIFS(Transfers!$F:$F,Transfers!$C:$C,$A26,Transfers!$J:$J,"JHB")-SUMIFS(Transfers!$F:$F,Transfers!$C:$C,$A26,Transfers!$I:$I,"JHB",Transfers!$H:$H,"&lt;&gt;Y")+SUMIFS('Stock Received'!$I:$I,'Stock Received'!$E:$E,$A26,'Stock Received'!$L:$L,"JHB")</f>
        <v>0</v>
      </c>
      <c r="G26" s="19" t="n">
        <f aca="false">SUMIFS('DBN Count'!$D:$D,'DBN Count'!$E:$E,$A26)-SUMIFS('Weekly Sales'!$F:$F,'Weekly Sales'!$H:$H,$A26,'Weekly Sales'!$I:$I,"DBN")+SUMIFS(Transfers!$F:$F,Transfers!$C:$C,$A26,Transfers!$J:$J,"DBN")-SUMIFS(Transfers!$F:$F,Transfers!$C:$C,$A26,Transfers!$I:$I,"DBN",Transfers!$H:$H,"&lt;&gt;Y")+SUMIFS('Stock Received'!$I:$I,'Stock Received'!$E:$E,$A26,'Stock Received'!$L:$L,"DBN")</f>
        <v>53.68</v>
      </c>
      <c r="H26" s="29" t="n">
        <f aca="false">E26+F26+G26</f>
        <v>433.68</v>
      </c>
      <c r="I26" s="19" t="n">
        <f aca="false">SUMIFS('Weekly Sales'!$F:$F,'Weekly Sales'!$H:$H,$A26)</f>
        <v>0</v>
      </c>
      <c r="J26" s="19" t="n">
        <f aca="false">SUMIFS(Orders!$L:$L,Orders!$D:$D,$A26,Orders!$F:$F,"&gt;="&amp;J$4,Orders!$F:$F,"&lt;"&amp;EDATE(J$4,1))</f>
        <v>0</v>
      </c>
      <c r="K26" s="19" t="n">
        <f aca="false">SUMIFS(Orders!$L:$L,Orders!$D:$D,$A26,Orders!$F:$F,"&gt;="&amp;K$4,Orders!$F:$F,"&lt;"&amp;EDATE(K$4,1))</f>
        <v>0</v>
      </c>
      <c r="L26" s="19" t="n">
        <f aca="false">SUMIFS(Orders!$L:$L,Orders!$D:$D,$A26,Orders!$F:$F,"&gt;="&amp;L$4,Orders!$F:$F,"&lt;"&amp;EDATE(L$4,1))</f>
        <v>0</v>
      </c>
      <c r="M26" s="19" t="n">
        <f aca="false">N26-J26-K26-L26</f>
        <v>0</v>
      </c>
      <c r="N26" s="19" t="n">
        <f aca="false">SUMIFS(Orders!$L:$L,Orders!$D:$D,$A26)</f>
        <v>0</v>
      </c>
      <c r="O26" s="19" t="n">
        <f aca="false">H26+N26</f>
        <v>433.68</v>
      </c>
      <c r="P26" s="30" t="n">
        <v>30</v>
      </c>
      <c r="Q26" s="19" t="n">
        <f aca="false">IF(SUMIFS('Sales History'!$E:$E,'Sales History'!$G:$G,$A26)&gt;0,SUMIFS('Sales History'!$E:$E,'Sales History'!$G:$G,$A26)/Settings!$B$4,N(P26))</f>
        <v>30</v>
      </c>
      <c r="R26" s="18" t="str">
        <f aca="false">IF(SUMIFS('Sales History'!$E:$E,'Sales History'!$G:$G,$A26)&gt;0,"6-month history",IF(N(P26)&gt;0,"Current sheet","No sales data"))</f>
        <v>Current sheet</v>
      </c>
      <c r="S26" s="31" t="n">
        <f aca="false">IF(Q26&gt;0,H26/Q26,"")</f>
        <v>14.456</v>
      </c>
      <c r="T26" s="30" t="n">
        <v>200</v>
      </c>
      <c r="U26" s="19" t="n">
        <f aca="false">IF(T26="","",MAX(0,T26-O26))</f>
        <v>0</v>
      </c>
      <c r="V26" s="32" t="str">
        <f aca="false">IF(D26="End of range","END OF RANGE",IF(T26="","NO BUFFER SET",IF(H26&lt;=0,IF(O26&lt;T26,"OUT - REORDER","OUT - ON ORDER"),IF(O26&lt;T26,"REORDER",IF(H26&lt;T26,"LOW - ON ORDER",IF(AND(S26&lt;&gt;"",N(S26)&gt;Settings!$B$5),"SLOW MOVER","OK"))))))</f>
        <v>SLOW MOVER</v>
      </c>
      <c r="W26" s="18"/>
      <c r="X26" s="33" t="n">
        <f aca="false">IF(OR(D26="End of range",U26=""),0,IF(N(U26)&gt;0,U26+ROW()/1000000,0))</f>
        <v>0</v>
      </c>
    </row>
    <row r="27" customFormat="false" ht="14.25" hidden="false" customHeight="true" outlineLevel="0" collapsed="false">
      <c r="A27" s="18" t="s">
        <v>123</v>
      </c>
      <c r="B27" s="18" t="s">
        <v>124</v>
      </c>
      <c r="C27" s="18" t="s">
        <v>79</v>
      </c>
      <c r="D27" s="18" t="s">
        <v>80</v>
      </c>
      <c r="E27" s="19" t="n">
        <f aca="false">SUMIFS('CPT Count'!$D:$D,'CPT Count'!$A:$A,$A27)-SUMIFS('Weekly Sales'!$F:$F,'Weekly Sales'!$H:$H,$A27,'Weekly Sales'!$I:$I,"CPT")+SUMIFS(Transfers!$F:$F,Transfers!$C:$C,$A27,Transfers!$J:$J,"CPT")-SUMIFS(Transfers!$F:$F,Transfers!$C:$C,$A27,Transfers!$I:$I,"CPT",Transfers!$H:$H,"&lt;&gt;Y")+SUMIFS('Stock Received'!$I:$I,'Stock Received'!$E:$E,$A27,'Stock Received'!$L:$L,"CPT")</f>
        <v>172</v>
      </c>
      <c r="F27" s="19" t="n">
        <f aca="false">SUMIFS('JHB Count'!$E:$E,'JHB Count'!$F:$F,$A27)-SUMIFS('Weekly Sales'!$F:$F,'Weekly Sales'!$H:$H,$A27,'Weekly Sales'!$I:$I,"JHB")+SUMIFS(Transfers!$F:$F,Transfers!$C:$C,$A27,Transfers!$J:$J,"JHB")-SUMIFS(Transfers!$F:$F,Transfers!$C:$C,$A27,Transfers!$I:$I,"JHB",Transfers!$H:$H,"&lt;&gt;Y")+SUMIFS('Stock Received'!$I:$I,'Stock Received'!$E:$E,$A27,'Stock Received'!$L:$L,"JHB")</f>
        <v>0</v>
      </c>
      <c r="G27" s="19" t="n">
        <f aca="false">SUMIFS('DBN Count'!$D:$D,'DBN Count'!$E:$E,$A27)-SUMIFS('Weekly Sales'!$F:$F,'Weekly Sales'!$H:$H,$A27,'Weekly Sales'!$I:$I,"DBN")+SUMIFS(Transfers!$F:$F,Transfers!$C:$C,$A27,Transfers!$J:$J,"DBN")-SUMIFS(Transfers!$F:$F,Transfers!$C:$C,$A27,Transfers!$I:$I,"DBN",Transfers!$H:$H,"&lt;&gt;Y")+SUMIFS('Stock Received'!$I:$I,'Stock Received'!$E:$E,$A27,'Stock Received'!$L:$L,"DBN")</f>
        <v>42.63</v>
      </c>
      <c r="H27" s="29" t="n">
        <f aca="false">E27+F27+G27</f>
        <v>214.63</v>
      </c>
      <c r="I27" s="19" t="n">
        <f aca="false">SUMIFS('Weekly Sales'!$F:$F,'Weekly Sales'!$H:$H,$A27)</f>
        <v>0</v>
      </c>
      <c r="J27" s="19" t="n">
        <f aca="false">SUMIFS(Orders!$L:$L,Orders!$D:$D,$A27,Orders!$F:$F,"&gt;="&amp;J$4,Orders!$F:$F,"&lt;"&amp;EDATE(J$4,1))</f>
        <v>0</v>
      </c>
      <c r="K27" s="19" t="n">
        <f aca="false">SUMIFS(Orders!$L:$L,Orders!$D:$D,$A27,Orders!$F:$F,"&gt;="&amp;K$4,Orders!$F:$F,"&lt;"&amp;EDATE(K$4,1))</f>
        <v>0</v>
      </c>
      <c r="L27" s="19" t="n">
        <f aca="false">SUMIFS(Orders!$L:$L,Orders!$D:$D,$A27,Orders!$F:$F,"&gt;="&amp;L$4,Orders!$F:$F,"&lt;"&amp;EDATE(L$4,1))</f>
        <v>200</v>
      </c>
      <c r="M27" s="19" t="n">
        <f aca="false">N27-J27-K27-L27</f>
        <v>0</v>
      </c>
      <c r="N27" s="19" t="n">
        <f aca="false">SUMIFS(Orders!$L:$L,Orders!$D:$D,$A27)</f>
        <v>200</v>
      </c>
      <c r="O27" s="19" t="n">
        <f aca="false">H27+N27</f>
        <v>414.63</v>
      </c>
      <c r="P27" s="30" t="n">
        <v>70</v>
      </c>
      <c r="Q27" s="19" t="n">
        <f aca="false">IF(SUMIFS('Sales History'!$E:$E,'Sales History'!$G:$G,$A27)&gt;0,SUMIFS('Sales History'!$E:$E,'Sales History'!$G:$G,$A27)/Settings!$B$4,N(P27))</f>
        <v>70</v>
      </c>
      <c r="R27" s="18" t="str">
        <f aca="false">IF(SUMIFS('Sales History'!$E:$E,'Sales History'!$G:$G,$A27)&gt;0,"6-month history",IF(N(P27)&gt;0,"Current sheet","No sales data"))</f>
        <v>Current sheet</v>
      </c>
      <c r="S27" s="31" t="n">
        <f aca="false">IF(Q27&gt;0,H27/Q27,"")</f>
        <v>3.06614285714286</v>
      </c>
      <c r="T27" s="30" t="n">
        <v>200</v>
      </c>
      <c r="U27" s="19" t="n">
        <f aca="false">IF(T27="","",MAX(0,T27-O27))</f>
        <v>0</v>
      </c>
      <c r="V27" s="32" t="str">
        <f aca="false">IF(D27="End of range","END OF RANGE",IF(T27="","NO BUFFER SET",IF(H27&lt;=0,IF(O27&lt;T27,"OUT - REORDER","OUT - ON ORDER"),IF(O27&lt;T27,"REORDER",IF(H27&lt;T27,"LOW - ON ORDER",IF(AND(S27&lt;&gt;"",N(S27)&gt;Settings!$B$5),"SLOW MOVER","OK"))))))</f>
        <v>OK</v>
      </c>
      <c r="W27" s="18"/>
      <c r="X27" s="33" t="n">
        <f aca="false">IF(OR(D27="End of range",U27=""),0,IF(N(U27)&gt;0,U27+ROW()/1000000,0))</f>
        <v>0</v>
      </c>
    </row>
    <row r="28" customFormat="false" ht="14.25" hidden="false" customHeight="true" outlineLevel="0" collapsed="false">
      <c r="A28" s="18" t="s">
        <v>125</v>
      </c>
      <c r="B28" s="18" t="s">
        <v>126</v>
      </c>
      <c r="C28" s="18" t="s">
        <v>79</v>
      </c>
      <c r="D28" s="18" t="s">
        <v>80</v>
      </c>
      <c r="E28" s="19" t="n">
        <f aca="false">SUMIFS('CPT Count'!$D:$D,'CPT Count'!$A:$A,$A28)-SUMIFS('Weekly Sales'!$F:$F,'Weekly Sales'!$H:$H,$A28,'Weekly Sales'!$I:$I,"CPT")+SUMIFS(Transfers!$F:$F,Transfers!$C:$C,$A28,Transfers!$J:$J,"CPT")-SUMIFS(Transfers!$F:$F,Transfers!$C:$C,$A28,Transfers!$I:$I,"CPT",Transfers!$H:$H,"&lt;&gt;Y")+SUMIFS('Stock Received'!$I:$I,'Stock Received'!$E:$E,$A28,'Stock Received'!$L:$L,"CPT")</f>
        <v>431.02</v>
      </c>
      <c r="F28" s="19" t="n">
        <f aca="false">SUMIFS('JHB Count'!$E:$E,'JHB Count'!$F:$F,$A28)-SUMIFS('Weekly Sales'!$F:$F,'Weekly Sales'!$H:$H,$A28,'Weekly Sales'!$I:$I,"JHB")+SUMIFS(Transfers!$F:$F,Transfers!$C:$C,$A28,Transfers!$J:$J,"JHB")-SUMIFS(Transfers!$F:$F,Transfers!$C:$C,$A28,Transfers!$I:$I,"JHB",Transfers!$H:$H,"&lt;&gt;Y")+SUMIFS('Stock Received'!$I:$I,'Stock Received'!$E:$E,$A28,'Stock Received'!$L:$L,"JHB")</f>
        <v>0</v>
      </c>
      <c r="G28" s="19" t="n">
        <f aca="false">SUMIFS('DBN Count'!$D:$D,'DBN Count'!$E:$E,$A28)-SUMIFS('Weekly Sales'!$F:$F,'Weekly Sales'!$H:$H,$A28,'Weekly Sales'!$I:$I,"DBN")+SUMIFS(Transfers!$F:$F,Transfers!$C:$C,$A28,Transfers!$J:$J,"DBN")-SUMIFS(Transfers!$F:$F,Transfers!$C:$C,$A28,Transfers!$I:$I,"DBN",Transfers!$H:$H,"&lt;&gt;Y")+SUMIFS('Stock Received'!$I:$I,'Stock Received'!$E:$E,$A28,'Stock Received'!$L:$L,"DBN")</f>
        <v>26.3</v>
      </c>
      <c r="H28" s="29" t="n">
        <f aca="false">E28+F28+G28</f>
        <v>457.32</v>
      </c>
      <c r="I28" s="19" t="n">
        <f aca="false">SUMIFS('Weekly Sales'!$F:$F,'Weekly Sales'!$H:$H,$A28)</f>
        <v>0</v>
      </c>
      <c r="J28" s="19" t="n">
        <f aca="false">SUMIFS(Orders!$L:$L,Orders!$D:$D,$A28,Orders!$F:$F,"&gt;="&amp;J$4,Orders!$F:$F,"&lt;"&amp;EDATE(J$4,1))</f>
        <v>0</v>
      </c>
      <c r="K28" s="19" t="n">
        <f aca="false">SUMIFS(Orders!$L:$L,Orders!$D:$D,$A28,Orders!$F:$F,"&gt;="&amp;K$4,Orders!$F:$F,"&lt;"&amp;EDATE(K$4,1))</f>
        <v>0</v>
      </c>
      <c r="L28" s="19" t="n">
        <f aca="false">SUMIFS(Orders!$L:$L,Orders!$D:$D,$A28,Orders!$F:$F,"&gt;="&amp;L$4,Orders!$F:$F,"&lt;"&amp;EDATE(L$4,1))</f>
        <v>0</v>
      </c>
      <c r="M28" s="19" t="n">
        <f aca="false">N28-J28-K28-L28</f>
        <v>0</v>
      </c>
      <c r="N28" s="19" t="n">
        <f aca="false">SUMIFS(Orders!$L:$L,Orders!$D:$D,$A28)</f>
        <v>0</v>
      </c>
      <c r="O28" s="19" t="n">
        <f aca="false">H28+N28</f>
        <v>457.32</v>
      </c>
      <c r="P28" s="30" t="n">
        <v>60</v>
      </c>
      <c r="Q28" s="19" t="n">
        <f aca="false">IF(SUMIFS('Sales History'!$E:$E,'Sales History'!$G:$G,$A28)&gt;0,SUMIFS('Sales History'!$E:$E,'Sales History'!$G:$G,$A28)/Settings!$B$4,N(P28))</f>
        <v>60</v>
      </c>
      <c r="R28" s="18" t="str">
        <f aca="false">IF(SUMIFS('Sales History'!$E:$E,'Sales History'!$G:$G,$A28)&gt;0,"6-month history",IF(N(P28)&gt;0,"Current sheet","No sales data"))</f>
        <v>Current sheet</v>
      </c>
      <c r="S28" s="31" t="n">
        <f aca="false">IF(Q28&gt;0,H28/Q28,"")</f>
        <v>7.622</v>
      </c>
      <c r="T28" s="30" t="n">
        <v>200</v>
      </c>
      <c r="U28" s="19" t="n">
        <f aca="false">IF(T28="","",MAX(0,T28-O28))</f>
        <v>0</v>
      </c>
      <c r="V28" s="32" t="str">
        <f aca="false">IF(D28="End of range","END OF RANGE",IF(T28="","NO BUFFER SET",IF(H28&lt;=0,IF(O28&lt;T28,"OUT - REORDER","OUT - ON ORDER"),IF(O28&lt;T28,"REORDER",IF(H28&lt;T28,"LOW - ON ORDER",IF(AND(S28&lt;&gt;"",N(S28)&gt;Settings!$B$5),"SLOW MOVER","OK"))))))</f>
        <v>OK</v>
      </c>
      <c r="W28" s="18"/>
      <c r="X28" s="33" t="n">
        <f aca="false">IF(OR(D28="End of range",U28=""),0,IF(N(U28)&gt;0,U28+ROW()/1000000,0))</f>
        <v>0</v>
      </c>
    </row>
    <row r="29" customFormat="false" ht="14.25" hidden="false" customHeight="true" outlineLevel="0" collapsed="false">
      <c r="A29" s="18" t="s">
        <v>127</v>
      </c>
      <c r="B29" s="18" t="s">
        <v>128</v>
      </c>
      <c r="C29" s="18" t="s">
        <v>79</v>
      </c>
      <c r="D29" s="18" t="s">
        <v>80</v>
      </c>
      <c r="E29" s="19" t="n">
        <f aca="false">SUMIFS('CPT Count'!$D:$D,'CPT Count'!$A:$A,$A29)-SUMIFS('Weekly Sales'!$F:$F,'Weekly Sales'!$H:$H,$A29,'Weekly Sales'!$I:$I,"CPT")+SUMIFS(Transfers!$F:$F,Transfers!$C:$C,$A29,Transfers!$J:$J,"CPT")-SUMIFS(Transfers!$F:$F,Transfers!$C:$C,$A29,Transfers!$I:$I,"CPT",Transfers!$H:$H,"&lt;&gt;Y")+SUMIFS('Stock Received'!$I:$I,'Stock Received'!$E:$E,$A29,'Stock Received'!$L:$L,"CPT")</f>
        <v>360</v>
      </c>
      <c r="F29" s="19" t="n">
        <f aca="false">SUMIFS('JHB Count'!$E:$E,'JHB Count'!$F:$F,$A29)-SUMIFS('Weekly Sales'!$F:$F,'Weekly Sales'!$H:$H,$A29,'Weekly Sales'!$I:$I,"JHB")+SUMIFS(Transfers!$F:$F,Transfers!$C:$C,$A29,Transfers!$J:$J,"JHB")-SUMIFS(Transfers!$F:$F,Transfers!$C:$C,$A29,Transfers!$I:$I,"JHB",Transfers!$H:$H,"&lt;&gt;Y")+SUMIFS('Stock Received'!$I:$I,'Stock Received'!$E:$E,$A29,'Stock Received'!$L:$L,"JHB")</f>
        <v>0</v>
      </c>
      <c r="G29" s="19" t="n">
        <f aca="false">SUMIFS('DBN Count'!$D:$D,'DBN Count'!$E:$E,$A29)-SUMIFS('Weekly Sales'!$F:$F,'Weekly Sales'!$H:$H,$A29,'Weekly Sales'!$I:$I,"DBN")+SUMIFS(Transfers!$F:$F,Transfers!$C:$C,$A29,Transfers!$J:$J,"DBN")-SUMIFS(Transfers!$F:$F,Transfers!$C:$C,$A29,Transfers!$I:$I,"DBN",Transfers!$H:$H,"&lt;&gt;Y")+SUMIFS('Stock Received'!$I:$I,'Stock Received'!$E:$E,$A29,'Stock Received'!$L:$L,"DBN")</f>
        <v>38.67</v>
      </c>
      <c r="H29" s="29" t="n">
        <f aca="false">E29+F29+G29</f>
        <v>398.67</v>
      </c>
      <c r="I29" s="19" t="n">
        <f aca="false">SUMIFS('Weekly Sales'!$F:$F,'Weekly Sales'!$H:$H,$A29)</f>
        <v>0</v>
      </c>
      <c r="J29" s="19" t="n">
        <f aca="false">SUMIFS(Orders!$L:$L,Orders!$D:$D,$A29,Orders!$F:$F,"&gt;="&amp;J$4,Orders!$F:$F,"&lt;"&amp;EDATE(J$4,1))</f>
        <v>0</v>
      </c>
      <c r="K29" s="19" t="n">
        <f aca="false">SUMIFS(Orders!$L:$L,Orders!$D:$D,$A29,Orders!$F:$F,"&gt;="&amp;K$4,Orders!$F:$F,"&lt;"&amp;EDATE(K$4,1))</f>
        <v>0</v>
      </c>
      <c r="L29" s="19" t="n">
        <f aca="false">SUMIFS(Orders!$L:$L,Orders!$D:$D,$A29,Orders!$F:$F,"&gt;="&amp;L$4,Orders!$F:$F,"&lt;"&amp;EDATE(L$4,1))</f>
        <v>0</v>
      </c>
      <c r="M29" s="19" t="n">
        <f aca="false">N29-J29-K29-L29</f>
        <v>0</v>
      </c>
      <c r="N29" s="19" t="n">
        <f aca="false">SUMIFS(Orders!$L:$L,Orders!$D:$D,$A29)</f>
        <v>0</v>
      </c>
      <c r="O29" s="19" t="n">
        <f aca="false">H29+N29</f>
        <v>398.67</v>
      </c>
      <c r="P29" s="30" t="n">
        <v>30</v>
      </c>
      <c r="Q29" s="19" t="n">
        <f aca="false">IF(SUMIFS('Sales History'!$E:$E,'Sales History'!$G:$G,$A29)&gt;0,SUMIFS('Sales History'!$E:$E,'Sales History'!$G:$G,$A29)/Settings!$B$4,N(P29))</f>
        <v>30</v>
      </c>
      <c r="R29" s="18" t="str">
        <f aca="false">IF(SUMIFS('Sales History'!$E:$E,'Sales History'!$G:$G,$A29)&gt;0,"6-month history",IF(N(P29)&gt;0,"Current sheet","No sales data"))</f>
        <v>Current sheet</v>
      </c>
      <c r="S29" s="31" t="n">
        <f aca="false">IF(Q29&gt;0,H29/Q29,"")</f>
        <v>13.289</v>
      </c>
      <c r="T29" s="30" t="n">
        <v>200</v>
      </c>
      <c r="U29" s="19" t="n">
        <f aca="false">IF(T29="","",MAX(0,T29-O29))</f>
        <v>0</v>
      </c>
      <c r="V29" s="32" t="str">
        <f aca="false">IF(D29="End of range","END OF RANGE",IF(T29="","NO BUFFER SET",IF(H29&lt;=0,IF(O29&lt;T29,"OUT - REORDER","OUT - ON ORDER"),IF(O29&lt;T29,"REORDER",IF(H29&lt;T29,"LOW - ON ORDER",IF(AND(S29&lt;&gt;"",N(S29)&gt;Settings!$B$5),"SLOW MOVER","OK"))))))</f>
        <v>SLOW MOVER</v>
      </c>
      <c r="W29" s="18"/>
      <c r="X29" s="33" t="n">
        <f aca="false">IF(OR(D29="End of range",U29=""),0,IF(N(U29)&gt;0,U29+ROW()/1000000,0))</f>
        <v>0</v>
      </c>
    </row>
    <row r="30" customFormat="false" ht="14.25" hidden="false" customHeight="true" outlineLevel="0" collapsed="false">
      <c r="A30" s="18" t="s">
        <v>129</v>
      </c>
      <c r="B30" s="18" t="s">
        <v>130</v>
      </c>
      <c r="C30" s="18" t="s">
        <v>79</v>
      </c>
      <c r="D30" s="18" t="s">
        <v>80</v>
      </c>
      <c r="E30" s="19" t="n">
        <f aca="false">SUMIFS('CPT Count'!$D:$D,'CPT Count'!$A:$A,$A30)-SUMIFS('Weekly Sales'!$F:$F,'Weekly Sales'!$H:$H,$A30,'Weekly Sales'!$I:$I,"CPT")+SUMIFS(Transfers!$F:$F,Transfers!$C:$C,$A30,Transfers!$J:$J,"CPT")-SUMIFS(Transfers!$F:$F,Transfers!$C:$C,$A30,Transfers!$I:$I,"CPT",Transfers!$H:$H,"&lt;&gt;Y")+SUMIFS('Stock Received'!$I:$I,'Stock Received'!$E:$E,$A30,'Stock Received'!$L:$L,"CPT")</f>
        <v>1176.04</v>
      </c>
      <c r="F30" s="19" t="n">
        <f aca="false">SUMIFS('JHB Count'!$E:$E,'JHB Count'!$F:$F,$A30)-SUMIFS('Weekly Sales'!$F:$F,'Weekly Sales'!$H:$H,$A30,'Weekly Sales'!$I:$I,"JHB")+SUMIFS(Transfers!$F:$F,Transfers!$C:$C,$A30,Transfers!$J:$J,"JHB")-SUMIFS(Transfers!$F:$F,Transfers!$C:$C,$A30,Transfers!$I:$I,"JHB",Transfers!$H:$H,"&lt;&gt;Y")+SUMIFS('Stock Received'!$I:$I,'Stock Received'!$E:$E,$A30,'Stock Received'!$L:$L,"JHB")</f>
        <v>0</v>
      </c>
      <c r="G30" s="19" t="n">
        <f aca="false">SUMIFS('DBN Count'!$D:$D,'DBN Count'!$E:$E,$A30)-SUMIFS('Weekly Sales'!$F:$F,'Weekly Sales'!$H:$H,$A30,'Weekly Sales'!$I:$I,"DBN")+SUMIFS(Transfers!$F:$F,Transfers!$C:$C,$A30,Transfers!$J:$J,"DBN")-SUMIFS(Transfers!$F:$F,Transfers!$C:$C,$A30,Transfers!$I:$I,"DBN",Transfers!$H:$H,"&lt;&gt;Y")+SUMIFS('Stock Received'!$I:$I,'Stock Received'!$E:$E,$A30,'Stock Received'!$L:$L,"DBN")</f>
        <v>20.19</v>
      </c>
      <c r="H30" s="29" t="n">
        <f aca="false">E30+F30+G30</f>
        <v>1196.23</v>
      </c>
      <c r="I30" s="19" t="n">
        <f aca="false">SUMIFS('Weekly Sales'!$F:$F,'Weekly Sales'!$H:$H,$A30)</f>
        <v>3.96</v>
      </c>
      <c r="J30" s="19" t="n">
        <f aca="false">SUMIFS(Orders!$L:$L,Orders!$D:$D,$A30,Orders!$F:$F,"&gt;="&amp;J$4,Orders!$F:$F,"&lt;"&amp;EDATE(J$4,1))</f>
        <v>0</v>
      </c>
      <c r="K30" s="19" t="n">
        <f aca="false">SUMIFS(Orders!$L:$L,Orders!$D:$D,$A30,Orders!$F:$F,"&gt;="&amp;K$4,Orders!$F:$F,"&lt;"&amp;EDATE(K$4,1))</f>
        <v>0</v>
      </c>
      <c r="L30" s="19" t="n">
        <f aca="false">SUMIFS(Orders!$L:$L,Orders!$D:$D,$A30,Orders!$F:$F,"&gt;="&amp;L$4,Orders!$F:$F,"&lt;"&amp;EDATE(L$4,1))</f>
        <v>0</v>
      </c>
      <c r="M30" s="19" t="n">
        <f aca="false">N30-J30-K30-L30</f>
        <v>0</v>
      </c>
      <c r="N30" s="19" t="n">
        <f aca="false">SUMIFS(Orders!$L:$L,Orders!$D:$D,$A30)</f>
        <v>0</v>
      </c>
      <c r="O30" s="19" t="n">
        <f aca="false">H30+N30</f>
        <v>1196.23</v>
      </c>
      <c r="P30" s="30" t="n">
        <v>120</v>
      </c>
      <c r="Q30" s="19" t="n">
        <f aca="false">IF(SUMIFS('Sales History'!$E:$E,'Sales History'!$G:$G,$A30)&gt;0,SUMIFS('Sales History'!$E:$E,'Sales History'!$G:$G,$A30)/Settings!$B$4,N(P30))</f>
        <v>120</v>
      </c>
      <c r="R30" s="18" t="str">
        <f aca="false">IF(SUMIFS('Sales History'!$E:$E,'Sales History'!$G:$G,$A30)&gt;0,"6-month history",IF(N(P30)&gt;0,"Current sheet","No sales data"))</f>
        <v>Current sheet</v>
      </c>
      <c r="S30" s="31" t="n">
        <f aca="false">IF(Q30&gt;0,H30/Q30,"")</f>
        <v>9.96858333333333</v>
      </c>
      <c r="T30" s="30" t="n">
        <v>300</v>
      </c>
      <c r="U30" s="19" t="n">
        <f aca="false">IF(T30="","",MAX(0,T30-O30))</f>
        <v>0</v>
      </c>
      <c r="V30" s="32" t="str">
        <f aca="false">IF(D30="End of range","END OF RANGE",IF(T30="","NO BUFFER SET",IF(H30&lt;=0,IF(O30&lt;T30,"OUT - REORDER","OUT - ON ORDER"),IF(O30&lt;T30,"REORDER",IF(H30&lt;T30,"LOW - ON ORDER",IF(AND(S30&lt;&gt;"",N(S30)&gt;Settings!$B$5),"SLOW MOVER","OK"))))))</f>
        <v>OK</v>
      </c>
      <c r="W30" s="18"/>
      <c r="X30" s="33" t="n">
        <f aca="false">IF(OR(D30="End of range",U30=""),0,IF(N(U30)&gt;0,U30+ROW()/1000000,0))</f>
        <v>0</v>
      </c>
    </row>
    <row r="31" customFormat="false" ht="14.25" hidden="false" customHeight="true" outlineLevel="0" collapsed="false">
      <c r="A31" s="18" t="s">
        <v>131</v>
      </c>
      <c r="B31" s="18" t="s">
        <v>132</v>
      </c>
      <c r="C31" s="18" t="s">
        <v>79</v>
      </c>
      <c r="D31" s="18" t="s">
        <v>80</v>
      </c>
      <c r="E31" s="19" t="n">
        <f aca="false">SUMIFS('CPT Count'!$D:$D,'CPT Count'!$A:$A,$A31)-SUMIFS('Weekly Sales'!$F:$F,'Weekly Sales'!$H:$H,$A31,'Weekly Sales'!$I:$I,"CPT")+SUMIFS(Transfers!$F:$F,Transfers!$C:$C,$A31,Transfers!$J:$J,"CPT")-SUMIFS(Transfers!$F:$F,Transfers!$C:$C,$A31,Transfers!$I:$I,"CPT",Transfers!$H:$H,"&lt;&gt;Y")+SUMIFS('Stock Received'!$I:$I,'Stock Received'!$E:$E,$A31,'Stock Received'!$L:$L,"CPT")</f>
        <v>356.97</v>
      </c>
      <c r="F31" s="19" t="n">
        <f aca="false">SUMIFS('JHB Count'!$E:$E,'JHB Count'!$F:$F,$A31)-SUMIFS('Weekly Sales'!$F:$F,'Weekly Sales'!$H:$H,$A31,'Weekly Sales'!$I:$I,"JHB")+SUMIFS(Transfers!$F:$F,Transfers!$C:$C,$A31,Transfers!$J:$J,"JHB")-SUMIFS(Transfers!$F:$F,Transfers!$C:$C,$A31,Transfers!$I:$I,"JHB",Transfers!$H:$H,"&lt;&gt;Y")+SUMIFS('Stock Received'!$I:$I,'Stock Received'!$E:$E,$A31,'Stock Received'!$L:$L,"JHB")</f>
        <v>0.0199999999999996</v>
      </c>
      <c r="G31" s="19" t="n">
        <f aca="false">SUMIFS('DBN Count'!$D:$D,'DBN Count'!$E:$E,$A31)-SUMIFS('Weekly Sales'!$F:$F,'Weekly Sales'!$H:$H,$A31,'Weekly Sales'!$I:$I,"DBN")+SUMIFS(Transfers!$F:$F,Transfers!$C:$C,$A31,Transfers!$J:$J,"DBN")-SUMIFS(Transfers!$F:$F,Transfers!$C:$C,$A31,Transfers!$I:$I,"DBN",Transfers!$H:$H,"&lt;&gt;Y")+SUMIFS('Stock Received'!$I:$I,'Stock Received'!$E:$E,$A31,'Stock Received'!$L:$L,"DBN")</f>
        <v>29.66</v>
      </c>
      <c r="H31" s="29" t="n">
        <f aca="false">E31+F31+G31</f>
        <v>386.65</v>
      </c>
      <c r="I31" s="19" t="n">
        <f aca="false">SUMIFS('Weekly Sales'!$F:$F,'Weekly Sales'!$H:$H,$A31)</f>
        <v>26.48</v>
      </c>
      <c r="J31" s="19" t="n">
        <f aca="false">SUMIFS(Orders!$L:$L,Orders!$D:$D,$A31,Orders!$F:$F,"&gt;="&amp;J$4,Orders!$F:$F,"&lt;"&amp;EDATE(J$4,1))</f>
        <v>0</v>
      </c>
      <c r="K31" s="19" t="n">
        <f aca="false">SUMIFS(Orders!$L:$L,Orders!$D:$D,$A31,Orders!$F:$F,"&gt;="&amp;K$4,Orders!$F:$F,"&lt;"&amp;EDATE(K$4,1))</f>
        <v>0</v>
      </c>
      <c r="L31" s="19" t="n">
        <f aca="false">SUMIFS(Orders!$L:$L,Orders!$D:$D,$A31,Orders!$F:$F,"&gt;="&amp;L$4,Orders!$F:$F,"&lt;"&amp;EDATE(L$4,1))</f>
        <v>0</v>
      </c>
      <c r="M31" s="19" t="n">
        <f aca="false">N31-J31-K31-L31</f>
        <v>0</v>
      </c>
      <c r="N31" s="19" t="n">
        <f aca="false">SUMIFS(Orders!$L:$L,Orders!$D:$D,$A31)</f>
        <v>0</v>
      </c>
      <c r="O31" s="19" t="n">
        <f aca="false">H31+N31</f>
        <v>386.65</v>
      </c>
      <c r="P31" s="30" t="n">
        <v>40</v>
      </c>
      <c r="Q31" s="19" t="n">
        <f aca="false">IF(SUMIFS('Sales History'!$E:$E,'Sales History'!$G:$G,$A31)&gt;0,SUMIFS('Sales History'!$E:$E,'Sales History'!$G:$G,$A31)/Settings!$B$4,N(P31))</f>
        <v>40</v>
      </c>
      <c r="R31" s="18" t="str">
        <f aca="false">IF(SUMIFS('Sales History'!$E:$E,'Sales History'!$G:$G,$A31)&gt;0,"6-month history",IF(N(P31)&gt;0,"Current sheet","No sales data"))</f>
        <v>Current sheet</v>
      </c>
      <c r="S31" s="31" t="n">
        <f aca="false">IF(Q31&gt;0,H31/Q31,"")</f>
        <v>9.66625</v>
      </c>
      <c r="T31" s="30" t="n">
        <v>200</v>
      </c>
      <c r="U31" s="19" t="n">
        <f aca="false">IF(T31="","",MAX(0,T31-O31))</f>
        <v>0</v>
      </c>
      <c r="V31" s="32" t="str">
        <f aca="false">IF(D31="End of range","END OF RANGE",IF(T31="","NO BUFFER SET",IF(H31&lt;=0,IF(O31&lt;T31,"OUT - REORDER","OUT - ON ORDER"),IF(O31&lt;T31,"REORDER",IF(H31&lt;T31,"LOW - ON ORDER",IF(AND(S31&lt;&gt;"",N(S31)&gt;Settings!$B$5),"SLOW MOVER","OK"))))))</f>
        <v>OK</v>
      </c>
      <c r="W31" s="18"/>
      <c r="X31" s="33" t="n">
        <f aca="false">IF(OR(D31="End of range",U31=""),0,IF(N(U31)&gt;0,U31+ROW()/1000000,0))</f>
        <v>0</v>
      </c>
    </row>
    <row r="32" customFormat="false" ht="14.25" hidden="false" customHeight="true" outlineLevel="0" collapsed="false">
      <c r="A32" s="18" t="s">
        <v>133</v>
      </c>
      <c r="B32" s="18" t="s">
        <v>134</v>
      </c>
      <c r="C32" s="18" t="s">
        <v>79</v>
      </c>
      <c r="D32" s="18" t="s">
        <v>80</v>
      </c>
      <c r="E32" s="19" t="n">
        <f aca="false">SUMIFS('CPT Count'!$D:$D,'CPT Count'!$A:$A,$A32)-SUMIFS('Weekly Sales'!$F:$F,'Weekly Sales'!$H:$H,$A32,'Weekly Sales'!$I:$I,"CPT")+SUMIFS(Transfers!$F:$F,Transfers!$C:$C,$A32,Transfers!$J:$J,"CPT")-SUMIFS(Transfers!$F:$F,Transfers!$C:$C,$A32,Transfers!$I:$I,"CPT",Transfers!$H:$H,"&lt;&gt;Y")+SUMIFS('Stock Received'!$I:$I,'Stock Received'!$E:$E,$A32,'Stock Received'!$L:$L,"CPT")</f>
        <v>120</v>
      </c>
      <c r="F32" s="19" t="n">
        <f aca="false">SUMIFS('JHB Count'!$E:$E,'JHB Count'!$F:$F,$A32)-SUMIFS('Weekly Sales'!$F:$F,'Weekly Sales'!$H:$H,$A32,'Weekly Sales'!$I:$I,"JHB")+SUMIFS(Transfers!$F:$F,Transfers!$C:$C,$A32,Transfers!$J:$J,"JHB")-SUMIFS(Transfers!$F:$F,Transfers!$C:$C,$A32,Transfers!$I:$I,"JHB",Transfers!$H:$H,"&lt;&gt;Y")+SUMIFS('Stock Received'!$I:$I,'Stock Received'!$E:$E,$A32,'Stock Received'!$L:$L,"JHB")</f>
        <v>68</v>
      </c>
      <c r="G32" s="19" t="n">
        <f aca="false">SUMIFS('DBN Count'!$D:$D,'DBN Count'!$E:$E,$A32)-SUMIFS('Weekly Sales'!$F:$F,'Weekly Sales'!$H:$H,$A32,'Weekly Sales'!$I:$I,"DBN")+SUMIFS(Transfers!$F:$F,Transfers!$C:$C,$A32,Transfers!$J:$J,"DBN")-SUMIFS(Transfers!$F:$F,Transfers!$C:$C,$A32,Transfers!$I:$I,"DBN",Transfers!$H:$H,"&lt;&gt;Y")+SUMIFS('Stock Received'!$I:$I,'Stock Received'!$E:$E,$A32,'Stock Received'!$L:$L,"DBN")</f>
        <v>30.25</v>
      </c>
      <c r="H32" s="29" t="n">
        <f aca="false">E32+F32+G32</f>
        <v>218.25</v>
      </c>
      <c r="I32" s="19" t="n">
        <f aca="false">SUMIFS('Weekly Sales'!$F:$F,'Weekly Sales'!$H:$H,$A32)</f>
        <v>0</v>
      </c>
      <c r="J32" s="19" t="n">
        <f aca="false">SUMIFS(Orders!$L:$L,Orders!$D:$D,$A32,Orders!$F:$F,"&gt;="&amp;J$4,Orders!$F:$F,"&lt;"&amp;EDATE(J$4,1))</f>
        <v>300</v>
      </c>
      <c r="K32" s="19" t="n">
        <f aca="false">SUMIFS(Orders!$L:$L,Orders!$D:$D,$A32,Orders!$F:$F,"&gt;="&amp;K$4,Orders!$F:$F,"&lt;"&amp;EDATE(K$4,1))</f>
        <v>300</v>
      </c>
      <c r="L32" s="19" t="n">
        <f aca="false">SUMIFS(Orders!$L:$L,Orders!$D:$D,$A32,Orders!$F:$F,"&gt;="&amp;L$4,Orders!$F:$F,"&lt;"&amp;EDATE(L$4,1))</f>
        <v>0</v>
      </c>
      <c r="M32" s="19" t="n">
        <f aca="false">N32-J32-K32-L32</f>
        <v>0</v>
      </c>
      <c r="N32" s="19" t="n">
        <f aca="false">SUMIFS(Orders!$L:$L,Orders!$D:$D,$A32)</f>
        <v>600</v>
      </c>
      <c r="O32" s="19" t="n">
        <f aca="false">H32+N32</f>
        <v>818.25</v>
      </c>
      <c r="P32" s="30" t="n">
        <v>110</v>
      </c>
      <c r="Q32" s="19" t="n">
        <f aca="false">IF(SUMIFS('Sales History'!$E:$E,'Sales History'!$G:$G,$A32)&gt;0,SUMIFS('Sales History'!$E:$E,'Sales History'!$G:$G,$A32)/Settings!$B$4,N(P32))</f>
        <v>110</v>
      </c>
      <c r="R32" s="18" t="str">
        <f aca="false">IF(SUMIFS('Sales History'!$E:$E,'Sales History'!$G:$G,$A32)&gt;0,"6-month history",IF(N(P32)&gt;0,"Current sheet","No sales data"))</f>
        <v>Current sheet</v>
      </c>
      <c r="S32" s="31" t="n">
        <f aca="false">IF(Q32&gt;0,H32/Q32,"")</f>
        <v>1.98409090909091</v>
      </c>
      <c r="T32" s="30" t="n">
        <v>300</v>
      </c>
      <c r="U32" s="19" t="n">
        <f aca="false">IF(T32="","",MAX(0,T32-O32))</f>
        <v>0</v>
      </c>
      <c r="V32" s="32" t="str">
        <f aca="false">IF(D32="End of range","END OF RANGE",IF(T32="","NO BUFFER SET",IF(H32&lt;=0,IF(O32&lt;T32,"OUT - REORDER","OUT - ON ORDER"),IF(O32&lt;T32,"REORDER",IF(H32&lt;T32,"LOW - ON ORDER",IF(AND(S32&lt;&gt;"",N(S32)&gt;Settings!$B$5),"SLOW MOVER","OK"))))))</f>
        <v>LOW - ON ORDER</v>
      </c>
      <c r="W32" s="18"/>
      <c r="X32" s="33" t="n">
        <f aca="false">IF(OR(D32="End of range",U32=""),0,IF(N(U32)&gt;0,U32+ROW()/1000000,0))</f>
        <v>0</v>
      </c>
    </row>
    <row r="33" customFormat="false" ht="14.25" hidden="false" customHeight="true" outlineLevel="0" collapsed="false">
      <c r="A33" s="18" t="s">
        <v>135</v>
      </c>
      <c r="B33" s="18" t="s">
        <v>136</v>
      </c>
      <c r="C33" s="18" t="s">
        <v>79</v>
      </c>
      <c r="D33" s="18" t="s">
        <v>80</v>
      </c>
      <c r="E33" s="19" t="n">
        <f aca="false">SUMIFS('CPT Count'!$D:$D,'CPT Count'!$A:$A,$A33)-SUMIFS('Weekly Sales'!$F:$F,'Weekly Sales'!$H:$H,$A33,'Weekly Sales'!$I:$I,"CPT")+SUMIFS(Transfers!$F:$F,Transfers!$C:$C,$A33,Transfers!$J:$J,"CPT")-SUMIFS(Transfers!$F:$F,Transfers!$C:$C,$A33,Transfers!$I:$I,"CPT",Transfers!$H:$H,"&lt;&gt;Y")+SUMIFS('Stock Received'!$I:$I,'Stock Received'!$E:$E,$A33,'Stock Received'!$L:$L,"CPT")</f>
        <v>148</v>
      </c>
      <c r="F33" s="19" t="n">
        <f aca="false">SUMIFS('JHB Count'!$E:$E,'JHB Count'!$F:$F,$A33)-SUMIFS('Weekly Sales'!$F:$F,'Weekly Sales'!$H:$H,$A33,'Weekly Sales'!$I:$I,"JHB")+SUMIFS(Transfers!$F:$F,Transfers!$C:$C,$A33,Transfers!$J:$J,"JHB")-SUMIFS(Transfers!$F:$F,Transfers!$C:$C,$A33,Transfers!$I:$I,"JHB",Transfers!$H:$H,"&lt;&gt;Y")+SUMIFS('Stock Received'!$I:$I,'Stock Received'!$E:$E,$A33,'Stock Received'!$L:$L,"JHB")</f>
        <v>8</v>
      </c>
      <c r="G33" s="19" t="n">
        <f aca="false">SUMIFS('DBN Count'!$D:$D,'DBN Count'!$E:$E,$A33)-SUMIFS('Weekly Sales'!$F:$F,'Weekly Sales'!$H:$H,$A33,'Weekly Sales'!$I:$I,"DBN")+SUMIFS(Transfers!$F:$F,Transfers!$C:$C,$A33,Transfers!$J:$J,"DBN")-SUMIFS(Transfers!$F:$F,Transfers!$C:$C,$A33,Transfers!$I:$I,"DBN",Transfers!$H:$H,"&lt;&gt;Y")+SUMIFS('Stock Received'!$I:$I,'Stock Received'!$E:$E,$A33,'Stock Received'!$L:$L,"DBN")</f>
        <v>0</v>
      </c>
      <c r="H33" s="29" t="n">
        <f aca="false">E33+F33+G33</f>
        <v>156</v>
      </c>
      <c r="I33" s="19" t="n">
        <f aca="false">SUMIFS('Weekly Sales'!$F:$F,'Weekly Sales'!$H:$H,$A33)</f>
        <v>0</v>
      </c>
      <c r="J33" s="19" t="n">
        <f aca="false">SUMIFS(Orders!$L:$L,Orders!$D:$D,$A33,Orders!$F:$F,"&gt;="&amp;J$4,Orders!$F:$F,"&lt;"&amp;EDATE(J$4,1))</f>
        <v>0</v>
      </c>
      <c r="K33" s="19" t="n">
        <f aca="false">SUMIFS(Orders!$L:$L,Orders!$D:$D,$A33,Orders!$F:$F,"&gt;="&amp;K$4,Orders!$F:$F,"&lt;"&amp;EDATE(K$4,1))</f>
        <v>0</v>
      </c>
      <c r="L33" s="19" t="n">
        <f aca="false">SUMIFS(Orders!$L:$L,Orders!$D:$D,$A33,Orders!$F:$F,"&gt;="&amp;L$4,Orders!$F:$F,"&lt;"&amp;EDATE(L$4,1))</f>
        <v>0</v>
      </c>
      <c r="M33" s="19" t="n">
        <f aca="false">N33-J33-K33-L33</f>
        <v>0</v>
      </c>
      <c r="N33" s="19" t="n">
        <f aca="false">SUMIFS(Orders!$L:$L,Orders!$D:$D,$A33)</f>
        <v>0</v>
      </c>
      <c r="O33" s="19" t="n">
        <f aca="false">H33+N33</f>
        <v>156</v>
      </c>
      <c r="P33" s="30" t="n">
        <v>10</v>
      </c>
      <c r="Q33" s="19" t="n">
        <f aca="false">IF(SUMIFS('Sales History'!$E:$E,'Sales History'!$G:$G,$A33)&gt;0,SUMIFS('Sales History'!$E:$E,'Sales History'!$G:$G,$A33)/Settings!$B$4,N(P33))</f>
        <v>10</v>
      </c>
      <c r="R33" s="18" t="str">
        <f aca="false">IF(SUMIFS('Sales History'!$E:$E,'Sales History'!$G:$G,$A33)&gt;0,"6-month history",IF(N(P33)&gt;0,"Current sheet","No sales data"))</f>
        <v>Current sheet</v>
      </c>
      <c r="S33" s="31" t="n">
        <f aca="false">IF(Q33&gt;0,H33/Q33,"")</f>
        <v>15.6</v>
      </c>
      <c r="T33" s="30" t="n">
        <v>200</v>
      </c>
      <c r="U33" s="19" t="n">
        <f aca="false">IF(T33="","",MAX(0,T33-O33))</f>
        <v>44</v>
      </c>
      <c r="V33" s="32" t="str">
        <f aca="false">IF(D33="End of range","END OF RANGE",IF(T33="","NO BUFFER SET",IF(H33&lt;=0,IF(O33&lt;T33,"OUT - REORDER","OUT - ON ORDER"),IF(O33&lt;T33,"REORDER",IF(H33&lt;T33,"LOW - ON ORDER",IF(AND(S33&lt;&gt;"",N(S33)&gt;Settings!$B$5),"SLOW MOVER","OK"))))))</f>
        <v>REORDER</v>
      </c>
      <c r="W33" s="18"/>
      <c r="X33" s="33" t="n">
        <f aca="false">IF(OR(D33="End of range",U33=""),0,IF(N(U33)&gt;0,U33+ROW()/1000000,0))</f>
        <v>44.000033</v>
      </c>
    </row>
    <row r="34" customFormat="false" ht="14.25" hidden="false" customHeight="true" outlineLevel="0" collapsed="false">
      <c r="A34" s="18" t="s">
        <v>137</v>
      </c>
      <c r="B34" s="18" t="s">
        <v>138</v>
      </c>
      <c r="C34" s="18" t="s">
        <v>79</v>
      </c>
      <c r="D34" s="18" t="s">
        <v>80</v>
      </c>
      <c r="E34" s="19" t="n">
        <f aca="false">SUMIFS('CPT Count'!$D:$D,'CPT Count'!$A:$A,$A34)-SUMIFS('Weekly Sales'!$F:$F,'Weekly Sales'!$H:$H,$A34,'Weekly Sales'!$I:$I,"CPT")+SUMIFS(Transfers!$F:$F,Transfers!$C:$C,$A34,Transfers!$J:$J,"CPT")-SUMIFS(Transfers!$F:$F,Transfers!$C:$C,$A34,Transfers!$I:$I,"CPT",Transfers!$H:$H,"&lt;&gt;Y")+SUMIFS('Stock Received'!$I:$I,'Stock Received'!$E:$E,$A34,'Stock Received'!$L:$L,"CPT")</f>
        <v>420</v>
      </c>
      <c r="F34" s="19" t="n">
        <f aca="false">SUMIFS('JHB Count'!$E:$E,'JHB Count'!$F:$F,$A34)-SUMIFS('Weekly Sales'!$F:$F,'Weekly Sales'!$H:$H,$A34,'Weekly Sales'!$I:$I,"JHB")+SUMIFS(Transfers!$F:$F,Transfers!$C:$C,$A34,Transfers!$J:$J,"JHB")-SUMIFS(Transfers!$F:$F,Transfers!$C:$C,$A34,Transfers!$I:$I,"JHB",Transfers!$H:$H,"&lt;&gt;Y")+SUMIFS('Stock Received'!$I:$I,'Stock Received'!$E:$E,$A34,'Stock Received'!$L:$L,"JHB")</f>
        <v>32</v>
      </c>
      <c r="G34" s="19" t="n">
        <f aca="false">SUMIFS('DBN Count'!$D:$D,'DBN Count'!$E:$E,$A34)-SUMIFS('Weekly Sales'!$F:$F,'Weekly Sales'!$H:$H,$A34,'Weekly Sales'!$I:$I,"DBN")+SUMIFS(Transfers!$F:$F,Transfers!$C:$C,$A34,Transfers!$J:$J,"DBN")-SUMIFS(Transfers!$F:$F,Transfers!$C:$C,$A34,Transfers!$I:$I,"DBN",Transfers!$H:$H,"&lt;&gt;Y")+SUMIFS('Stock Received'!$I:$I,'Stock Received'!$E:$E,$A34,'Stock Received'!$L:$L,"DBN")</f>
        <v>0</v>
      </c>
      <c r="H34" s="29" t="n">
        <f aca="false">E34+F34+G34</f>
        <v>452</v>
      </c>
      <c r="I34" s="19" t="n">
        <f aca="false">SUMIFS('Weekly Sales'!$F:$F,'Weekly Sales'!$H:$H,$A34)</f>
        <v>0</v>
      </c>
      <c r="J34" s="19" t="n">
        <f aca="false">SUMIFS(Orders!$L:$L,Orders!$D:$D,$A34,Orders!$F:$F,"&gt;="&amp;J$4,Orders!$F:$F,"&lt;"&amp;EDATE(J$4,1))</f>
        <v>0</v>
      </c>
      <c r="K34" s="19" t="n">
        <f aca="false">SUMIFS(Orders!$L:$L,Orders!$D:$D,$A34,Orders!$F:$F,"&gt;="&amp;K$4,Orders!$F:$F,"&lt;"&amp;EDATE(K$4,1))</f>
        <v>0</v>
      </c>
      <c r="L34" s="19" t="n">
        <f aca="false">SUMIFS(Orders!$L:$L,Orders!$D:$D,$A34,Orders!$F:$F,"&gt;="&amp;L$4,Orders!$F:$F,"&lt;"&amp;EDATE(L$4,1))</f>
        <v>0</v>
      </c>
      <c r="M34" s="19" t="n">
        <f aca="false">N34-J34-K34-L34</f>
        <v>0</v>
      </c>
      <c r="N34" s="19" t="n">
        <f aca="false">SUMIFS(Orders!$L:$L,Orders!$D:$D,$A34)</f>
        <v>0</v>
      </c>
      <c r="O34" s="19" t="n">
        <f aca="false">H34+N34</f>
        <v>452</v>
      </c>
      <c r="P34" s="30" t="n">
        <v>24</v>
      </c>
      <c r="Q34" s="19" t="n">
        <f aca="false">IF(SUMIFS('Sales History'!$E:$E,'Sales History'!$G:$G,$A34)&gt;0,SUMIFS('Sales History'!$E:$E,'Sales History'!$G:$G,$A34)/Settings!$B$4,N(P34))</f>
        <v>24</v>
      </c>
      <c r="R34" s="18" t="str">
        <f aca="false">IF(SUMIFS('Sales History'!$E:$E,'Sales History'!$G:$G,$A34)&gt;0,"6-month history",IF(N(P34)&gt;0,"Current sheet","No sales data"))</f>
        <v>Current sheet</v>
      </c>
      <c r="S34" s="31" t="n">
        <f aca="false">IF(Q34&gt;0,H34/Q34,"")</f>
        <v>18.8333333333333</v>
      </c>
      <c r="T34" s="30" t="n">
        <v>200</v>
      </c>
      <c r="U34" s="19" t="n">
        <f aca="false">IF(T34="","",MAX(0,T34-O34))</f>
        <v>0</v>
      </c>
      <c r="V34" s="32" t="str">
        <f aca="false">IF(D34="End of range","END OF RANGE",IF(T34="","NO BUFFER SET",IF(H34&lt;=0,IF(O34&lt;T34,"OUT - REORDER","OUT - ON ORDER"),IF(O34&lt;T34,"REORDER",IF(H34&lt;T34,"LOW - ON ORDER",IF(AND(S34&lt;&gt;"",N(S34)&gt;Settings!$B$5),"SLOW MOVER","OK"))))))</f>
        <v>SLOW MOVER</v>
      </c>
      <c r="W34" s="18"/>
      <c r="X34" s="33" t="n">
        <f aca="false">IF(OR(D34="End of range",U34=""),0,IF(N(U34)&gt;0,U34+ROW()/1000000,0))</f>
        <v>0</v>
      </c>
    </row>
    <row r="35" customFormat="false" ht="14.25" hidden="false" customHeight="true" outlineLevel="0" collapsed="false">
      <c r="A35" s="18" t="s">
        <v>139</v>
      </c>
      <c r="B35" s="18" t="s">
        <v>140</v>
      </c>
      <c r="C35" s="18" t="s">
        <v>79</v>
      </c>
      <c r="D35" s="18" t="s">
        <v>80</v>
      </c>
      <c r="E35" s="19" t="n">
        <f aca="false">SUMIFS('CPT Count'!$D:$D,'CPT Count'!$A:$A,$A35)-SUMIFS('Weekly Sales'!$F:$F,'Weekly Sales'!$H:$H,$A35,'Weekly Sales'!$I:$I,"CPT")+SUMIFS(Transfers!$F:$F,Transfers!$C:$C,$A35,Transfers!$J:$J,"CPT")-SUMIFS(Transfers!$F:$F,Transfers!$C:$C,$A35,Transfers!$I:$I,"CPT",Transfers!$H:$H,"&lt;&gt;Y")+SUMIFS('Stock Received'!$I:$I,'Stock Received'!$E:$E,$A35,'Stock Received'!$L:$L,"CPT")</f>
        <v>594.04</v>
      </c>
      <c r="F35" s="19" t="n">
        <f aca="false">SUMIFS('JHB Count'!$E:$E,'JHB Count'!$F:$F,$A35)-SUMIFS('Weekly Sales'!$F:$F,'Weekly Sales'!$H:$H,$A35,'Weekly Sales'!$I:$I,"JHB")+SUMIFS(Transfers!$F:$F,Transfers!$C:$C,$A35,Transfers!$J:$J,"JHB")-SUMIFS(Transfers!$F:$F,Transfers!$C:$C,$A35,Transfers!$I:$I,"JHB",Transfers!$H:$H,"&lt;&gt;Y")+SUMIFS('Stock Received'!$I:$I,'Stock Received'!$E:$E,$A35,'Stock Received'!$L:$L,"JHB")</f>
        <v>4</v>
      </c>
      <c r="G35" s="19" t="n">
        <f aca="false">SUMIFS('DBN Count'!$D:$D,'DBN Count'!$E:$E,$A35)-SUMIFS('Weekly Sales'!$F:$F,'Weekly Sales'!$H:$H,$A35,'Weekly Sales'!$I:$I,"DBN")+SUMIFS(Transfers!$F:$F,Transfers!$C:$C,$A35,Transfers!$J:$J,"DBN")-SUMIFS(Transfers!$F:$F,Transfers!$C:$C,$A35,Transfers!$I:$I,"DBN",Transfers!$H:$H,"&lt;&gt;Y")+SUMIFS('Stock Received'!$I:$I,'Stock Received'!$E:$E,$A35,'Stock Received'!$L:$L,"DBN")</f>
        <v>20.15</v>
      </c>
      <c r="H35" s="29" t="n">
        <f aca="false">E35+F35+G35</f>
        <v>618.19</v>
      </c>
      <c r="I35" s="19" t="n">
        <f aca="false">SUMIFS('Weekly Sales'!$F:$F,'Weekly Sales'!$H:$H,$A35)</f>
        <v>0</v>
      </c>
      <c r="J35" s="19" t="n">
        <f aca="false">SUMIFS(Orders!$L:$L,Orders!$D:$D,$A35,Orders!$F:$F,"&gt;="&amp;J$4,Orders!$F:$F,"&lt;"&amp;EDATE(J$4,1))</f>
        <v>0</v>
      </c>
      <c r="K35" s="19" t="n">
        <f aca="false">SUMIFS(Orders!$L:$L,Orders!$D:$D,$A35,Orders!$F:$F,"&gt;="&amp;K$4,Orders!$F:$F,"&lt;"&amp;EDATE(K$4,1))</f>
        <v>800</v>
      </c>
      <c r="L35" s="19" t="n">
        <f aca="false">SUMIFS(Orders!$L:$L,Orders!$D:$D,$A35,Orders!$F:$F,"&gt;="&amp;L$4,Orders!$F:$F,"&lt;"&amp;EDATE(L$4,1))</f>
        <v>500</v>
      </c>
      <c r="M35" s="19" t="n">
        <f aca="false">N35-J35-K35-L35</f>
        <v>0</v>
      </c>
      <c r="N35" s="19" t="n">
        <f aca="false">SUMIFS(Orders!$L:$L,Orders!$D:$D,$A35)</f>
        <v>1300</v>
      </c>
      <c r="O35" s="19" t="n">
        <f aca="false">H35+N35</f>
        <v>1918.19</v>
      </c>
      <c r="P35" s="30" t="n">
        <v>250</v>
      </c>
      <c r="Q35" s="19" t="n">
        <f aca="false">IF(SUMIFS('Sales History'!$E:$E,'Sales History'!$G:$G,$A35)&gt;0,SUMIFS('Sales History'!$E:$E,'Sales History'!$G:$G,$A35)/Settings!$B$4,N(P35))</f>
        <v>250</v>
      </c>
      <c r="R35" s="18" t="str">
        <f aca="false">IF(SUMIFS('Sales History'!$E:$E,'Sales History'!$G:$G,$A35)&gt;0,"6-month history",IF(N(P35)&gt;0,"Current sheet","No sales data"))</f>
        <v>Current sheet</v>
      </c>
      <c r="S35" s="31" t="n">
        <f aca="false">IF(Q35&gt;0,H35/Q35,"")</f>
        <v>2.47276</v>
      </c>
      <c r="T35" s="30" t="n">
        <v>500</v>
      </c>
      <c r="U35" s="19" t="n">
        <f aca="false">IF(T35="","",MAX(0,T35-O35))</f>
        <v>0</v>
      </c>
      <c r="V35" s="32" t="str">
        <f aca="false">IF(D35="End of range","END OF RANGE",IF(T35="","NO BUFFER SET",IF(H35&lt;=0,IF(O35&lt;T35,"OUT - REORDER","OUT - ON ORDER"),IF(O35&lt;T35,"REORDER",IF(H35&lt;T35,"LOW - ON ORDER",IF(AND(S35&lt;&gt;"",N(S35)&gt;Settings!$B$5),"SLOW MOVER","OK"))))))</f>
        <v>OK</v>
      </c>
      <c r="W35" s="18"/>
      <c r="X35" s="33" t="n">
        <f aca="false">IF(OR(D35="End of range",U35=""),0,IF(N(U35)&gt;0,U35+ROW()/1000000,0))</f>
        <v>0</v>
      </c>
    </row>
    <row r="36" customFormat="false" ht="14.25" hidden="false" customHeight="true" outlineLevel="0" collapsed="false">
      <c r="A36" s="18" t="s">
        <v>141</v>
      </c>
      <c r="B36" s="18" t="s">
        <v>142</v>
      </c>
      <c r="C36" s="18" t="s">
        <v>79</v>
      </c>
      <c r="D36" s="18" t="s">
        <v>80</v>
      </c>
      <c r="E36" s="19" t="n">
        <f aca="false">SUMIFS('CPT Count'!$D:$D,'CPT Count'!$A:$A,$A36)-SUMIFS('Weekly Sales'!$F:$F,'Weekly Sales'!$H:$H,$A36,'Weekly Sales'!$I:$I,"CPT")+SUMIFS(Transfers!$F:$F,Transfers!$C:$C,$A36,Transfers!$J:$J,"CPT")-SUMIFS(Transfers!$F:$F,Transfers!$C:$C,$A36,Transfers!$I:$I,"CPT",Transfers!$H:$H,"&lt;&gt;Y")+SUMIFS('Stock Received'!$I:$I,'Stock Received'!$E:$E,$A36,'Stock Received'!$L:$L,"CPT")</f>
        <v>951.87</v>
      </c>
      <c r="F36" s="19" t="n">
        <f aca="false">SUMIFS('JHB Count'!$E:$E,'JHB Count'!$F:$F,$A36)-SUMIFS('Weekly Sales'!$F:$F,'Weekly Sales'!$H:$H,$A36,'Weekly Sales'!$I:$I,"JHB")+SUMIFS(Transfers!$F:$F,Transfers!$C:$C,$A36,Transfers!$J:$J,"JHB")-SUMIFS(Transfers!$F:$F,Transfers!$C:$C,$A36,Transfers!$I:$I,"JHB",Transfers!$H:$H,"&lt;&gt;Y")+SUMIFS('Stock Received'!$I:$I,'Stock Received'!$E:$E,$A36,'Stock Received'!$L:$L,"JHB")</f>
        <v>52.75</v>
      </c>
      <c r="G36" s="19" t="n">
        <f aca="false">SUMIFS('DBN Count'!$D:$D,'DBN Count'!$E:$E,$A36)-SUMIFS('Weekly Sales'!$F:$F,'Weekly Sales'!$H:$H,$A36,'Weekly Sales'!$I:$I,"DBN")+SUMIFS(Transfers!$F:$F,Transfers!$C:$C,$A36,Transfers!$J:$J,"DBN")-SUMIFS(Transfers!$F:$F,Transfers!$C:$C,$A36,Transfers!$I:$I,"DBN",Transfers!$H:$H,"&lt;&gt;Y")+SUMIFS('Stock Received'!$I:$I,'Stock Received'!$E:$E,$A36,'Stock Received'!$L:$L,"DBN")</f>
        <v>22.58</v>
      </c>
      <c r="H36" s="29" t="n">
        <f aca="false">E36+F36+G36</f>
        <v>1027.2</v>
      </c>
      <c r="I36" s="19" t="n">
        <f aca="false">SUMIFS('Weekly Sales'!$F:$F,'Weekly Sales'!$H:$H,$A36)</f>
        <v>48.43</v>
      </c>
      <c r="J36" s="19" t="n">
        <f aca="false">SUMIFS(Orders!$L:$L,Orders!$D:$D,$A36,Orders!$F:$F,"&gt;="&amp;J$4,Orders!$F:$F,"&lt;"&amp;EDATE(J$4,1))</f>
        <v>0</v>
      </c>
      <c r="K36" s="19" t="n">
        <f aca="false">SUMIFS(Orders!$L:$L,Orders!$D:$D,$A36,Orders!$F:$F,"&gt;="&amp;K$4,Orders!$F:$F,"&lt;"&amp;EDATE(K$4,1))</f>
        <v>500</v>
      </c>
      <c r="L36" s="19" t="n">
        <f aca="false">SUMIFS(Orders!$L:$L,Orders!$D:$D,$A36,Orders!$F:$F,"&gt;="&amp;L$4,Orders!$F:$F,"&lt;"&amp;EDATE(L$4,1))</f>
        <v>500</v>
      </c>
      <c r="M36" s="19" t="n">
        <f aca="false">N36-J36-K36-L36</f>
        <v>0</v>
      </c>
      <c r="N36" s="19" t="n">
        <f aca="false">SUMIFS(Orders!$L:$L,Orders!$D:$D,$A36)</f>
        <v>1000</v>
      </c>
      <c r="O36" s="19" t="n">
        <f aca="false">H36+N36</f>
        <v>2027.2</v>
      </c>
      <c r="P36" s="30" t="n">
        <v>500</v>
      </c>
      <c r="Q36" s="19" t="n">
        <f aca="false">IF(SUMIFS('Sales History'!$E:$E,'Sales History'!$G:$G,$A36)&gt;0,SUMIFS('Sales History'!$E:$E,'Sales History'!$G:$G,$A36)/Settings!$B$4,N(P36))</f>
        <v>500</v>
      </c>
      <c r="R36" s="18" t="str">
        <f aca="false">IF(SUMIFS('Sales History'!$E:$E,'Sales History'!$G:$G,$A36)&gt;0,"6-month history",IF(N(P36)&gt;0,"Current sheet","No sales data"))</f>
        <v>Current sheet</v>
      </c>
      <c r="S36" s="31" t="n">
        <f aca="false">IF(Q36&gt;0,H36/Q36,"")</f>
        <v>2.0544</v>
      </c>
      <c r="T36" s="30" t="n">
        <v>800</v>
      </c>
      <c r="U36" s="19" t="n">
        <f aca="false">IF(T36="","",MAX(0,T36-O36))</f>
        <v>0</v>
      </c>
      <c r="V36" s="32" t="str">
        <f aca="false">IF(D36="End of range","END OF RANGE",IF(T36="","NO BUFFER SET",IF(H36&lt;=0,IF(O36&lt;T36,"OUT - REORDER","OUT - ON ORDER"),IF(O36&lt;T36,"REORDER",IF(H36&lt;T36,"LOW - ON ORDER",IF(AND(S36&lt;&gt;"",N(S36)&gt;Settings!$B$5),"SLOW MOVER","OK"))))))</f>
        <v>OK</v>
      </c>
      <c r="W36" s="18"/>
      <c r="X36" s="33" t="n">
        <f aca="false">IF(OR(D36="End of range",U36=""),0,IF(N(U36)&gt;0,U36+ROW()/1000000,0))</f>
        <v>0</v>
      </c>
    </row>
    <row r="37" customFormat="false" ht="14.25" hidden="false" customHeight="true" outlineLevel="0" collapsed="false">
      <c r="A37" s="18" t="s">
        <v>143</v>
      </c>
      <c r="B37" s="18" t="s">
        <v>144</v>
      </c>
      <c r="C37" s="18" t="s">
        <v>79</v>
      </c>
      <c r="D37" s="18" t="s">
        <v>80</v>
      </c>
      <c r="E37" s="19" t="n">
        <f aca="false">SUMIFS('CPT Count'!$D:$D,'CPT Count'!$A:$A,$A37)-SUMIFS('Weekly Sales'!$F:$F,'Weekly Sales'!$H:$H,$A37,'Weekly Sales'!$I:$I,"CPT")+SUMIFS(Transfers!$F:$F,Transfers!$C:$C,$A37,Transfers!$J:$J,"CPT")-SUMIFS(Transfers!$F:$F,Transfers!$C:$C,$A37,Transfers!$I:$I,"CPT",Transfers!$H:$H,"&lt;&gt;Y")+SUMIFS('Stock Received'!$I:$I,'Stock Received'!$E:$E,$A37,'Stock Received'!$L:$L,"CPT")</f>
        <v>530.17</v>
      </c>
      <c r="F37" s="19" t="n">
        <f aca="false">SUMIFS('JHB Count'!$E:$E,'JHB Count'!$F:$F,$A37)-SUMIFS('Weekly Sales'!$F:$F,'Weekly Sales'!$H:$H,$A37,'Weekly Sales'!$I:$I,"JHB")+SUMIFS(Transfers!$F:$F,Transfers!$C:$C,$A37,Transfers!$J:$J,"JHB")-SUMIFS(Transfers!$F:$F,Transfers!$C:$C,$A37,Transfers!$I:$I,"JHB",Transfers!$H:$H,"&lt;&gt;Y")+SUMIFS('Stock Received'!$I:$I,'Stock Received'!$E:$E,$A37,'Stock Received'!$L:$L,"JHB")</f>
        <v>135.29</v>
      </c>
      <c r="G37" s="19" t="n">
        <f aca="false">SUMIFS('DBN Count'!$D:$D,'DBN Count'!$E:$E,$A37)-SUMIFS('Weekly Sales'!$F:$F,'Weekly Sales'!$H:$H,$A37,'Weekly Sales'!$I:$I,"DBN")+SUMIFS(Transfers!$F:$F,Transfers!$C:$C,$A37,Transfers!$J:$J,"DBN")-SUMIFS(Transfers!$F:$F,Transfers!$C:$C,$A37,Transfers!$I:$I,"DBN",Transfers!$H:$H,"&lt;&gt;Y")+SUMIFS('Stock Received'!$I:$I,'Stock Received'!$E:$E,$A37,'Stock Received'!$L:$L,"DBN")</f>
        <v>42.28</v>
      </c>
      <c r="H37" s="29" t="n">
        <f aca="false">E37+F37+G37</f>
        <v>707.74</v>
      </c>
      <c r="I37" s="19" t="n">
        <f aca="false">SUMIFS('Weekly Sales'!$F:$F,'Weekly Sales'!$H:$H,$A37)</f>
        <v>13.86</v>
      </c>
      <c r="J37" s="19" t="n">
        <f aca="false">SUMIFS(Orders!$L:$L,Orders!$D:$D,$A37,Orders!$F:$F,"&gt;="&amp;J$4,Orders!$F:$F,"&lt;"&amp;EDATE(J$4,1))</f>
        <v>0</v>
      </c>
      <c r="K37" s="19" t="n">
        <f aca="false">SUMIFS(Orders!$L:$L,Orders!$D:$D,$A37,Orders!$F:$F,"&gt;="&amp;K$4,Orders!$F:$F,"&lt;"&amp;EDATE(K$4,1))</f>
        <v>500</v>
      </c>
      <c r="L37" s="19" t="n">
        <f aca="false">SUMIFS(Orders!$L:$L,Orders!$D:$D,$A37,Orders!$F:$F,"&gt;="&amp;L$4,Orders!$F:$F,"&lt;"&amp;EDATE(L$4,1))</f>
        <v>500</v>
      </c>
      <c r="M37" s="19" t="n">
        <f aca="false">N37-J37-K37-L37</f>
        <v>0</v>
      </c>
      <c r="N37" s="19" t="n">
        <f aca="false">SUMIFS(Orders!$L:$L,Orders!$D:$D,$A37)</f>
        <v>1000</v>
      </c>
      <c r="O37" s="19" t="n">
        <f aca="false">H37+N37</f>
        <v>1707.74</v>
      </c>
      <c r="P37" s="30" t="n">
        <v>350</v>
      </c>
      <c r="Q37" s="19" t="n">
        <f aca="false">IF(SUMIFS('Sales History'!$E:$E,'Sales History'!$G:$G,$A37)&gt;0,SUMIFS('Sales History'!$E:$E,'Sales History'!$G:$G,$A37)/Settings!$B$4,N(P37))</f>
        <v>350</v>
      </c>
      <c r="R37" s="18" t="str">
        <f aca="false">IF(SUMIFS('Sales History'!$E:$E,'Sales History'!$G:$G,$A37)&gt;0,"6-month history",IF(N(P37)&gt;0,"Current sheet","No sales data"))</f>
        <v>Current sheet</v>
      </c>
      <c r="S37" s="31" t="n">
        <f aca="false">IF(Q37&gt;0,H37/Q37,"")</f>
        <v>2.02211428571429</v>
      </c>
      <c r="T37" s="30" t="n">
        <v>500</v>
      </c>
      <c r="U37" s="19" t="n">
        <f aca="false">IF(T37="","",MAX(0,T37-O37))</f>
        <v>0</v>
      </c>
      <c r="V37" s="32" t="str">
        <f aca="false">IF(D37="End of range","END OF RANGE",IF(T37="","NO BUFFER SET",IF(H37&lt;=0,IF(O37&lt;T37,"OUT - REORDER","OUT - ON ORDER"),IF(O37&lt;T37,"REORDER",IF(H37&lt;T37,"LOW - ON ORDER",IF(AND(S37&lt;&gt;"",N(S37)&gt;Settings!$B$5),"SLOW MOVER","OK"))))))</f>
        <v>OK</v>
      </c>
      <c r="W37" s="18"/>
      <c r="X37" s="33" t="n">
        <f aca="false">IF(OR(D37="End of range",U37=""),0,IF(N(U37)&gt;0,U37+ROW()/1000000,0))</f>
        <v>0</v>
      </c>
    </row>
    <row r="38" customFormat="false" ht="14.25" hidden="false" customHeight="true" outlineLevel="0" collapsed="false">
      <c r="A38" s="18" t="s">
        <v>145</v>
      </c>
      <c r="B38" s="18" t="s">
        <v>146</v>
      </c>
      <c r="C38" s="18" t="s">
        <v>79</v>
      </c>
      <c r="D38" s="18" t="s">
        <v>80</v>
      </c>
      <c r="E38" s="19" t="n">
        <f aca="false">SUMIFS('CPT Count'!$D:$D,'CPT Count'!$A:$A,$A38)-SUMIFS('Weekly Sales'!$F:$F,'Weekly Sales'!$H:$H,$A38,'Weekly Sales'!$I:$I,"CPT")+SUMIFS(Transfers!$F:$F,Transfers!$C:$C,$A38,Transfers!$J:$J,"CPT")-SUMIFS(Transfers!$F:$F,Transfers!$C:$C,$A38,Transfers!$I:$I,"CPT",Transfers!$H:$H,"&lt;&gt;Y")+SUMIFS('Stock Received'!$I:$I,'Stock Received'!$E:$E,$A38,'Stock Received'!$L:$L,"CPT")</f>
        <v>474.58</v>
      </c>
      <c r="F38" s="19" t="n">
        <f aca="false">SUMIFS('JHB Count'!$E:$E,'JHB Count'!$F:$F,$A38)-SUMIFS('Weekly Sales'!$F:$F,'Weekly Sales'!$H:$H,$A38,'Weekly Sales'!$I:$I,"JHB")+SUMIFS(Transfers!$F:$F,Transfers!$C:$C,$A38,Transfers!$J:$J,"JHB")-SUMIFS(Transfers!$F:$F,Transfers!$C:$C,$A38,Transfers!$I:$I,"JHB",Transfers!$H:$H,"&lt;&gt;Y")+SUMIFS('Stock Received'!$I:$I,'Stock Received'!$E:$E,$A38,'Stock Received'!$L:$L,"JHB")</f>
        <v>40.7</v>
      </c>
      <c r="G38" s="19" t="n">
        <f aca="false">SUMIFS('DBN Count'!$D:$D,'DBN Count'!$E:$E,$A38)-SUMIFS('Weekly Sales'!$F:$F,'Weekly Sales'!$H:$H,$A38,'Weekly Sales'!$I:$I,"DBN")+SUMIFS(Transfers!$F:$F,Transfers!$C:$C,$A38,Transfers!$J:$J,"DBN")-SUMIFS(Transfers!$F:$F,Transfers!$C:$C,$A38,Transfers!$I:$I,"DBN",Transfers!$H:$H,"&lt;&gt;Y")+SUMIFS('Stock Received'!$I:$I,'Stock Received'!$E:$E,$A38,'Stock Received'!$L:$L,"DBN")</f>
        <v>21.24</v>
      </c>
      <c r="H38" s="29" t="n">
        <f aca="false">E38+F38+G38</f>
        <v>536.52</v>
      </c>
      <c r="I38" s="19" t="n">
        <f aca="false">SUMIFS('Weekly Sales'!$F:$F,'Weekly Sales'!$H:$H,$A38)</f>
        <v>38.44</v>
      </c>
      <c r="J38" s="19" t="n">
        <f aca="false">SUMIFS(Orders!$L:$L,Orders!$D:$D,$A38,Orders!$F:$F,"&gt;="&amp;J$4,Orders!$F:$F,"&lt;"&amp;EDATE(J$4,1))</f>
        <v>0</v>
      </c>
      <c r="K38" s="19" t="n">
        <f aca="false">SUMIFS(Orders!$L:$L,Orders!$D:$D,$A38,Orders!$F:$F,"&gt;="&amp;K$4,Orders!$F:$F,"&lt;"&amp;EDATE(K$4,1))</f>
        <v>0</v>
      </c>
      <c r="L38" s="19" t="n">
        <f aca="false">SUMIFS(Orders!$L:$L,Orders!$D:$D,$A38,Orders!$F:$F,"&gt;="&amp;L$4,Orders!$F:$F,"&lt;"&amp;EDATE(L$4,1))</f>
        <v>300</v>
      </c>
      <c r="M38" s="19" t="n">
        <f aca="false">N38-J38-K38-L38</f>
        <v>0</v>
      </c>
      <c r="N38" s="19" t="n">
        <f aca="false">SUMIFS(Orders!$L:$L,Orders!$D:$D,$A38)</f>
        <v>300</v>
      </c>
      <c r="O38" s="19" t="n">
        <f aca="false">H38+N38</f>
        <v>836.52</v>
      </c>
      <c r="P38" s="30" t="n">
        <v>160</v>
      </c>
      <c r="Q38" s="19" t="n">
        <f aca="false">IF(SUMIFS('Sales History'!$E:$E,'Sales History'!$G:$G,$A38)&gt;0,SUMIFS('Sales History'!$E:$E,'Sales History'!$G:$G,$A38)/Settings!$B$4,N(P38))</f>
        <v>160</v>
      </c>
      <c r="R38" s="18" t="str">
        <f aca="false">IF(SUMIFS('Sales History'!$E:$E,'Sales History'!$G:$G,$A38)&gt;0,"6-month history",IF(N(P38)&gt;0,"Current sheet","No sales data"))</f>
        <v>Current sheet</v>
      </c>
      <c r="S38" s="31" t="n">
        <f aca="false">IF(Q38&gt;0,H38/Q38,"")</f>
        <v>3.35325</v>
      </c>
      <c r="T38" s="30" t="n">
        <v>300</v>
      </c>
      <c r="U38" s="19" t="n">
        <f aca="false">IF(T38="","",MAX(0,T38-O38))</f>
        <v>0</v>
      </c>
      <c r="V38" s="32" t="str">
        <f aca="false">IF(D38="End of range","END OF RANGE",IF(T38="","NO BUFFER SET",IF(H38&lt;=0,IF(O38&lt;T38,"OUT - REORDER","OUT - ON ORDER"),IF(O38&lt;T38,"REORDER",IF(H38&lt;T38,"LOW - ON ORDER",IF(AND(S38&lt;&gt;"",N(S38)&gt;Settings!$B$5),"SLOW MOVER","OK"))))))</f>
        <v>OK</v>
      </c>
      <c r="W38" s="18"/>
      <c r="X38" s="33" t="n">
        <f aca="false">IF(OR(D38="End of range",U38=""),0,IF(N(U38)&gt;0,U38+ROW()/1000000,0))</f>
        <v>0</v>
      </c>
    </row>
    <row r="39" customFormat="false" ht="14.25" hidden="false" customHeight="true" outlineLevel="0" collapsed="false">
      <c r="A39" s="18" t="s">
        <v>147</v>
      </c>
      <c r="B39" s="18" t="s">
        <v>148</v>
      </c>
      <c r="C39" s="18" t="s">
        <v>79</v>
      </c>
      <c r="D39" s="18" t="s">
        <v>80</v>
      </c>
      <c r="E39" s="19" t="n">
        <f aca="false">SUMIFS('CPT Count'!$D:$D,'CPT Count'!$A:$A,$A39)-SUMIFS('Weekly Sales'!$F:$F,'Weekly Sales'!$H:$H,$A39,'Weekly Sales'!$I:$I,"CPT")+SUMIFS(Transfers!$F:$F,Transfers!$C:$C,$A39,Transfers!$J:$J,"CPT")-SUMIFS(Transfers!$F:$F,Transfers!$C:$C,$A39,Transfers!$I:$I,"CPT",Transfers!$H:$H,"&lt;&gt;Y")+SUMIFS('Stock Received'!$I:$I,'Stock Received'!$E:$E,$A39,'Stock Received'!$L:$L,"CPT")</f>
        <v>2263.94</v>
      </c>
      <c r="F39" s="19" t="n">
        <f aca="false">SUMIFS('JHB Count'!$E:$E,'JHB Count'!$F:$F,$A39)-SUMIFS('Weekly Sales'!$F:$F,'Weekly Sales'!$H:$H,$A39,'Weekly Sales'!$I:$I,"JHB")+SUMIFS(Transfers!$F:$F,Transfers!$C:$C,$A39,Transfers!$J:$J,"JHB")-SUMIFS(Transfers!$F:$F,Transfers!$C:$C,$A39,Transfers!$I:$I,"JHB",Transfers!$H:$H,"&lt;&gt;Y")+SUMIFS('Stock Received'!$I:$I,'Stock Received'!$E:$E,$A39,'Stock Received'!$L:$L,"JHB")</f>
        <v>0</v>
      </c>
      <c r="G39" s="19" t="n">
        <f aca="false">SUMIFS('DBN Count'!$D:$D,'DBN Count'!$E:$E,$A39)-SUMIFS('Weekly Sales'!$F:$F,'Weekly Sales'!$H:$H,$A39,'Weekly Sales'!$I:$I,"DBN")+SUMIFS(Transfers!$F:$F,Transfers!$C:$C,$A39,Transfers!$J:$J,"DBN")-SUMIFS(Transfers!$F:$F,Transfers!$C:$C,$A39,Transfers!$I:$I,"DBN",Transfers!$H:$H,"&lt;&gt;Y")+SUMIFS('Stock Received'!$I:$I,'Stock Received'!$E:$E,$A39,'Stock Received'!$L:$L,"DBN")</f>
        <v>0</v>
      </c>
      <c r="H39" s="29" t="n">
        <f aca="false">E39+F39+G39</f>
        <v>2263.94</v>
      </c>
      <c r="I39" s="19" t="n">
        <f aca="false">SUMIFS('Weekly Sales'!$F:$F,'Weekly Sales'!$H:$H,$A39)</f>
        <v>41.58</v>
      </c>
      <c r="J39" s="19" t="n">
        <f aca="false">SUMIFS(Orders!$L:$L,Orders!$D:$D,$A39,Orders!$F:$F,"&gt;="&amp;J$4,Orders!$F:$F,"&lt;"&amp;EDATE(J$4,1))</f>
        <v>0</v>
      </c>
      <c r="K39" s="19" t="n">
        <f aca="false">SUMIFS(Orders!$L:$L,Orders!$D:$D,$A39,Orders!$F:$F,"&gt;="&amp;K$4,Orders!$F:$F,"&lt;"&amp;EDATE(K$4,1))</f>
        <v>0</v>
      </c>
      <c r="L39" s="19" t="n">
        <f aca="false">SUMIFS(Orders!$L:$L,Orders!$D:$D,$A39,Orders!$F:$F,"&gt;="&amp;L$4,Orders!$F:$F,"&lt;"&amp;EDATE(L$4,1))</f>
        <v>0</v>
      </c>
      <c r="M39" s="19" t="n">
        <f aca="false">N39-J39-K39-L39</f>
        <v>0</v>
      </c>
      <c r="N39" s="19" t="n">
        <f aca="false">SUMIFS(Orders!$L:$L,Orders!$D:$D,$A39)</f>
        <v>0</v>
      </c>
      <c r="O39" s="19" t="n">
        <f aca="false">H39+N39</f>
        <v>2263.94</v>
      </c>
      <c r="P39" s="30" t="n">
        <v>620</v>
      </c>
      <c r="Q39" s="19" t="n">
        <f aca="false">IF(SUMIFS('Sales History'!$E:$E,'Sales History'!$G:$G,$A39)&gt;0,SUMIFS('Sales History'!$E:$E,'Sales History'!$G:$G,$A39)/Settings!$B$4,N(P39))</f>
        <v>620</v>
      </c>
      <c r="R39" s="18" t="str">
        <f aca="false">IF(SUMIFS('Sales History'!$E:$E,'Sales History'!$G:$G,$A39)&gt;0,"6-month history",IF(N(P39)&gt;0,"Current sheet","No sales data"))</f>
        <v>Current sheet</v>
      </c>
      <c r="S39" s="31" t="n">
        <f aca="false">IF(Q39&gt;0,H39/Q39,"")</f>
        <v>3.65151612903226</v>
      </c>
      <c r="T39" s="30" t="n">
        <v>750</v>
      </c>
      <c r="U39" s="19" t="n">
        <f aca="false">IF(T39="","",MAX(0,T39-O39))</f>
        <v>0</v>
      </c>
      <c r="V39" s="32" t="str">
        <f aca="false">IF(D39="End of range","END OF RANGE",IF(T39="","NO BUFFER SET",IF(H39&lt;=0,IF(O39&lt;T39,"OUT - REORDER","OUT - ON ORDER"),IF(O39&lt;T39,"REORDER",IF(H39&lt;T39,"LOW - ON ORDER",IF(AND(S39&lt;&gt;"",N(S39)&gt;Settings!$B$5),"SLOW MOVER","OK"))))))</f>
        <v>OK</v>
      </c>
      <c r="W39" s="18"/>
      <c r="X39" s="33" t="n">
        <f aca="false">IF(OR(D39="End of range",U39=""),0,IF(N(U39)&gt;0,U39+ROW()/1000000,0))</f>
        <v>0</v>
      </c>
    </row>
    <row r="40" customFormat="false" ht="14.25" hidden="false" customHeight="true" outlineLevel="0" collapsed="false">
      <c r="A40" s="18" t="s">
        <v>149</v>
      </c>
      <c r="B40" s="18" t="s">
        <v>150</v>
      </c>
      <c r="C40" s="18" t="s">
        <v>79</v>
      </c>
      <c r="D40" s="18" t="s">
        <v>80</v>
      </c>
      <c r="E40" s="19" t="n">
        <f aca="false">SUMIFS('CPT Count'!$D:$D,'CPT Count'!$A:$A,$A40)-SUMIFS('Weekly Sales'!$F:$F,'Weekly Sales'!$H:$H,$A40,'Weekly Sales'!$I:$I,"CPT")+SUMIFS(Transfers!$F:$F,Transfers!$C:$C,$A40,Transfers!$J:$J,"CPT")-SUMIFS(Transfers!$F:$F,Transfers!$C:$C,$A40,Transfers!$I:$I,"CPT",Transfers!$H:$H,"&lt;&gt;Y")+SUMIFS('Stock Received'!$I:$I,'Stock Received'!$E:$E,$A40,'Stock Received'!$L:$L,"CPT")</f>
        <v>300</v>
      </c>
      <c r="F40" s="19" t="n">
        <f aca="false">SUMIFS('JHB Count'!$E:$E,'JHB Count'!$F:$F,$A40)-SUMIFS('Weekly Sales'!$F:$F,'Weekly Sales'!$H:$H,$A40,'Weekly Sales'!$I:$I,"JHB")+SUMIFS(Transfers!$F:$F,Transfers!$C:$C,$A40,Transfers!$J:$J,"JHB")-SUMIFS(Transfers!$F:$F,Transfers!$C:$C,$A40,Transfers!$I:$I,"JHB",Transfers!$H:$H,"&lt;&gt;Y")+SUMIFS('Stock Received'!$I:$I,'Stock Received'!$E:$E,$A40,'Stock Received'!$L:$L,"JHB")</f>
        <v>72</v>
      </c>
      <c r="G40" s="19" t="n">
        <f aca="false">SUMIFS('DBN Count'!$D:$D,'DBN Count'!$E:$E,$A40)-SUMIFS('Weekly Sales'!$F:$F,'Weekly Sales'!$H:$H,$A40,'Weekly Sales'!$I:$I,"DBN")+SUMIFS(Transfers!$F:$F,Transfers!$C:$C,$A40,Transfers!$J:$J,"DBN")-SUMIFS(Transfers!$F:$F,Transfers!$C:$C,$A40,Transfers!$I:$I,"DBN",Transfers!$H:$H,"&lt;&gt;Y")+SUMIFS('Stock Received'!$I:$I,'Stock Received'!$E:$E,$A40,'Stock Received'!$L:$L,"DBN")</f>
        <v>52.54</v>
      </c>
      <c r="H40" s="29" t="n">
        <f aca="false">E40+F40+G40</f>
        <v>424.54</v>
      </c>
      <c r="I40" s="19" t="n">
        <f aca="false">SUMIFS('Weekly Sales'!$F:$F,'Weekly Sales'!$H:$H,$A40)</f>
        <v>0</v>
      </c>
      <c r="J40" s="19" t="n">
        <f aca="false">SUMIFS(Orders!$L:$L,Orders!$D:$D,$A40,Orders!$F:$F,"&gt;="&amp;J$4,Orders!$F:$F,"&lt;"&amp;EDATE(J$4,1))</f>
        <v>0</v>
      </c>
      <c r="K40" s="19" t="n">
        <f aca="false">SUMIFS(Orders!$L:$L,Orders!$D:$D,$A40,Orders!$F:$F,"&gt;="&amp;K$4,Orders!$F:$F,"&lt;"&amp;EDATE(K$4,1))</f>
        <v>0</v>
      </c>
      <c r="L40" s="19" t="n">
        <f aca="false">SUMIFS(Orders!$L:$L,Orders!$D:$D,$A40,Orders!$F:$F,"&gt;="&amp;L$4,Orders!$F:$F,"&lt;"&amp;EDATE(L$4,1))</f>
        <v>0</v>
      </c>
      <c r="M40" s="19" t="n">
        <f aca="false">N40-J40-K40-L40</f>
        <v>0</v>
      </c>
      <c r="N40" s="19" t="n">
        <f aca="false">SUMIFS(Orders!$L:$L,Orders!$D:$D,$A40)</f>
        <v>0</v>
      </c>
      <c r="O40" s="19" t="n">
        <f aca="false">H40+N40</f>
        <v>424.54</v>
      </c>
      <c r="P40" s="30" t="n">
        <v>50</v>
      </c>
      <c r="Q40" s="19" t="n">
        <f aca="false">IF(SUMIFS('Sales History'!$E:$E,'Sales History'!$G:$G,$A40)&gt;0,SUMIFS('Sales History'!$E:$E,'Sales History'!$G:$G,$A40)/Settings!$B$4,N(P40))</f>
        <v>50</v>
      </c>
      <c r="R40" s="18" t="str">
        <f aca="false">IF(SUMIFS('Sales History'!$E:$E,'Sales History'!$G:$G,$A40)&gt;0,"6-month history",IF(N(P40)&gt;0,"Current sheet","No sales data"))</f>
        <v>Current sheet</v>
      </c>
      <c r="S40" s="31" t="n">
        <f aca="false">IF(Q40&gt;0,H40/Q40,"")</f>
        <v>8.4908</v>
      </c>
      <c r="T40" s="30" t="n">
        <v>200</v>
      </c>
      <c r="U40" s="19" t="n">
        <f aca="false">IF(T40="","",MAX(0,T40-O40))</f>
        <v>0</v>
      </c>
      <c r="V40" s="32" t="str">
        <f aca="false">IF(D40="End of range","END OF RANGE",IF(T40="","NO BUFFER SET",IF(H40&lt;=0,IF(O40&lt;T40,"OUT - REORDER","OUT - ON ORDER"),IF(O40&lt;T40,"REORDER",IF(H40&lt;T40,"LOW - ON ORDER",IF(AND(S40&lt;&gt;"",N(S40)&gt;Settings!$B$5),"SLOW MOVER","OK"))))))</f>
        <v>OK</v>
      </c>
      <c r="W40" s="18"/>
      <c r="X40" s="33" t="n">
        <f aca="false">IF(OR(D40="End of range",U40=""),0,IF(N(U40)&gt;0,U40+ROW()/1000000,0))</f>
        <v>0</v>
      </c>
    </row>
    <row r="41" customFormat="false" ht="14.25" hidden="false" customHeight="true" outlineLevel="0" collapsed="false">
      <c r="A41" s="18" t="s">
        <v>151</v>
      </c>
      <c r="B41" s="18" t="s">
        <v>152</v>
      </c>
      <c r="C41" s="18" t="s">
        <v>79</v>
      </c>
      <c r="D41" s="18" t="s">
        <v>80</v>
      </c>
      <c r="E41" s="19" t="n">
        <f aca="false">SUMIFS('CPT Count'!$D:$D,'CPT Count'!$A:$A,$A41)-SUMIFS('Weekly Sales'!$F:$F,'Weekly Sales'!$H:$H,$A41,'Weekly Sales'!$I:$I,"CPT")+SUMIFS(Transfers!$F:$F,Transfers!$C:$C,$A41,Transfers!$J:$J,"CPT")-SUMIFS(Transfers!$F:$F,Transfers!$C:$C,$A41,Transfers!$I:$I,"CPT",Transfers!$H:$H,"&lt;&gt;Y")+SUMIFS('Stock Received'!$I:$I,'Stock Received'!$E:$E,$A41,'Stock Received'!$L:$L,"CPT")</f>
        <v>422</v>
      </c>
      <c r="F41" s="19" t="n">
        <f aca="false">SUMIFS('JHB Count'!$E:$E,'JHB Count'!$F:$F,$A41)-SUMIFS('Weekly Sales'!$F:$F,'Weekly Sales'!$H:$H,$A41,'Weekly Sales'!$I:$I,"JHB")+SUMIFS(Transfers!$F:$F,Transfers!$C:$C,$A41,Transfers!$J:$J,"JHB")-SUMIFS(Transfers!$F:$F,Transfers!$C:$C,$A41,Transfers!$I:$I,"JHB",Transfers!$H:$H,"&lt;&gt;Y")+SUMIFS('Stock Received'!$I:$I,'Stock Received'!$E:$E,$A41,'Stock Received'!$L:$L,"JHB")</f>
        <v>68.66</v>
      </c>
      <c r="G41" s="19" t="n">
        <f aca="false">SUMIFS('DBN Count'!$D:$D,'DBN Count'!$E:$E,$A41)-SUMIFS('Weekly Sales'!$F:$F,'Weekly Sales'!$H:$H,$A41,'Weekly Sales'!$I:$I,"DBN")+SUMIFS(Transfers!$F:$F,Transfers!$C:$C,$A41,Transfers!$J:$J,"DBN")-SUMIFS(Transfers!$F:$F,Transfers!$C:$C,$A41,Transfers!$I:$I,"DBN",Transfers!$H:$H,"&lt;&gt;Y")+SUMIFS('Stock Received'!$I:$I,'Stock Received'!$E:$E,$A41,'Stock Received'!$L:$L,"DBN")</f>
        <v>50.92</v>
      </c>
      <c r="H41" s="29" t="n">
        <f aca="false">E41+F41+G41</f>
        <v>541.58</v>
      </c>
      <c r="I41" s="19" t="n">
        <f aca="false">SUMIFS('Weekly Sales'!$F:$F,'Weekly Sales'!$H:$H,$A41)</f>
        <v>23.34</v>
      </c>
      <c r="J41" s="19" t="n">
        <f aca="false">SUMIFS(Orders!$L:$L,Orders!$D:$D,$A41,Orders!$F:$F,"&gt;="&amp;J$4,Orders!$F:$F,"&lt;"&amp;EDATE(J$4,1))</f>
        <v>0</v>
      </c>
      <c r="K41" s="19" t="n">
        <f aca="false">SUMIFS(Orders!$L:$L,Orders!$D:$D,$A41,Orders!$F:$F,"&gt;="&amp;K$4,Orders!$F:$F,"&lt;"&amp;EDATE(K$4,1))</f>
        <v>0</v>
      </c>
      <c r="L41" s="19" t="n">
        <f aca="false">SUMIFS(Orders!$L:$L,Orders!$D:$D,$A41,Orders!$F:$F,"&gt;="&amp;L$4,Orders!$F:$F,"&lt;"&amp;EDATE(L$4,1))</f>
        <v>0</v>
      </c>
      <c r="M41" s="19" t="n">
        <f aca="false">N41-J41-K41-L41</f>
        <v>0</v>
      </c>
      <c r="N41" s="19" t="n">
        <f aca="false">SUMIFS(Orders!$L:$L,Orders!$D:$D,$A41)</f>
        <v>0</v>
      </c>
      <c r="O41" s="19" t="n">
        <f aca="false">H41+N41</f>
        <v>541.58</v>
      </c>
      <c r="P41" s="30" t="n">
        <v>105</v>
      </c>
      <c r="Q41" s="19" t="n">
        <f aca="false">IF(SUMIFS('Sales History'!$E:$E,'Sales History'!$G:$G,$A41)&gt;0,SUMIFS('Sales History'!$E:$E,'Sales History'!$G:$G,$A41)/Settings!$B$4,N(P41))</f>
        <v>105</v>
      </c>
      <c r="R41" s="18" t="str">
        <f aca="false">IF(SUMIFS('Sales History'!$E:$E,'Sales History'!$G:$G,$A41)&gt;0,"6-month history",IF(N(P41)&gt;0,"Current sheet","No sales data"))</f>
        <v>Current sheet</v>
      </c>
      <c r="S41" s="31" t="n">
        <f aca="false">IF(Q41&gt;0,H41/Q41,"")</f>
        <v>5.15790476190476</v>
      </c>
      <c r="T41" s="30" t="n">
        <v>200</v>
      </c>
      <c r="U41" s="19" t="n">
        <f aca="false">IF(T41="","",MAX(0,T41-O41))</f>
        <v>0</v>
      </c>
      <c r="V41" s="32" t="str">
        <f aca="false">IF(D41="End of range","END OF RANGE",IF(T41="","NO BUFFER SET",IF(H41&lt;=0,IF(O41&lt;T41,"OUT - REORDER","OUT - ON ORDER"),IF(O41&lt;T41,"REORDER",IF(H41&lt;T41,"LOW - ON ORDER",IF(AND(S41&lt;&gt;"",N(S41)&gt;Settings!$B$5),"SLOW MOVER","OK"))))))</f>
        <v>OK</v>
      </c>
      <c r="W41" s="18"/>
      <c r="X41" s="33" t="n">
        <f aca="false">IF(OR(D41="End of range",U41=""),0,IF(N(U41)&gt;0,U41+ROW()/1000000,0))</f>
        <v>0</v>
      </c>
    </row>
    <row r="42" customFormat="false" ht="14.25" hidden="false" customHeight="true" outlineLevel="0" collapsed="false">
      <c r="A42" s="18" t="s">
        <v>153</v>
      </c>
      <c r="B42" s="18" t="s">
        <v>154</v>
      </c>
      <c r="C42" s="18" t="s">
        <v>79</v>
      </c>
      <c r="D42" s="18" t="s">
        <v>80</v>
      </c>
      <c r="E42" s="19" t="n">
        <f aca="false">SUMIFS('CPT Count'!$D:$D,'CPT Count'!$A:$A,$A42)-SUMIFS('Weekly Sales'!$F:$F,'Weekly Sales'!$H:$H,$A42,'Weekly Sales'!$I:$I,"CPT")+SUMIFS(Transfers!$F:$F,Transfers!$C:$C,$A42,Transfers!$J:$J,"CPT")-SUMIFS(Transfers!$F:$F,Transfers!$C:$C,$A42,Transfers!$I:$I,"CPT",Transfers!$H:$H,"&lt;&gt;Y")+SUMIFS('Stock Received'!$I:$I,'Stock Received'!$E:$E,$A42,'Stock Received'!$L:$L,"CPT")</f>
        <v>331.82</v>
      </c>
      <c r="F42" s="19" t="n">
        <f aca="false">SUMIFS('JHB Count'!$E:$E,'JHB Count'!$F:$F,$A42)-SUMIFS('Weekly Sales'!$F:$F,'Weekly Sales'!$H:$H,$A42,'Weekly Sales'!$I:$I,"JHB")+SUMIFS(Transfers!$F:$F,Transfers!$C:$C,$A42,Transfers!$J:$J,"JHB")-SUMIFS(Transfers!$F:$F,Transfers!$C:$C,$A42,Transfers!$I:$I,"JHB",Transfers!$H:$H,"&lt;&gt;Y")+SUMIFS('Stock Received'!$I:$I,'Stock Received'!$E:$E,$A42,'Stock Received'!$L:$L,"JHB")</f>
        <v>64</v>
      </c>
      <c r="G42" s="19" t="n">
        <f aca="false">SUMIFS('DBN Count'!$D:$D,'DBN Count'!$E:$E,$A42)-SUMIFS('Weekly Sales'!$F:$F,'Weekly Sales'!$H:$H,$A42,'Weekly Sales'!$I:$I,"DBN")+SUMIFS(Transfers!$F:$F,Transfers!$C:$C,$A42,Transfers!$J:$J,"DBN")-SUMIFS(Transfers!$F:$F,Transfers!$C:$C,$A42,Transfers!$I:$I,"DBN",Transfers!$H:$H,"&lt;&gt;Y")+SUMIFS('Stock Received'!$I:$I,'Stock Received'!$E:$E,$A42,'Stock Received'!$L:$L,"DBN")</f>
        <v>0</v>
      </c>
      <c r="H42" s="29" t="n">
        <f aca="false">E42+F42+G42</f>
        <v>395.82</v>
      </c>
      <c r="I42" s="19" t="n">
        <f aca="false">SUMIFS('Weekly Sales'!$F:$F,'Weekly Sales'!$H:$H,$A42)</f>
        <v>4.18</v>
      </c>
      <c r="J42" s="19" t="n">
        <f aca="false">SUMIFS(Orders!$L:$L,Orders!$D:$D,$A42,Orders!$F:$F,"&gt;="&amp;J$4,Orders!$F:$F,"&lt;"&amp;EDATE(J$4,1))</f>
        <v>0</v>
      </c>
      <c r="K42" s="19" t="n">
        <f aca="false">SUMIFS(Orders!$L:$L,Orders!$D:$D,$A42,Orders!$F:$F,"&gt;="&amp;K$4,Orders!$F:$F,"&lt;"&amp;EDATE(K$4,1))</f>
        <v>0</v>
      </c>
      <c r="L42" s="19" t="n">
        <f aca="false">SUMIFS(Orders!$L:$L,Orders!$D:$D,$A42,Orders!$F:$F,"&gt;="&amp;L$4,Orders!$F:$F,"&lt;"&amp;EDATE(L$4,1))</f>
        <v>0</v>
      </c>
      <c r="M42" s="19" t="n">
        <f aca="false">N42-J42-K42-L42</f>
        <v>0</v>
      </c>
      <c r="N42" s="19" t="n">
        <f aca="false">SUMIFS(Orders!$L:$L,Orders!$D:$D,$A42)</f>
        <v>0</v>
      </c>
      <c r="O42" s="19" t="n">
        <f aca="false">H42+N42</f>
        <v>395.82</v>
      </c>
      <c r="P42" s="30" t="n">
        <v>15</v>
      </c>
      <c r="Q42" s="19" t="n">
        <f aca="false">IF(SUMIFS('Sales History'!$E:$E,'Sales History'!$G:$G,$A42)&gt;0,SUMIFS('Sales History'!$E:$E,'Sales History'!$G:$G,$A42)/Settings!$B$4,N(P42))</f>
        <v>15</v>
      </c>
      <c r="R42" s="18" t="str">
        <f aca="false">IF(SUMIFS('Sales History'!$E:$E,'Sales History'!$G:$G,$A42)&gt;0,"6-month history",IF(N(P42)&gt;0,"Current sheet","No sales data"))</f>
        <v>Current sheet</v>
      </c>
      <c r="S42" s="31" t="n">
        <f aca="false">IF(Q42&gt;0,H42/Q42,"")</f>
        <v>26.388</v>
      </c>
      <c r="T42" s="30" t="n">
        <v>200</v>
      </c>
      <c r="U42" s="19" t="n">
        <f aca="false">IF(T42="","",MAX(0,T42-O42))</f>
        <v>0</v>
      </c>
      <c r="V42" s="32" t="str">
        <f aca="false">IF(D42="End of range","END OF RANGE",IF(T42="","NO BUFFER SET",IF(H42&lt;=0,IF(O42&lt;T42,"OUT - REORDER","OUT - ON ORDER"),IF(O42&lt;T42,"REORDER",IF(H42&lt;T42,"LOW - ON ORDER",IF(AND(S42&lt;&gt;"",N(S42)&gt;Settings!$B$5),"SLOW MOVER","OK"))))))</f>
        <v>SLOW MOVER</v>
      </c>
      <c r="W42" s="18"/>
      <c r="X42" s="33" t="n">
        <f aca="false">IF(OR(D42="End of range",U42=""),0,IF(N(U42)&gt;0,U42+ROW()/1000000,0))</f>
        <v>0</v>
      </c>
    </row>
    <row r="43" customFormat="false" ht="14.25" hidden="false" customHeight="true" outlineLevel="0" collapsed="false">
      <c r="A43" s="18" t="s">
        <v>155</v>
      </c>
      <c r="B43" s="18" t="s">
        <v>156</v>
      </c>
      <c r="C43" s="18" t="s">
        <v>79</v>
      </c>
      <c r="D43" s="18" t="s">
        <v>80</v>
      </c>
      <c r="E43" s="19" t="n">
        <f aca="false">SUMIFS('CPT Count'!$D:$D,'CPT Count'!$A:$A,$A43)-SUMIFS('Weekly Sales'!$F:$F,'Weekly Sales'!$H:$H,$A43,'Weekly Sales'!$I:$I,"CPT")+SUMIFS(Transfers!$F:$F,Transfers!$C:$C,$A43,Transfers!$J:$J,"CPT")-SUMIFS(Transfers!$F:$F,Transfers!$C:$C,$A43,Transfers!$I:$I,"CPT",Transfers!$H:$H,"&lt;&gt;Y")+SUMIFS('Stock Received'!$I:$I,'Stock Received'!$E:$E,$A43,'Stock Received'!$L:$L,"CPT")</f>
        <v>203.9</v>
      </c>
      <c r="F43" s="19" t="n">
        <f aca="false">SUMIFS('JHB Count'!$E:$E,'JHB Count'!$F:$F,$A43)-SUMIFS('Weekly Sales'!$F:$F,'Weekly Sales'!$H:$H,$A43,'Weekly Sales'!$I:$I,"JHB")+SUMIFS(Transfers!$F:$F,Transfers!$C:$C,$A43,Transfers!$J:$J,"JHB")-SUMIFS(Transfers!$F:$F,Transfers!$C:$C,$A43,Transfers!$I:$I,"JHB",Transfers!$H:$H,"&lt;&gt;Y")+SUMIFS('Stock Received'!$I:$I,'Stock Received'!$E:$E,$A43,'Stock Received'!$L:$L,"JHB")</f>
        <v>56.04</v>
      </c>
      <c r="G43" s="19" t="n">
        <f aca="false">SUMIFS('DBN Count'!$D:$D,'DBN Count'!$E:$E,$A43)-SUMIFS('Weekly Sales'!$F:$F,'Weekly Sales'!$H:$H,$A43,'Weekly Sales'!$I:$I,"DBN")+SUMIFS(Transfers!$F:$F,Transfers!$C:$C,$A43,Transfers!$J:$J,"DBN")-SUMIFS(Transfers!$F:$F,Transfers!$C:$C,$A43,Transfers!$I:$I,"DBN",Transfers!$H:$H,"&lt;&gt;Y")+SUMIFS('Stock Received'!$I:$I,'Stock Received'!$E:$E,$A43,'Stock Received'!$L:$L,"DBN")</f>
        <v>23.95</v>
      </c>
      <c r="H43" s="29" t="n">
        <f aca="false">E43+F43+G43</f>
        <v>283.89</v>
      </c>
      <c r="I43" s="19" t="n">
        <f aca="false">SUMIFS('Weekly Sales'!$F:$F,'Weekly Sales'!$H:$H,$A43)</f>
        <v>8.06</v>
      </c>
      <c r="J43" s="19" t="n">
        <f aca="false">SUMIFS(Orders!$L:$L,Orders!$D:$D,$A43,Orders!$F:$F,"&gt;="&amp;J$4,Orders!$F:$F,"&lt;"&amp;EDATE(J$4,1))</f>
        <v>0</v>
      </c>
      <c r="K43" s="19" t="n">
        <f aca="false">SUMIFS(Orders!$L:$L,Orders!$D:$D,$A43,Orders!$F:$F,"&gt;="&amp;K$4,Orders!$F:$F,"&lt;"&amp;EDATE(K$4,1))</f>
        <v>0</v>
      </c>
      <c r="L43" s="19" t="n">
        <f aca="false">SUMIFS(Orders!$L:$L,Orders!$D:$D,$A43,Orders!$F:$F,"&gt;="&amp;L$4,Orders!$F:$F,"&lt;"&amp;EDATE(L$4,1))</f>
        <v>0</v>
      </c>
      <c r="M43" s="19" t="n">
        <f aca="false">N43-J43-K43-L43</f>
        <v>0</v>
      </c>
      <c r="N43" s="19" t="n">
        <f aca="false">SUMIFS(Orders!$L:$L,Orders!$D:$D,$A43)</f>
        <v>0</v>
      </c>
      <c r="O43" s="19" t="n">
        <f aca="false">H43+N43</f>
        <v>283.89</v>
      </c>
      <c r="P43" s="30" t="n">
        <v>30</v>
      </c>
      <c r="Q43" s="19" t="n">
        <f aca="false">IF(SUMIFS('Sales History'!$E:$E,'Sales History'!$G:$G,$A43)&gt;0,SUMIFS('Sales History'!$E:$E,'Sales History'!$G:$G,$A43)/Settings!$B$4,N(P43))</f>
        <v>30</v>
      </c>
      <c r="R43" s="18" t="str">
        <f aca="false">IF(SUMIFS('Sales History'!$E:$E,'Sales History'!$G:$G,$A43)&gt;0,"6-month history",IF(N(P43)&gt;0,"Current sheet","No sales data"))</f>
        <v>Current sheet</v>
      </c>
      <c r="S43" s="31" t="n">
        <f aca="false">IF(Q43&gt;0,H43/Q43,"")</f>
        <v>9.463</v>
      </c>
      <c r="T43" s="30" t="n">
        <v>200</v>
      </c>
      <c r="U43" s="19" t="n">
        <f aca="false">IF(T43="","",MAX(0,T43-O43))</f>
        <v>0</v>
      </c>
      <c r="V43" s="32" t="str">
        <f aca="false">IF(D43="End of range","END OF RANGE",IF(T43="","NO BUFFER SET",IF(H43&lt;=0,IF(O43&lt;T43,"OUT - REORDER","OUT - ON ORDER"),IF(O43&lt;T43,"REORDER",IF(H43&lt;T43,"LOW - ON ORDER",IF(AND(S43&lt;&gt;"",N(S43)&gt;Settings!$B$5),"SLOW MOVER","OK"))))))</f>
        <v>OK</v>
      </c>
      <c r="W43" s="18"/>
      <c r="X43" s="33" t="n">
        <f aca="false">IF(OR(D43="End of range",U43=""),0,IF(N(U43)&gt;0,U43+ROW()/1000000,0))</f>
        <v>0</v>
      </c>
    </row>
    <row r="44" customFormat="false" ht="14.25" hidden="false" customHeight="true" outlineLevel="0" collapsed="false">
      <c r="A44" s="18" t="s">
        <v>157</v>
      </c>
      <c r="B44" s="18" t="s">
        <v>158</v>
      </c>
      <c r="C44" s="18" t="s">
        <v>79</v>
      </c>
      <c r="D44" s="18" t="s">
        <v>80</v>
      </c>
      <c r="E44" s="19" t="n">
        <f aca="false">SUMIFS('CPT Count'!$D:$D,'CPT Count'!$A:$A,$A44)-SUMIFS('Weekly Sales'!$F:$F,'Weekly Sales'!$H:$H,$A44,'Weekly Sales'!$I:$I,"CPT")+SUMIFS(Transfers!$F:$F,Transfers!$C:$C,$A44,Transfers!$J:$J,"CPT")-SUMIFS(Transfers!$F:$F,Transfers!$C:$C,$A44,Transfers!$I:$I,"CPT",Transfers!$H:$H,"&lt;&gt;Y")+SUMIFS('Stock Received'!$I:$I,'Stock Received'!$E:$E,$A44,'Stock Received'!$L:$L,"CPT")</f>
        <v>8</v>
      </c>
      <c r="F44" s="19" t="n">
        <f aca="false">SUMIFS('JHB Count'!$E:$E,'JHB Count'!$F:$F,$A44)-SUMIFS('Weekly Sales'!$F:$F,'Weekly Sales'!$H:$H,$A44,'Weekly Sales'!$I:$I,"JHB")+SUMIFS(Transfers!$F:$F,Transfers!$C:$C,$A44,Transfers!$J:$J,"JHB")-SUMIFS(Transfers!$F:$F,Transfers!$C:$C,$A44,Transfers!$I:$I,"JHB",Transfers!$H:$H,"&lt;&gt;Y")+SUMIFS('Stock Received'!$I:$I,'Stock Received'!$E:$E,$A44,'Stock Received'!$L:$L,"JHB")</f>
        <v>116.54</v>
      </c>
      <c r="G44" s="19" t="n">
        <f aca="false">SUMIFS('DBN Count'!$D:$D,'DBN Count'!$E:$E,$A44)-SUMIFS('Weekly Sales'!$F:$F,'Weekly Sales'!$H:$H,$A44,'Weekly Sales'!$I:$I,"DBN")+SUMIFS(Transfers!$F:$F,Transfers!$C:$C,$A44,Transfers!$J:$J,"DBN")-SUMIFS(Transfers!$F:$F,Transfers!$C:$C,$A44,Transfers!$I:$I,"DBN",Transfers!$H:$H,"&lt;&gt;Y")+SUMIFS('Stock Received'!$I:$I,'Stock Received'!$E:$E,$A44,'Stock Received'!$L:$L,"DBN")</f>
        <v>0</v>
      </c>
      <c r="H44" s="29" t="n">
        <f aca="false">E44+F44+G44</f>
        <v>124.54</v>
      </c>
      <c r="I44" s="19" t="n">
        <f aca="false">SUMIFS('Weekly Sales'!$F:$F,'Weekly Sales'!$H:$H,$A44)</f>
        <v>3.46</v>
      </c>
      <c r="J44" s="19" t="n">
        <f aca="false">SUMIFS(Orders!$L:$L,Orders!$D:$D,$A44,Orders!$F:$F,"&gt;="&amp;J$4,Orders!$F:$F,"&lt;"&amp;EDATE(J$4,1))</f>
        <v>300</v>
      </c>
      <c r="K44" s="19" t="n">
        <f aca="false">SUMIFS(Orders!$L:$L,Orders!$D:$D,$A44,Orders!$F:$F,"&gt;="&amp;K$4,Orders!$F:$F,"&lt;"&amp;EDATE(K$4,1))</f>
        <v>0</v>
      </c>
      <c r="L44" s="19" t="n">
        <f aca="false">SUMIFS(Orders!$L:$L,Orders!$D:$D,$A44,Orders!$F:$F,"&gt;="&amp;L$4,Orders!$F:$F,"&lt;"&amp;EDATE(L$4,1))</f>
        <v>0</v>
      </c>
      <c r="M44" s="19" t="n">
        <f aca="false">N44-J44-K44-L44</f>
        <v>0</v>
      </c>
      <c r="N44" s="19" t="n">
        <f aca="false">SUMIFS(Orders!$L:$L,Orders!$D:$D,$A44)</f>
        <v>300</v>
      </c>
      <c r="O44" s="19" t="n">
        <f aca="false">H44+N44</f>
        <v>424.54</v>
      </c>
      <c r="P44" s="30"/>
      <c r="Q44" s="19" t="n">
        <f aca="false">IF(SUMIFS('Sales History'!$E:$E,'Sales History'!$G:$G,$A44)&gt;0,SUMIFS('Sales History'!$E:$E,'Sales History'!$G:$G,$A44)/Settings!$B$4,N(P44))</f>
        <v>0</v>
      </c>
      <c r="R44" s="18" t="str">
        <f aca="false">IF(SUMIFS('Sales History'!$E:$E,'Sales History'!$G:$G,$A44)&gt;0,"6-month history",IF(N(P44)&gt;0,"Current sheet","No sales data"))</f>
        <v>No sales data</v>
      </c>
      <c r="S44" s="31" t="str">
        <f aca="false">IF(Q44&gt;0,H44/Q44,"")</f>
        <v/>
      </c>
      <c r="T44" s="30" t="n">
        <v>100</v>
      </c>
      <c r="U44" s="19" t="n">
        <f aca="false">IF(T44="","",MAX(0,T44-O44))</f>
        <v>0</v>
      </c>
      <c r="V44" s="32" t="str">
        <f aca="false">IF(D44="End of range","END OF RANGE",IF(T44="","NO BUFFER SET",IF(H44&lt;=0,IF(O44&lt;T44,"OUT - REORDER","OUT - ON ORDER"),IF(O44&lt;T44,"REORDER",IF(H44&lt;T44,"LOW - ON ORDER",IF(AND(S44&lt;&gt;"",N(S44)&gt;Settings!$B$5),"SLOW MOVER","OK"))))))</f>
        <v>OK</v>
      </c>
      <c r="W44" s="18"/>
      <c r="X44" s="33" t="n">
        <f aca="false">IF(OR(D44="End of range",U44=""),0,IF(N(U44)&gt;0,U44+ROW()/1000000,0))</f>
        <v>0</v>
      </c>
    </row>
    <row r="45" customFormat="false" ht="14.25" hidden="false" customHeight="true" outlineLevel="0" collapsed="false">
      <c r="A45" s="18" t="s">
        <v>159</v>
      </c>
      <c r="B45" s="18" t="s">
        <v>160</v>
      </c>
      <c r="C45" s="18" t="s">
        <v>79</v>
      </c>
      <c r="D45" s="18" t="s">
        <v>80</v>
      </c>
      <c r="E45" s="19" t="n">
        <f aca="false">SUMIFS('CPT Count'!$D:$D,'CPT Count'!$A:$A,$A45)-SUMIFS('Weekly Sales'!$F:$F,'Weekly Sales'!$H:$H,$A45,'Weekly Sales'!$I:$I,"CPT")+SUMIFS(Transfers!$F:$F,Transfers!$C:$C,$A45,Transfers!$J:$J,"CPT")-SUMIFS(Transfers!$F:$F,Transfers!$C:$C,$A45,Transfers!$I:$I,"CPT",Transfers!$H:$H,"&lt;&gt;Y")+SUMIFS('Stock Received'!$I:$I,'Stock Received'!$E:$E,$A45,'Stock Received'!$L:$L,"CPT")</f>
        <v>161.23</v>
      </c>
      <c r="F45" s="19" t="n">
        <f aca="false">SUMIFS('JHB Count'!$E:$E,'JHB Count'!$F:$F,$A45)-SUMIFS('Weekly Sales'!$F:$F,'Weekly Sales'!$H:$H,$A45,'Weekly Sales'!$I:$I,"JHB")+SUMIFS(Transfers!$F:$F,Transfers!$C:$C,$A45,Transfers!$J:$J,"JHB")-SUMIFS(Transfers!$F:$F,Transfers!$C:$C,$A45,Transfers!$I:$I,"JHB",Transfers!$H:$H,"&lt;&gt;Y")+SUMIFS('Stock Received'!$I:$I,'Stock Received'!$E:$E,$A45,'Stock Received'!$L:$L,"JHB")</f>
        <v>120</v>
      </c>
      <c r="G45" s="19" t="n">
        <f aca="false">SUMIFS('DBN Count'!$D:$D,'DBN Count'!$E:$E,$A45)-SUMIFS('Weekly Sales'!$F:$F,'Weekly Sales'!$H:$H,$A45,'Weekly Sales'!$I:$I,"DBN")+SUMIFS(Transfers!$F:$F,Transfers!$C:$C,$A45,Transfers!$J:$J,"DBN")-SUMIFS(Transfers!$F:$F,Transfers!$C:$C,$A45,Transfers!$I:$I,"DBN",Transfers!$H:$H,"&lt;&gt;Y")+SUMIFS('Stock Received'!$I:$I,'Stock Received'!$E:$E,$A45,'Stock Received'!$L:$L,"DBN")</f>
        <v>0</v>
      </c>
      <c r="H45" s="29" t="n">
        <f aca="false">E45+F45+G45</f>
        <v>281.23</v>
      </c>
      <c r="I45" s="19" t="n">
        <f aca="false">SUMIFS('Weekly Sales'!$F:$F,'Weekly Sales'!$H:$H,$A45)</f>
        <v>0</v>
      </c>
      <c r="J45" s="19" t="n">
        <f aca="false">SUMIFS(Orders!$L:$L,Orders!$D:$D,$A45,Orders!$F:$F,"&gt;="&amp;J$4,Orders!$F:$F,"&lt;"&amp;EDATE(J$4,1))</f>
        <v>0</v>
      </c>
      <c r="K45" s="19" t="n">
        <f aca="false">SUMIFS(Orders!$L:$L,Orders!$D:$D,$A45,Orders!$F:$F,"&gt;="&amp;K$4,Orders!$F:$F,"&lt;"&amp;EDATE(K$4,1))</f>
        <v>0</v>
      </c>
      <c r="L45" s="19" t="n">
        <f aca="false">SUMIFS(Orders!$L:$L,Orders!$D:$D,$A45,Orders!$F:$F,"&gt;="&amp;L$4,Orders!$F:$F,"&lt;"&amp;EDATE(L$4,1))</f>
        <v>0</v>
      </c>
      <c r="M45" s="19" t="n">
        <f aca="false">N45-J45-K45-L45</f>
        <v>0</v>
      </c>
      <c r="N45" s="19" t="n">
        <f aca="false">SUMIFS(Orders!$L:$L,Orders!$D:$D,$A45)</f>
        <v>0</v>
      </c>
      <c r="O45" s="19" t="n">
        <f aca="false">H45+N45</f>
        <v>281.23</v>
      </c>
      <c r="P45" s="30"/>
      <c r="Q45" s="19" t="n">
        <f aca="false">IF(SUMIFS('Sales History'!$E:$E,'Sales History'!$G:$G,$A45)&gt;0,SUMIFS('Sales History'!$E:$E,'Sales History'!$G:$G,$A45)/Settings!$B$4,N(P45))</f>
        <v>0</v>
      </c>
      <c r="R45" s="18" t="str">
        <f aca="false">IF(SUMIFS('Sales History'!$E:$E,'Sales History'!$G:$G,$A45)&gt;0,"6-month history",IF(N(P45)&gt;0,"Current sheet","No sales data"))</f>
        <v>No sales data</v>
      </c>
      <c r="S45" s="31" t="str">
        <f aca="false">IF(Q45&gt;0,H45/Q45,"")</f>
        <v/>
      </c>
      <c r="T45" s="30" t="n">
        <v>100</v>
      </c>
      <c r="U45" s="19" t="n">
        <f aca="false">IF(T45="","",MAX(0,T45-O45))</f>
        <v>0</v>
      </c>
      <c r="V45" s="32" t="str">
        <f aca="false">IF(D45="End of range","END OF RANGE",IF(T45="","NO BUFFER SET",IF(H45&lt;=0,IF(O45&lt;T45,"OUT - REORDER","OUT - ON ORDER"),IF(O45&lt;T45,"REORDER",IF(H45&lt;T45,"LOW - ON ORDER",IF(AND(S45&lt;&gt;"",N(S45)&gt;Settings!$B$5),"SLOW MOVER","OK"))))))</f>
        <v>OK</v>
      </c>
      <c r="W45" s="18"/>
      <c r="X45" s="33" t="n">
        <f aca="false">IF(OR(D45="End of range",U45=""),0,IF(N(U45)&gt;0,U45+ROW()/1000000,0))</f>
        <v>0</v>
      </c>
    </row>
    <row r="46" customFormat="false" ht="14.25" hidden="false" customHeight="true" outlineLevel="0" collapsed="false">
      <c r="A46" s="18" t="s">
        <v>161</v>
      </c>
      <c r="B46" s="18" t="s">
        <v>162</v>
      </c>
      <c r="C46" s="18" t="s">
        <v>79</v>
      </c>
      <c r="D46" s="18" t="s">
        <v>80</v>
      </c>
      <c r="E46" s="19" t="n">
        <f aca="false">SUMIFS('CPT Count'!$D:$D,'CPT Count'!$A:$A,$A46)-SUMIFS('Weekly Sales'!$F:$F,'Weekly Sales'!$H:$H,$A46,'Weekly Sales'!$I:$I,"CPT")+SUMIFS(Transfers!$F:$F,Transfers!$C:$C,$A46,Transfers!$J:$J,"CPT")-SUMIFS(Transfers!$F:$F,Transfers!$C:$C,$A46,Transfers!$I:$I,"CPT",Transfers!$H:$H,"&lt;&gt;Y")+SUMIFS('Stock Received'!$I:$I,'Stock Received'!$E:$E,$A46,'Stock Received'!$L:$L,"CPT")</f>
        <v>157.49</v>
      </c>
      <c r="F46" s="19" t="n">
        <f aca="false">SUMIFS('JHB Count'!$E:$E,'JHB Count'!$F:$F,$A46)-SUMIFS('Weekly Sales'!$F:$F,'Weekly Sales'!$H:$H,$A46,'Weekly Sales'!$I:$I,"JHB")+SUMIFS(Transfers!$F:$F,Transfers!$C:$C,$A46,Transfers!$J:$J,"JHB")-SUMIFS(Transfers!$F:$F,Transfers!$C:$C,$A46,Transfers!$I:$I,"JHB",Transfers!$H:$H,"&lt;&gt;Y")+SUMIFS('Stock Received'!$I:$I,'Stock Received'!$E:$E,$A46,'Stock Received'!$L:$L,"JHB")</f>
        <v>120</v>
      </c>
      <c r="G46" s="19" t="n">
        <f aca="false">SUMIFS('DBN Count'!$D:$D,'DBN Count'!$E:$E,$A46)-SUMIFS('Weekly Sales'!$F:$F,'Weekly Sales'!$H:$H,$A46,'Weekly Sales'!$I:$I,"DBN")+SUMIFS(Transfers!$F:$F,Transfers!$C:$C,$A46,Transfers!$J:$J,"DBN")-SUMIFS(Transfers!$F:$F,Transfers!$C:$C,$A46,Transfers!$I:$I,"DBN",Transfers!$H:$H,"&lt;&gt;Y")+SUMIFS('Stock Received'!$I:$I,'Stock Received'!$E:$E,$A46,'Stock Received'!$L:$L,"DBN")</f>
        <v>0</v>
      </c>
      <c r="H46" s="29" t="n">
        <f aca="false">E46+F46+G46</f>
        <v>277.49</v>
      </c>
      <c r="I46" s="19" t="n">
        <f aca="false">SUMIFS('Weekly Sales'!$F:$F,'Weekly Sales'!$H:$H,$A46)</f>
        <v>0</v>
      </c>
      <c r="J46" s="19" t="n">
        <f aca="false">SUMIFS(Orders!$L:$L,Orders!$D:$D,$A46,Orders!$F:$F,"&gt;="&amp;J$4,Orders!$F:$F,"&lt;"&amp;EDATE(J$4,1))</f>
        <v>0</v>
      </c>
      <c r="K46" s="19" t="n">
        <f aca="false">SUMIFS(Orders!$L:$L,Orders!$D:$D,$A46,Orders!$F:$F,"&gt;="&amp;K$4,Orders!$F:$F,"&lt;"&amp;EDATE(K$4,1))</f>
        <v>0</v>
      </c>
      <c r="L46" s="19" t="n">
        <f aca="false">SUMIFS(Orders!$L:$L,Orders!$D:$D,$A46,Orders!$F:$F,"&gt;="&amp;L$4,Orders!$F:$F,"&lt;"&amp;EDATE(L$4,1))</f>
        <v>0</v>
      </c>
      <c r="M46" s="19" t="n">
        <f aca="false">N46-J46-K46-L46</f>
        <v>0</v>
      </c>
      <c r="N46" s="19" t="n">
        <f aca="false">SUMIFS(Orders!$L:$L,Orders!$D:$D,$A46)</f>
        <v>0</v>
      </c>
      <c r="O46" s="19" t="n">
        <f aca="false">H46+N46</f>
        <v>277.49</v>
      </c>
      <c r="P46" s="30"/>
      <c r="Q46" s="19" t="n">
        <f aca="false">IF(SUMIFS('Sales History'!$E:$E,'Sales History'!$G:$G,$A46)&gt;0,SUMIFS('Sales History'!$E:$E,'Sales History'!$G:$G,$A46)/Settings!$B$4,N(P46))</f>
        <v>0</v>
      </c>
      <c r="R46" s="18" t="str">
        <f aca="false">IF(SUMIFS('Sales History'!$E:$E,'Sales History'!$G:$G,$A46)&gt;0,"6-month history",IF(N(P46)&gt;0,"Current sheet","No sales data"))</f>
        <v>No sales data</v>
      </c>
      <c r="S46" s="31" t="str">
        <f aca="false">IF(Q46&gt;0,H46/Q46,"")</f>
        <v/>
      </c>
      <c r="T46" s="30" t="n">
        <v>100</v>
      </c>
      <c r="U46" s="19" t="n">
        <f aca="false">IF(T46="","",MAX(0,T46-O46))</f>
        <v>0</v>
      </c>
      <c r="V46" s="32" t="str">
        <f aca="false">IF(D46="End of range","END OF RANGE",IF(T46="","NO BUFFER SET",IF(H46&lt;=0,IF(O46&lt;T46,"OUT - REORDER","OUT - ON ORDER"),IF(O46&lt;T46,"REORDER",IF(H46&lt;T46,"LOW - ON ORDER",IF(AND(S46&lt;&gt;"",N(S46)&gt;Settings!$B$5),"SLOW MOVER","OK"))))))</f>
        <v>OK</v>
      </c>
      <c r="W46" s="18"/>
      <c r="X46" s="33" t="n">
        <f aca="false">IF(OR(D46="End of range",U46=""),0,IF(N(U46)&gt;0,U46+ROW()/1000000,0))</f>
        <v>0</v>
      </c>
    </row>
    <row r="47" customFormat="false" ht="14.25" hidden="false" customHeight="true" outlineLevel="0" collapsed="false">
      <c r="A47" s="18" t="s">
        <v>163</v>
      </c>
      <c r="B47" s="18" t="s">
        <v>164</v>
      </c>
      <c r="C47" s="18" t="s">
        <v>79</v>
      </c>
      <c r="D47" s="18" t="s">
        <v>80</v>
      </c>
      <c r="E47" s="19" t="n">
        <f aca="false">SUMIFS('CPT Count'!$D:$D,'CPT Count'!$A:$A,$A47)-SUMIFS('Weekly Sales'!$F:$F,'Weekly Sales'!$H:$H,$A47,'Weekly Sales'!$I:$I,"CPT")+SUMIFS(Transfers!$F:$F,Transfers!$C:$C,$A47,Transfers!$J:$J,"CPT")-SUMIFS(Transfers!$F:$F,Transfers!$C:$C,$A47,Transfers!$I:$I,"CPT",Transfers!$H:$H,"&lt;&gt;Y")+SUMIFS('Stock Received'!$I:$I,'Stock Received'!$E:$E,$A47,'Stock Received'!$L:$L,"CPT")</f>
        <v>799.49</v>
      </c>
      <c r="F47" s="19" t="n">
        <f aca="false">SUMIFS('JHB Count'!$E:$E,'JHB Count'!$F:$F,$A47)-SUMIFS('Weekly Sales'!$F:$F,'Weekly Sales'!$H:$H,$A47,'Weekly Sales'!$I:$I,"JHB")+SUMIFS(Transfers!$F:$F,Transfers!$C:$C,$A47,Transfers!$J:$J,"JHB")-SUMIFS(Transfers!$F:$F,Transfers!$C:$C,$A47,Transfers!$I:$I,"JHB",Transfers!$H:$H,"&lt;&gt;Y")+SUMIFS('Stock Received'!$I:$I,'Stock Received'!$E:$E,$A47,'Stock Received'!$L:$L,"JHB")</f>
        <v>53.89</v>
      </c>
      <c r="G47" s="19" t="n">
        <f aca="false">SUMIFS('DBN Count'!$D:$D,'DBN Count'!$E:$E,$A47)-SUMIFS('Weekly Sales'!$F:$F,'Weekly Sales'!$H:$H,$A47,'Weekly Sales'!$I:$I,"DBN")+SUMIFS(Transfers!$F:$F,Transfers!$C:$C,$A47,Transfers!$J:$J,"DBN")-SUMIFS(Transfers!$F:$F,Transfers!$C:$C,$A47,Transfers!$I:$I,"DBN",Transfers!$H:$H,"&lt;&gt;Y")+SUMIFS('Stock Received'!$I:$I,'Stock Received'!$E:$E,$A47,'Stock Received'!$L:$L,"DBN")</f>
        <v>53.2</v>
      </c>
      <c r="H47" s="29" t="n">
        <f aca="false">E47+F47+G47</f>
        <v>906.58</v>
      </c>
      <c r="I47" s="19" t="n">
        <f aca="false">SUMIFS('Weekly Sales'!$F:$F,'Weekly Sales'!$H:$H,$A47)</f>
        <v>149.81</v>
      </c>
      <c r="J47" s="19" t="n">
        <f aca="false">SUMIFS(Orders!$L:$L,Orders!$D:$D,$A47,Orders!$F:$F,"&gt;="&amp;J$4,Orders!$F:$F,"&lt;"&amp;EDATE(J$4,1))</f>
        <v>0</v>
      </c>
      <c r="K47" s="19" t="n">
        <f aca="false">SUMIFS(Orders!$L:$L,Orders!$D:$D,$A47,Orders!$F:$F,"&gt;="&amp;K$4,Orders!$F:$F,"&lt;"&amp;EDATE(K$4,1))</f>
        <v>800</v>
      </c>
      <c r="L47" s="19" t="n">
        <f aca="false">SUMIFS(Orders!$L:$L,Orders!$D:$D,$A47,Orders!$F:$F,"&gt;="&amp;L$4,Orders!$F:$F,"&lt;"&amp;EDATE(L$4,1))</f>
        <v>500</v>
      </c>
      <c r="M47" s="19" t="n">
        <f aca="false">N47-J47-K47-L47</f>
        <v>0</v>
      </c>
      <c r="N47" s="19" t="n">
        <f aca="false">SUMIFS(Orders!$L:$L,Orders!$D:$D,$A47)</f>
        <v>1300</v>
      </c>
      <c r="O47" s="19" t="n">
        <f aca="false">H47+N47</f>
        <v>2206.58</v>
      </c>
      <c r="P47" s="30" t="n">
        <v>600</v>
      </c>
      <c r="Q47" s="19" t="n">
        <f aca="false">IF(SUMIFS('Sales History'!$E:$E,'Sales History'!$G:$G,$A47)&gt;0,SUMIFS('Sales History'!$E:$E,'Sales History'!$G:$G,$A47)/Settings!$B$4,N(P47))</f>
        <v>600</v>
      </c>
      <c r="R47" s="18" t="str">
        <f aca="false">IF(SUMIFS('Sales History'!$E:$E,'Sales History'!$G:$G,$A47)&gt;0,"6-month history",IF(N(P47)&gt;0,"Current sheet","No sales data"))</f>
        <v>Current sheet</v>
      </c>
      <c r="S47" s="31" t="n">
        <f aca="false">IF(Q47&gt;0,H47/Q47,"")</f>
        <v>1.51096666666667</v>
      </c>
      <c r="T47" s="30" t="n">
        <v>800</v>
      </c>
      <c r="U47" s="19" t="n">
        <f aca="false">IF(T47="","",MAX(0,T47-O47))</f>
        <v>0</v>
      </c>
      <c r="V47" s="32" t="str">
        <f aca="false">IF(D47="End of range","END OF RANGE",IF(T47="","NO BUFFER SET",IF(H47&lt;=0,IF(O47&lt;T47,"OUT - REORDER","OUT - ON ORDER"),IF(O47&lt;T47,"REORDER",IF(H47&lt;T47,"LOW - ON ORDER",IF(AND(S47&lt;&gt;"",N(S47)&gt;Settings!$B$5),"SLOW MOVER","OK"))))))</f>
        <v>OK</v>
      </c>
      <c r="W47" s="18"/>
      <c r="X47" s="33" t="n">
        <f aca="false">IF(OR(D47="End of range",U47=""),0,IF(N(U47)&gt;0,U47+ROW()/1000000,0))</f>
        <v>0</v>
      </c>
    </row>
    <row r="48" customFormat="false" ht="14.25" hidden="false" customHeight="true" outlineLevel="0" collapsed="false">
      <c r="A48" s="18" t="s">
        <v>165</v>
      </c>
      <c r="B48" s="18" t="s">
        <v>166</v>
      </c>
      <c r="C48" s="18" t="s">
        <v>79</v>
      </c>
      <c r="D48" s="18" t="s">
        <v>80</v>
      </c>
      <c r="E48" s="19" t="n">
        <f aca="false">SUMIFS('CPT Count'!$D:$D,'CPT Count'!$A:$A,$A48)-SUMIFS('Weekly Sales'!$F:$F,'Weekly Sales'!$H:$H,$A48,'Weekly Sales'!$I:$I,"CPT")+SUMIFS(Transfers!$F:$F,Transfers!$C:$C,$A48,Transfers!$J:$J,"CPT")-SUMIFS(Transfers!$F:$F,Transfers!$C:$C,$A48,Transfers!$I:$I,"CPT",Transfers!$H:$H,"&lt;&gt;Y")+SUMIFS('Stock Received'!$I:$I,'Stock Received'!$E:$E,$A48,'Stock Received'!$L:$L,"CPT")</f>
        <v>1611.9</v>
      </c>
      <c r="F48" s="19" t="n">
        <f aca="false">SUMIFS('JHB Count'!$E:$E,'JHB Count'!$F:$F,$A48)-SUMIFS('Weekly Sales'!$F:$F,'Weekly Sales'!$H:$H,$A48,'Weekly Sales'!$I:$I,"JHB")+SUMIFS(Transfers!$F:$F,Transfers!$C:$C,$A48,Transfers!$J:$J,"JHB")-SUMIFS(Transfers!$F:$F,Transfers!$C:$C,$A48,Transfers!$I:$I,"JHB",Transfers!$H:$H,"&lt;&gt;Y")+SUMIFS('Stock Received'!$I:$I,'Stock Received'!$E:$E,$A48,'Stock Received'!$L:$L,"JHB")</f>
        <v>191.35</v>
      </c>
      <c r="G48" s="19" t="n">
        <f aca="false">SUMIFS('DBN Count'!$D:$D,'DBN Count'!$E:$E,$A48)-SUMIFS('Weekly Sales'!$F:$F,'Weekly Sales'!$H:$H,$A48,'Weekly Sales'!$I:$I,"DBN")+SUMIFS(Transfers!$F:$F,Transfers!$C:$C,$A48,Transfers!$J:$J,"DBN")-SUMIFS(Transfers!$F:$F,Transfers!$C:$C,$A48,Transfers!$I:$I,"DBN",Transfers!$H:$H,"&lt;&gt;Y")+SUMIFS('Stock Received'!$I:$I,'Stock Received'!$E:$E,$A48,'Stock Received'!$L:$L,"DBN")</f>
        <v>29.79</v>
      </c>
      <c r="H48" s="29" t="n">
        <f aca="false">E48+F48+G48</f>
        <v>1833.04</v>
      </c>
      <c r="I48" s="19" t="n">
        <f aca="false">SUMIFS('Weekly Sales'!$F:$F,'Weekly Sales'!$H:$H,$A48)</f>
        <v>135.04</v>
      </c>
      <c r="J48" s="19" t="n">
        <f aca="false">SUMIFS(Orders!$L:$L,Orders!$D:$D,$A48,Orders!$F:$F,"&gt;="&amp;J$4,Orders!$F:$F,"&lt;"&amp;EDATE(J$4,1))</f>
        <v>0</v>
      </c>
      <c r="K48" s="19" t="n">
        <f aca="false">SUMIFS(Orders!$L:$L,Orders!$D:$D,$A48,Orders!$F:$F,"&gt;="&amp;K$4,Orders!$F:$F,"&lt;"&amp;EDATE(K$4,1))</f>
        <v>500</v>
      </c>
      <c r="L48" s="19" t="n">
        <f aca="false">SUMIFS(Orders!$L:$L,Orders!$D:$D,$A48,Orders!$F:$F,"&gt;="&amp;L$4,Orders!$F:$F,"&lt;"&amp;EDATE(L$4,1))</f>
        <v>0</v>
      </c>
      <c r="M48" s="19" t="n">
        <f aca="false">N48-J48-K48-L48</f>
        <v>0</v>
      </c>
      <c r="N48" s="19" t="n">
        <f aca="false">SUMIFS(Orders!$L:$L,Orders!$D:$D,$A48)</f>
        <v>500</v>
      </c>
      <c r="O48" s="19" t="n">
        <f aca="false">H48+N48</f>
        <v>2333.04</v>
      </c>
      <c r="P48" s="30" t="n">
        <v>450</v>
      </c>
      <c r="Q48" s="19" t="n">
        <f aca="false">IF(SUMIFS('Sales History'!$E:$E,'Sales History'!$G:$G,$A48)&gt;0,SUMIFS('Sales History'!$E:$E,'Sales History'!$G:$G,$A48)/Settings!$B$4,N(P48))</f>
        <v>450</v>
      </c>
      <c r="R48" s="18" t="str">
        <f aca="false">IF(SUMIFS('Sales History'!$E:$E,'Sales History'!$G:$G,$A48)&gt;0,"6-month history",IF(N(P48)&gt;0,"Current sheet","No sales data"))</f>
        <v>Current sheet</v>
      </c>
      <c r="S48" s="31" t="n">
        <f aca="false">IF(Q48&gt;0,H48/Q48,"")</f>
        <v>4.07342222222222</v>
      </c>
      <c r="T48" s="30" t="n">
        <v>800</v>
      </c>
      <c r="U48" s="19" t="n">
        <f aca="false">IF(T48="","",MAX(0,T48-O48))</f>
        <v>0</v>
      </c>
      <c r="V48" s="32" t="str">
        <f aca="false">IF(D48="End of range","END OF RANGE",IF(T48="","NO BUFFER SET",IF(H48&lt;=0,IF(O48&lt;T48,"OUT - REORDER","OUT - ON ORDER"),IF(O48&lt;T48,"REORDER",IF(H48&lt;T48,"LOW - ON ORDER",IF(AND(S48&lt;&gt;"",N(S48)&gt;Settings!$B$5),"SLOW MOVER","OK"))))))</f>
        <v>OK</v>
      </c>
      <c r="W48" s="18"/>
      <c r="X48" s="33" t="n">
        <f aca="false">IF(OR(D48="End of range",U48=""),0,IF(N(U48)&gt;0,U48+ROW()/1000000,0))</f>
        <v>0</v>
      </c>
    </row>
    <row r="49" customFormat="false" ht="14.25" hidden="false" customHeight="true" outlineLevel="0" collapsed="false">
      <c r="A49" s="18" t="s">
        <v>167</v>
      </c>
      <c r="B49" s="18" t="s">
        <v>168</v>
      </c>
      <c r="C49" s="18" t="s">
        <v>79</v>
      </c>
      <c r="D49" s="18" t="s">
        <v>80</v>
      </c>
      <c r="E49" s="19" t="n">
        <f aca="false">SUMIFS('CPT Count'!$D:$D,'CPT Count'!$A:$A,$A49)-SUMIFS('Weekly Sales'!$F:$F,'Weekly Sales'!$H:$H,$A49,'Weekly Sales'!$I:$I,"CPT")+SUMIFS(Transfers!$F:$F,Transfers!$C:$C,$A49,Transfers!$J:$J,"CPT")-SUMIFS(Transfers!$F:$F,Transfers!$C:$C,$A49,Transfers!$I:$I,"CPT",Transfers!$H:$H,"&lt;&gt;Y")+SUMIFS('Stock Received'!$I:$I,'Stock Received'!$E:$E,$A49,'Stock Received'!$L:$L,"CPT")</f>
        <v>372</v>
      </c>
      <c r="F49" s="19" t="n">
        <f aca="false">SUMIFS('JHB Count'!$E:$E,'JHB Count'!$F:$F,$A49)-SUMIFS('Weekly Sales'!$F:$F,'Weekly Sales'!$H:$H,$A49,'Weekly Sales'!$I:$I,"JHB")+SUMIFS(Transfers!$F:$F,Transfers!$C:$C,$A49,Transfers!$J:$J,"JHB")-SUMIFS(Transfers!$F:$F,Transfers!$C:$C,$A49,Transfers!$I:$I,"JHB",Transfers!$H:$H,"&lt;&gt;Y")+SUMIFS('Stock Received'!$I:$I,'Stock Received'!$E:$E,$A49,'Stock Received'!$L:$L,"JHB")</f>
        <v>56.72</v>
      </c>
      <c r="G49" s="19" t="n">
        <f aca="false">SUMIFS('DBN Count'!$D:$D,'DBN Count'!$E:$E,$A49)-SUMIFS('Weekly Sales'!$F:$F,'Weekly Sales'!$H:$H,$A49,'Weekly Sales'!$I:$I,"DBN")+SUMIFS(Transfers!$F:$F,Transfers!$C:$C,$A49,Transfers!$J:$J,"DBN")-SUMIFS(Transfers!$F:$F,Transfers!$C:$C,$A49,Transfers!$I:$I,"DBN",Transfers!$H:$H,"&lt;&gt;Y")+SUMIFS('Stock Received'!$I:$I,'Stock Received'!$E:$E,$A49,'Stock Received'!$L:$L,"DBN")</f>
        <v>0</v>
      </c>
      <c r="H49" s="29" t="n">
        <f aca="false">E49+F49+G49</f>
        <v>428.72</v>
      </c>
      <c r="I49" s="19" t="n">
        <f aca="false">SUMIFS('Weekly Sales'!$F:$F,'Weekly Sales'!$H:$H,$A49)</f>
        <v>7.28</v>
      </c>
      <c r="J49" s="19" t="n">
        <f aca="false">SUMIFS(Orders!$L:$L,Orders!$D:$D,$A49,Orders!$F:$F,"&gt;="&amp;J$4,Orders!$F:$F,"&lt;"&amp;EDATE(J$4,1))</f>
        <v>0</v>
      </c>
      <c r="K49" s="19" t="n">
        <f aca="false">SUMIFS(Orders!$L:$L,Orders!$D:$D,$A49,Orders!$F:$F,"&gt;="&amp;K$4,Orders!$F:$F,"&lt;"&amp;EDATE(K$4,1))</f>
        <v>0</v>
      </c>
      <c r="L49" s="19" t="n">
        <f aca="false">SUMIFS(Orders!$L:$L,Orders!$D:$D,$A49,Orders!$F:$F,"&gt;="&amp;L$4,Orders!$F:$F,"&lt;"&amp;EDATE(L$4,1))</f>
        <v>0</v>
      </c>
      <c r="M49" s="19" t="n">
        <f aca="false">N49-J49-K49-L49</f>
        <v>0</v>
      </c>
      <c r="N49" s="19" t="n">
        <f aca="false">SUMIFS(Orders!$L:$L,Orders!$D:$D,$A49)</f>
        <v>0</v>
      </c>
      <c r="O49" s="19" t="n">
        <f aca="false">H49+N49</f>
        <v>428.72</v>
      </c>
      <c r="P49" s="30" t="n">
        <v>75</v>
      </c>
      <c r="Q49" s="19" t="n">
        <f aca="false">IF(SUMIFS('Sales History'!$E:$E,'Sales History'!$G:$G,$A49)&gt;0,SUMIFS('Sales History'!$E:$E,'Sales History'!$G:$G,$A49)/Settings!$B$4,N(P49))</f>
        <v>75</v>
      </c>
      <c r="R49" s="18" t="str">
        <f aca="false">IF(SUMIFS('Sales History'!$E:$E,'Sales History'!$G:$G,$A49)&gt;0,"6-month history",IF(N(P49)&gt;0,"Current sheet","No sales data"))</f>
        <v>Current sheet</v>
      </c>
      <c r="S49" s="31" t="n">
        <f aca="false">IF(Q49&gt;0,H49/Q49,"")</f>
        <v>5.71626666666667</v>
      </c>
      <c r="T49" s="30" t="n">
        <v>200</v>
      </c>
      <c r="U49" s="19" t="n">
        <f aca="false">IF(T49="","",MAX(0,T49-O49))</f>
        <v>0</v>
      </c>
      <c r="V49" s="32" t="str">
        <f aca="false">IF(D49="End of range","END OF RANGE",IF(T49="","NO BUFFER SET",IF(H49&lt;=0,IF(O49&lt;T49,"OUT - REORDER","OUT - ON ORDER"),IF(O49&lt;T49,"REORDER",IF(H49&lt;T49,"LOW - ON ORDER",IF(AND(S49&lt;&gt;"",N(S49)&gt;Settings!$B$5),"SLOW MOVER","OK"))))))</f>
        <v>OK</v>
      </c>
      <c r="W49" s="18"/>
      <c r="X49" s="33" t="n">
        <f aca="false">IF(OR(D49="End of range",U49=""),0,IF(N(U49)&gt;0,U49+ROW()/1000000,0))</f>
        <v>0</v>
      </c>
    </row>
    <row r="50" customFormat="false" ht="14.25" hidden="false" customHeight="true" outlineLevel="0" collapsed="false">
      <c r="A50" s="18" t="s">
        <v>169</v>
      </c>
      <c r="B50" s="18" t="s">
        <v>170</v>
      </c>
      <c r="C50" s="18" t="s">
        <v>79</v>
      </c>
      <c r="D50" s="18" t="s">
        <v>80</v>
      </c>
      <c r="E50" s="19" t="n">
        <f aca="false">SUMIFS('CPT Count'!$D:$D,'CPT Count'!$A:$A,$A50)-SUMIFS('Weekly Sales'!$F:$F,'Weekly Sales'!$H:$H,$A50,'Weekly Sales'!$I:$I,"CPT")+SUMIFS(Transfers!$F:$F,Transfers!$C:$C,$A50,Transfers!$J:$J,"CPT")-SUMIFS(Transfers!$F:$F,Transfers!$C:$C,$A50,Transfers!$I:$I,"CPT",Transfers!$H:$H,"&lt;&gt;Y")+SUMIFS('Stock Received'!$I:$I,'Stock Received'!$E:$E,$A50,'Stock Received'!$L:$L,"CPT")</f>
        <v>1097.46</v>
      </c>
      <c r="F50" s="19" t="n">
        <f aca="false">SUMIFS('JHB Count'!$E:$E,'JHB Count'!$F:$F,$A50)-SUMIFS('Weekly Sales'!$F:$F,'Weekly Sales'!$H:$H,$A50,'Weekly Sales'!$I:$I,"JHB")+SUMIFS(Transfers!$F:$F,Transfers!$C:$C,$A50,Transfers!$J:$J,"JHB")-SUMIFS(Transfers!$F:$F,Transfers!$C:$C,$A50,Transfers!$I:$I,"JHB",Transfers!$H:$H,"&lt;&gt;Y")+SUMIFS('Stock Received'!$I:$I,'Stock Received'!$E:$E,$A50,'Stock Received'!$L:$L,"JHB")</f>
        <v>186.64</v>
      </c>
      <c r="G50" s="19" t="n">
        <f aca="false">SUMIFS('DBN Count'!$D:$D,'DBN Count'!$E:$E,$A50)-SUMIFS('Weekly Sales'!$F:$F,'Weekly Sales'!$H:$H,$A50,'Weekly Sales'!$I:$I,"DBN")+SUMIFS(Transfers!$F:$F,Transfers!$C:$C,$A50,Transfers!$J:$J,"DBN")-SUMIFS(Transfers!$F:$F,Transfers!$C:$C,$A50,Transfers!$I:$I,"DBN",Transfers!$H:$H,"&lt;&gt;Y")+SUMIFS('Stock Received'!$I:$I,'Stock Received'!$E:$E,$A50,'Stock Received'!$L:$L,"DBN")</f>
        <v>94.37</v>
      </c>
      <c r="H50" s="29" t="n">
        <f aca="false">E50+F50+G50</f>
        <v>1378.47</v>
      </c>
      <c r="I50" s="19" t="n">
        <f aca="false">SUMIFS('Weekly Sales'!$F:$F,'Weekly Sales'!$H:$H,$A50)</f>
        <v>383.9</v>
      </c>
      <c r="J50" s="19" t="n">
        <f aca="false">SUMIFS(Orders!$L:$L,Orders!$D:$D,$A50,Orders!$F:$F,"&gt;="&amp;J$4,Orders!$F:$F,"&lt;"&amp;EDATE(J$4,1))</f>
        <v>500</v>
      </c>
      <c r="K50" s="19" t="n">
        <f aca="false">SUMIFS(Orders!$L:$L,Orders!$D:$D,$A50,Orders!$F:$F,"&gt;="&amp;K$4,Orders!$F:$F,"&lt;"&amp;EDATE(K$4,1))</f>
        <v>500</v>
      </c>
      <c r="L50" s="19" t="n">
        <f aca="false">SUMIFS(Orders!$L:$L,Orders!$D:$D,$A50,Orders!$F:$F,"&gt;="&amp;L$4,Orders!$F:$F,"&lt;"&amp;EDATE(L$4,1))</f>
        <v>800</v>
      </c>
      <c r="M50" s="19" t="n">
        <f aca="false">N50-J50-K50-L50</f>
        <v>0</v>
      </c>
      <c r="N50" s="19" t="n">
        <f aca="false">SUMIFS(Orders!$L:$L,Orders!$D:$D,$A50)</f>
        <v>1800</v>
      </c>
      <c r="O50" s="19" t="n">
        <f aca="false">H50+N50</f>
        <v>3178.47</v>
      </c>
      <c r="P50" s="30" t="n">
        <v>830</v>
      </c>
      <c r="Q50" s="19" t="n">
        <f aca="false">IF(SUMIFS('Sales History'!$E:$E,'Sales History'!$G:$G,$A50)&gt;0,SUMIFS('Sales History'!$E:$E,'Sales History'!$G:$G,$A50)/Settings!$B$4,N(P50))</f>
        <v>830</v>
      </c>
      <c r="R50" s="18" t="str">
        <f aca="false">IF(SUMIFS('Sales History'!$E:$E,'Sales History'!$G:$G,$A50)&gt;0,"6-month history",IF(N(P50)&gt;0,"Current sheet","No sales data"))</f>
        <v>Current sheet</v>
      </c>
      <c r="S50" s="31" t="n">
        <f aca="false">IF(Q50&gt;0,H50/Q50,"")</f>
        <v>1.66080722891566</v>
      </c>
      <c r="T50" s="30" t="n">
        <v>1500</v>
      </c>
      <c r="U50" s="19" t="n">
        <f aca="false">IF(T50="","",MAX(0,T50-O50))</f>
        <v>0</v>
      </c>
      <c r="V50" s="32" t="str">
        <f aca="false">IF(D50="End of range","END OF RANGE",IF(T50="","NO BUFFER SET",IF(H50&lt;=0,IF(O50&lt;T50,"OUT - REORDER","OUT - ON ORDER"),IF(O50&lt;T50,"REORDER",IF(H50&lt;T50,"LOW - ON ORDER",IF(AND(S50&lt;&gt;"",N(S50)&gt;Settings!$B$5),"SLOW MOVER","OK"))))))</f>
        <v>LOW - ON ORDER</v>
      </c>
      <c r="W50" s="18"/>
      <c r="X50" s="33" t="n">
        <f aca="false">IF(OR(D50="End of range",U50=""),0,IF(N(U50)&gt;0,U50+ROW()/1000000,0))</f>
        <v>0</v>
      </c>
    </row>
    <row r="51" customFormat="false" ht="14.25" hidden="false" customHeight="true" outlineLevel="0" collapsed="false">
      <c r="A51" s="18" t="s">
        <v>171</v>
      </c>
      <c r="B51" s="18" t="s">
        <v>172</v>
      </c>
      <c r="C51" s="18" t="s">
        <v>79</v>
      </c>
      <c r="D51" s="18" t="s">
        <v>80</v>
      </c>
      <c r="E51" s="19" t="n">
        <f aca="false">SUMIFS('CPT Count'!$D:$D,'CPT Count'!$A:$A,$A51)-SUMIFS('Weekly Sales'!$F:$F,'Weekly Sales'!$H:$H,$A51,'Weekly Sales'!$I:$I,"CPT")+SUMIFS(Transfers!$F:$F,Transfers!$C:$C,$A51,Transfers!$J:$J,"CPT")-SUMIFS(Transfers!$F:$F,Transfers!$C:$C,$A51,Transfers!$I:$I,"CPT",Transfers!$H:$H,"&lt;&gt;Y")+SUMIFS('Stock Received'!$I:$I,'Stock Received'!$E:$E,$A51,'Stock Received'!$L:$L,"CPT")</f>
        <v>2.75</v>
      </c>
      <c r="F51" s="19" t="n">
        <f aca="false">SUMIFS('JHB Count'!$E:$E,'JHB Count'!$F:$F,$A51)-SUMIFS('Weekly Sales'!$F:$F,'Weekly Sales'!$H:$H,$A51,'Weekly Sales'!$I:$I,"JHB")+SUMIFS(Transfers!$F:$F,Transfers!$C:$C,$A51,Transfers!$J:$J,"JHB")-SUMIFS(Transfers!$F:$F,Transfers!$C:$C,$A51,Transfers!$I:$I,"JHB",Transfers!$H:$H,"&lt;&gt;Y")+SUMIFS('Stock Received'!$I:$I,'Stock Received'!$E:$E,$A51,'Stock Received'!$L:$L,"JHB")</f>
        <v>144.21</v>
      </c>
      <c r="G51" s="19" t="n">
        <f aca="false">SUMIFS('DBN Count'!$D:$D,'DBN Count'!$E:$E,$A51)-SUMIFS('Weekly Sales'!$F:$F,'Weekly Sales'!$H:$H,$A51,'Weekly Sales'!$I:$I,"DBN")+SUMIFS(Transfers!$F:$F,Transfers!$C:$C,$A51,Transfers!$J:$J,"DBN")-SUMIFS(Transfers!$F:$F,Transfers!$C:$C,$A51,Transfers!$I:$I,"DBN",Transfers!$H:$H,"&lt;&gt;Y")+SUMIFS('Stock Received'!$I:$I,'Stock Received'!$E:$E,$A51,'Stock Received'!$L:$L,"DBN")</f>
        <v>50.74</v>
      </c>
      <c r="H51" s="29" t="n">
        <f aca="false">E51+F51+G51</f>
        <v>197.7</v>
      </c>
      <c r="I51" s="19" t="n">
        <f aca="false">SUMIFS('Weekly Sales'!$F:$F,'Weekly Sales'!$H:$H,$A51)</f>
        <v>57.04</v>
      </c>
      <c r="J51" s="19" t="n">
        <f aca="false">SUMIFS(Orders!$L:$L,Orders!$D:$D,$A51,Orders!$F:$F,"&gt;="&amp;J$4,Orders!$F:$F,"&lt;"&amp;EDATE(J$4,1))</f>
        <v>300</v>
      </c>
      <c r="K51" s="19" t="n">
        <f aca="false">SUMIFS(Orders!$L:$L,Orders!$D:$D,$A51,Orders!$F:$F,"&gt;="&amp;K$4,Orders!$F:$F,"&lt;"&amp;EDATE(K$4,1))</f>
        <v>300</v>
      </c>
      <c r="L51" s="19" t="n">
        <f aca="false">SUMIFS(Orders!$L:$L,Orders!$D:$D,$A51,Orders!$F:$F,"&gt;="&amp;L$4,Orders!$F:$F,"&lt;"&amp;EDATE(L$4,1))</f>
        <v>300</v>
      </c>
      <c r="M51" s="19" t="n">
        <f aca="false">N51-J51-K51-L51</f>
        <v>0</v>
      </c>
      <c r="N51" s="19" t="n">
        <f aca="false">SUMIFS(Orders!$L:$L,Orders!$D:$D,$A51)</f>
        <v>900</v>
      </c>
      <c r="O51" s="19" t="n">
        <f aca="false">H51+N51</f>
        <v>1097.7</v>
      </c>
      <c r="P51" s="30" t="n">
        <v>220</v>
      </c>
      <c r="Q51" s="19" t="n">
        <f aca="false">IF(SUMIFS('Sales History'!$E:$E,'Sales History'!$G:$G,$A51)&gt;0,SUMIFS('Sales History'!$E:$E,'Sales History'!$G:$G,$A51)/Settings!$B$4,N(P51))</f>
        <v>220</v>
      </c>
      <c r="R51" s="18" t="str">
        <f aca="false">IF(SUMIFS('Sales History'!$E:$E,'Sales History'!$G:$G,$A51)&gt;0,"6-month history",IF(N(P51)&gt;0,"Current sheet","No sales data"))</f>
        <v>Current sheet</v>
      </c>
      <c r="S51" s="31" t="n">
        <f aca="false">IF(Q51&gt;0,H51/Q51,"")</f>
        <v>0.898636363636364</v>
      </c>
      <c r="T51" s="30" t="n">
        <v>400</v>
      </c>
      <c r="U51" s="19" t="n">
        <f aca="false">IF(T51="","",MAX(0,T51-O51))</f>
        <v>0</v>
      </c>
      <c r="V51" s="32" t="str">
        <f aca="false">IF(D51="End of range","END OF RANGE",IF(T51="","NO BUFFER SET",IF(H51&lt;=0,IF(O51&lt;T51,"OUT - REORDER","OUT - ON ORDER"),IF(O51&lt;T51,"REORDER",IF(H51&lt;T51,"LOW - ON ORDER",IF(AND(S51&lt;&gt;"",N(S51)&gt;Settings!$B$5),"SLOW MOVER","OK"))))))</f>
        <v>LOW - ON ORDER</v>
      </c>
      <c r="W51" s="18"/>
      <c r="X51" s="33" t="n">
        <f aca="false">IF(OR(D51="End of range",U51=""),0,IF(N(U51)&gt;0,U51+ROW()/1000000,0))</f>
        <v>0</v>
      </c>
    </row>
    <row r="52" customFormat="false" ht="14.25" hidden="false" customHeight="true" outlineLevel="0" collapsed="false">
      <c r="A52" s="18" t="s">
        <v>173</v>
      </c>
      <c r="B52" s="18" t="s">
        <v>174</v>
      </c>
      <c r="C52" s="18" t="s">
        <v>79</v>
      </c>
      <c r="D52" s="18" t="s">
        <v>80</v>
      </c>
      <c r="E52" s="19" t="n">
        <f aca="false">SUMIFS('CPT Count'!$D:$D,'CPT Count'!$A:$A,$A52)-SUMIFS('Weekly Sales'!$F:$F,'Weekly Sales'!$H:$H,$A52,'Weekly Sales'!$I:$I,"CPT")+SUMIFS(Transfers!$F:$F,Transfers!$C:$C,$A52,Transfers!$J:$J,"CPT")-SUMIFS(Transfers!$F:$F,Transfers!$C:$C,$A52,Transfers!$I:$I,"CPT",Transfers!$H:$H,"&lt;&gt;Y")+SUMIFS('Stock Received'!$I:$I,'Stock Received'!$E:$E,$A52,'Stock Received'!$L:$L,"CPT")</f>
        <v>135</v>
      </c>
      <c r="F52" s="19" t="n">
        <f aca="false">SUMIFS('JHB Count'!$E:$E,'JHB Count'!$F:$F,$A52)-SUMIFS('Weekly Sales'!$F:$F,'Weekly Sales'!$H:$H,$A52,'Weekly Sales'!$I:$I,"JHB")+SUMIFS(Transfers!$F:$F,Transfers!$C:$C,$A52,Transfers!$J:$J,"JHB")-SUMIFS(Transfers!$F:$F,Transfers!$C:$C,$A52,Transfers!$I:$I,"JHB",Transfers!$H:$H,"&lt;&gt;Y")+SUMIFS('Stock Received'!$I:$I,'Stock Received'!$E:$E,$A52,'Stock Received'!$L:$L,"JHB")</f>
        <v>724</v>
      </c>
      <c r="G52" s="19" t="n">
        <f aca="false">SUMIFS('DBN Count'!$D:$D,'DBN Count'!$E:$E,$A52)-SUMIFS('Weekly Sales'!$F:$F,'Weekly Sales'!$H:$H,$A52,'Weekly Sales'!$I:$I,"DBN")+SUMIFS(Transfers!$F:$F,Transfers!$C:$C,$A52,Transfers!$J:$J,"DBN")-SUMIFS(Transfers!$F:$F,Transfers!$C:$C,$A52,Transfers!$I:$I,"DBN",Transfers!$H:$H,"&lt;&gt;Y")+SUMIFS('Stock Received'!$I:$I,'Stock Received'!$E:$E,$A52,'Stock Received'!$L:$L,"DBN")</f>
        <v>46.69</v>
      </c>
      <c r="H52" s="29" t="n">
        <f aca="false">E52+F52+G52</f>
        <v>905.69</v>
      </c>
      <c r="I52" s="19" t="n">
        <f aca="false">SUMIFS('Weekly Sales'!$F:$F,'Weekly Sales'!$H:$H,$A52)</f>
        <v>0</v>
      </c>
      <c r="J52" s="19" t="n">
        <f aca="false">SUMIFS(Orders!$L:$L,Orders!$D:$D,$A52,Orders!$F:$F,"&gt;="&amp;J$4,Orders!$F:$F,"&lt;"&amp;EDATE(J$4,1))</f>
        <v>300</v>
      </c>
      <c r="K52" s="19" t="n">
        <f aca="false">SUMIFS(Orders!$L:$L,Orders!$D:$D,$A52,Orders!$F:$F,"&gt;="&amp;K$4,Orders!$F:$F,"&lt;"&amp;EDATE(K$4,1))</f>
        <v>300</v>
      </c>
      <c r="L52" s="19" t="n">
        <f aca="false">SUMIFS(Orders!$L:$L,Orders!$D:$D,$A52,Orders!$F:$F,"&gt;="&amp;L$4,Orders!$F:$F,"&lt;"&amp;EDATE(L$4,1))</f>
        <v>300</v>
      </c>
      <c r="M52" s="19" t="n">
        <f aca="false">N52-J52-K52-L52</f>
        <v>0</v>
      </c>
      <c r="N52" s="19" t="n">
        <f aca="false">SUMIFS(Orders!$L:$L,Orders!$D:$D,$A52)</f>
        <v>900</v>
      </c>
      <c r="O52" s="19" t="n">
        <f aca="false">H52+N52</f>
        <v>1805.69</v>
      </c>
      <c r="P52" s="30" t="n">
        <v>260</v>
      </c>
      <c r="Q52" s="19" t="n">
        <f aca="false">IF(SUMIFS('Sales History'!$E:$E,'Sales History'!$G:$G,$A52)&gt;0,SUMIFS('Sales History'!$E:$E,'Sales History'!$G:$G,$A52)/Settings!$B$4,N(P52))</f>
        <v>260</v>
      </c>
      <c r="R52" s="18" t="str">
        <f aca="false">IF(SUMIFS('Sales History'!$E:$E,'Sales History'!$G:$G,$A52)&gt;0,"6-month history",IF(N(P52)&gt;0,"Current sheet","No sales data"))</f>
        <v>Current sheet</v>
      </c>
      <c r="S52" s="31" t="n">
        <f aca="false">IF(Q52&gt;0,H52/Q52,"")</f>
        <v>3.48342307692308</v>
      </c>
      <c r="T52" s="30" t="n">
        <v>400</v>
      </c>
      <c r="U52" s="19" t="n">
        <f aca="false">IF(T52="","",MAX(0,T52-O52))</f>
        <v>0</v>
      </c>
      <c r="V52" s="32" t="str">
        <f aca="false">IF(D52="End of range","END OF RANGE",IF(T52="","NO BUFFER SET",IF(H52&lt;=0,IF(O52&lt;T52,"OUT - REORDER","OUT - ON ORDER"),IF(O52&lt;T52,"REORDER",IF(H52&lt;T52,"LOW - ON ORDER",IF(AND(S52&lt;&gt;"",N(S52)&gt;Settings!$B$5),"SLOW MOVER","OK"))))))</f>
        <v>OK</v>
      </c>
      <c r="W52" s="18"/>
      <c r="X52" s="33" t="n">
        <f aca="false">IF(OR(D52="End of range",U52=""),0,IF(N(U52)&gt;0,U52+ROW()/1000000,0))</f>
        <v>0</v>
      </c>
    </row>
    <row r="53" customFormat="false" ht="14.25" hidden="false" customHeight="true" outlineLevel="0" collapsed="false">
      <c r="A53" s="18" t="s">
        <v>175</v>
      </c>
      <c r="B53" s="18" t="s">
        <v>176</v>
      </c>
      <c r="C53" s="18" t="s">
        <v>79</v>
      </c>
      <c r="D53" s="18" t="s">
        <v>80</v>
      </c>
      <c r="E53" s="19" t="n">
        <f aca="false">SUMIFS('CPT Count'!$D:$D,'CPT Count'!$A:$A,$A53)-SUMIFS('Weekly Sales'!$F:$F,'Weekly Sales'!$H:$H,$A53,'Weekly Sales'!$I:$I,"CPT")+SUMIFS(Transfers!$F:$F,Transfers!$C:$C,$A53,Transfers!$J:$J,"CPT")-SUMIFS(Transfers!$F:$F,Transfers!$C:$C,$A53,Transfers!$I:$I,"CPT",Transfers!$H:$H,"&lt;&gt;Y")+SUMIFS('Stock Received'!$I:$I,'Stock Received'!$E:$E,$A53,'Stock Received'!$L:$L,"CPT")</f>
        <v>863.03</v>
      </c>
      <c r="F53" s="19" t="n">
        <f aca="false">SUMIFS('JHB Count'!$E:$E,'JHB Count'!$F:$F,$A53)-SUMIFS('Weekly Sales'!$F:$F,'Weekly Sales'!$H:$H,$A53,'Weekly Sales'!$I:$I,"JHB")+SUMIFS(Transfers!$F:$F,Transfers!$C:$C,$A53,Transfers!$J:$J,"JHB")-SUMIFS(Transfers!$F:$F,Transfers!$C:$C,$A53,Transfers!$I:$I,"JHB",Transfers!$H:$H,"&lt;&gt;Y")+SUMIFS('Stock Received'!$I:$I,'Stock Received'!$E:$E,$A53,'Stock Received'!$L:$L,"JHB")</f>
        <v>64</v>
      </c>
      <c r="G53" s="19" t="n">
        <f aca="false">SUMIFS('DBN Count'!$D:$D,'DBN Count'!$E:$E,$A53)-SUMIFS('Weekly Sales'!$F:$F,'Weekly Sales'!$H:$H,$A53,'Weekly Sales'!$I:$I,"DBN")+SUMIFS(Transfers!$F:$F,Transfers!$C:$C,$A53,Transfers!$J:$J,"DBN")-SUMIFS(Transfers!$F:$F,Transfers!$C:$C,$A53,Transfers!$I:$I,"DBN",Transfers!$H:$H,"&lt;&gt;Y")+SUMIFS('Stock Received'!$I:$I,'Stock Received'!$E:$E,$A53,'Stock Received'!$L:$L,"DBN")</f>
        <v>12.78</v>
      </c>
      <c r="H53" s="29" t="n">
        <f aca="false">E53+F53+G53</f>
        <v>939.81</v>
      </c>
      <c r="I53" s="19" t="n">
        <f aca="false">SUMIFS('Weekly Sales'!$F:$F,'Weekly Sales'!$H:$H,$A53)</f>
        <v>3.97</v>
      </c>
      <c r="J53" s="19" t="n">
        <f aca="false">SUMIFS(Orders!$L:$L,Orders!$D:$D,$A53,Orders!$F:$F,"&gt;="&amp;J$4,Orders!$F:$F,"&lt;"&amp;EDATE(J$4,1))</f>
        <v>0</v>
      </c>
      <c r="K53" s="19" t="n">
        <f aca="false">SUMIFS(Orders!$L:$L,Orders!$D:$D,$A53,Orders!$F:$F,"&gt;="&amp;K$4,Orders!$F:$F,"&lt;"&amp;EDATE(K$4,1))</f>
        <v>0</v>
      </c>
      <c r="L53" s="19" t="n">
        <f aca="false">SUMIFS(Orders!$L:$L,Orders!$D:$D,$A53,Orders!$F:$F,"&gt;="&amp;L$4,Orders!$F:$F,"&lt;"&amp;EDATE(L$4,1))</f>
        <v>0</v>
      </c>
      <c r="M53" s="19" t="n">
        <f aca="false">N53-J53-K53-L53</f>
        <v>0</v>
      </c>
      <c r="N53" s="19" t="n">
        <f aca="false">SUMIFS(Orders!$L:$L,Orders!$D:$D,$A53)</f>
        <v>0</v>
      </c>
      <c r="O53" s="19" t="n">
        <f aca="false">H53+N53</f>
        <v>939.81</v>
      </c>
      <c r="P53" s="30" t="n">
        <v>180</v>
      </c>
      <c r="Q53" s="19" t="n">
        <f aca="false">IF(SUMIFS('Sales History'!$E:$E,'Sales History'!$G:$G,$A53)&gt;0,SUMIFS('Sales History'!$E:$E,'Sales History'!$G:$G,$A53)/Settings!$B$4,N(P53))</f>
        <v>180</v>
      </c>
      <c r="R53" s="18" t="str">
        <f aca="false">IF(SUMIFS('Sales History'!$E:$E,'Sales History'!$G:$G,$A53)&gt;0,"6-month history",IF(N(P53)&gt;0,"Current sheet","No sales data"))</f>
        <v>Current sheet</v>
      </c>
      <c r="S53" s="31" t="n">
        <f aca="false">IF(Q53&gt;0,H53/Q53,"")</f>
        <v>5.22116666666667</v>
      </c>
      <c r="T53" s="30" t="n">
        <v>300</v>
      </c>
      <c r="U53" s="19" t="n">
        <f aca="false">IF(T53="","",MAX(0,T53-O53))</f>
        <v>0</v>
      </c>
      <c r="V53" s="32" t="str">
        <f aca="false">IF(D53="End of range","END OF RANGE",IF(T53="","NO BUFFER SET",IF(H53&lt;=0,IF(O53&lt;T53,"OUT - REORDER","OUT - ON ORDER"),IF(O53&lt;T53,"REORDER",IF(H53&lt;T53,"LOW - ON ORDER",IF(AND(S53&lt;&gt;"",N(S53)&gt;Settings!$B$5),"SLOW MOVER","OK"))))))</f>
        <v>OK</v>
      </c>
      <c r="W53" s="18"/>
      <c r="X53" s="33" t="n">
        <f aca="false">IF(OR(D53="End of range",U53=""),0,IF(N(U53)&gt;0,U53+ROW()/1000000,0))</f>
        <v>0</v>
      </c>
    </row>
    <row r="54" customFormat="false" ht="14.25" hidden="false" customHeight="true" outlineLevel="0" collapsed="false">
      <c r="A54" s="18" t="s">
        <v>177</v>
      </c>
      <c r="B54" s="18" t="s">
        <v>178</v>
      </c>
      <c r="C54" s="18" t="s">
        <v>79</v>
      </c>
      <c r="D54" s="18" t="s">
        <v>80</v>
      </c>
      <c r="E54" s="19" t="n">
        <f aca="false">SUMIFS('CPT Count'!$D:$D,'CPT Count'!$A:$A,$A54)-SUMIFS('Weekly Sales'!$F:$F,'Weekly Sales'!$H:$H,$A54,'Weekly Sales'!$I:$I,"CPT")+SUMIFS(Transfers!$F:$F,Transfers!$C:$C,$A54,Transfers!$J:$J,"CPT")-SUMIFS(Transfers!$F:$F,Transfers!$C:$C,$A54,Transfers!$I:$I,"CPT",Transfers!$H:$H,"&lt;&gt;Y")+SUMIFS('Stock Received'!$I:$I,'Stock Received'!$E:$E,$A54,'Stock Received'!$L:$L,"CPT")</f>
        <v>676.37</v>
      </c>
      <c r="F54" s="19" t="n">
        <f aca="false">SUMIFS('JHB Count'!$E:$E,'JHB Count'!$F:$F,$A54)-SUMIFS('Weekly Sales'!$F:$F,'Weekly Sales'!$H:$H,$A54,'Weekly Sales'!$I:$I,"JHB")+SUMIFS(Transfers!$F:$F,Transfers!$C:$C,$A54,Transfers!$J:$J,"JHB")-SUMIFS(Transfers!$F:$F,Transfers!$C:$C,$A54,Transfers!$I:$I,"JHB",Transfers!$H:$H,"&lt;&gt;Y")+SUMIFS('Stock Received'!$I:$I,'Stock Received'!$E:$E,$A54,'Stock Received'!$L:$L,"JHB")</f>
        <v>0.0199999999999996</v>
      </c>
      <c r="G54" s="19" t="n">
        <f aca="false">SUMIFS('DBN Count'!$D:$D,'DBN Count'!$E:$E,$A54)-SUMIFS('Weekly Sales'!$F:$F,'Weekly Sales'!$H:$H,$A54,'Weekly Sales'!$I:$I,"DBN")+SUMIFS(Transfers!$F:$F,Transfers!$C:$C,$A54,Transfers!$J:$J,"DBN")-SUMIFS(Transfers!$F:$F,Transfers!$C:$C,$A54,Transfers!$I:$I,"DBN",Transfers!$H:$H,"&lt;&gt;Y")+SUMIFS('Stock Received'!$I:$I,'Stock Received'!$E:$E,$A54,'Stock Received'!$L:$L,"DBN")</f>
        <v>90.02</v>
      </c>
      <c r="H54" s="29" t="n">
        <f aca="false">E54+F54+G54</f>
        <v>766.41</v>
      </c>
      <c r="I54" s="19" t="n">
        <f aca="false">SUMIFS('Weekly Sales'!$F:$F,'Weekly Sales'!$H:$H,$A54)</f>
        <v>27.91</v>
      </c>
      <c r="J54" s="19" t="n">
        <f aca="false">SUMIFS(Orders!$L:$L,Orders!$D:$D,$A54,Orders!$F:$F,"&gt;="&amp;J$4,Orders!$F:$F,"&lt;"&amp;EDATE(J$4,1))</f>
        <v>0</v>
      </c>
      <c r="K54" s="19" t="n">
        <f aca="false">SUMIFS(Orders!$L:$L,Orders!$D:$D,$A54,Orders!$F:$F,"&gt;="&amp;K$4,Orders!$F:$F,"&lt;"&amp;EDATE(K$4,1))</f>
        <v>300</v>
      </c>
      <c r="L54" s="19" t="n">
        <f aca="false">SUMIFS(Orders!$L:$L,Orders!$D:$D,$A54,Orders!$F:$F,"&gt;="&amp;L$4,Orders!$F:$F,"&lt;"&amp;EDATE(L$4,1))</f>
        <v>0</v>
      </c>
      <c r="M54" s="19" t="n">
        <f aca="false">N54-J54-K54-L54</f>
        <v>0</v>
      </c>
      <c r="N54" s="19" t="n">
        <f aca="false">SUMIFS(Orders!$L:$L,Orders!$D:$D,$A54)</f>
        <v>300</v>
      </c>
      <c r="O54" s="19" t="n">
        <f aca="false">H54+N54</f>
        <v>1066.41</v>
      </c>
      <c r="P54" s="30" t="n">
        <v>260</v>
      </c>
      <c r="Q54" s="19" t="n">
        <f aca="false">IF(SUMIFS('Sales History'!$E:$E,'Sales History'!$G:$G,$A54)&gt;0,SUMIFS('Sales History'!$E:$E,'Sales History'!$G:$G,$A54)/Settings!$B$4,N(P54))</f>
        <v>260</v>
      </c>
      <c r="R54" s="18" t="str">
        <f aca="false">IF(SUMIFS('Sales History'!$E:$E,'Sales History'!$G:$G,$A54)&gt;0,"6-month history",IF(N(P54)&gt;0,"Current sheet","No sales data"))</f>
        <v>Current sheet</v>
      </c>
      <c r="S54" s="31" t="n">
        <f aca="false">IF(Q54&gt;0,H54/Q54,"")</f>
        <v>2.94773076923077</v>
      </c>
      <c r="T54" s="30" t="n">
        <v>500</v>
      </c>
      <c r="U54" s="19" t="n">
        <f aca="false">IF(T54="","",MAX(0,T54-O54))</f>
        <v>0</v>
      </c>
      <c r="V54" s="32" t="str">
        <f aca="false">IF(D54="End of range","END OF RANGE",IF(T54="","NO BUFFER SET",IF(H54&lt;=0,IF(O54&lt;T54,"OUT - REORDER","OUT - ON ORDER"),IF(O54&lt;T54,"REORDER",IF(H54&lt;T54,"LOW - ON ORDER",IF(AND(S54&lt;&gt;"",N(S54)&gt;Settings!$B$5),"SLOW MOVER","OK"))))))</f>
        <v>OK</v>
      </c>
      <c r="W54" s="18"/>
      <c r="X54" s="33" t="n">
        <f aca="false">IF(OR(D54="End of range",U54=""),0,IF(N(U54)&gt;0,U54+ROW()/1000000,0))</f>
        <v>0</v>
      </c>
    </row>
    <row r="55" customFormat="false" ht="14.25" hidden="false" customHeight="true" outlineLevel="0" collapsed="false">
      <c r="A55" s="18" t="s">
        <v>179</v>
      </c>
      <c r="B55" s="18" t="s">
        <v>180</v>
      </c>
      <c r="C55" s="18" t="s">
        <v>79</v>
      </c>
      <c r="D55" s="18" t="s">
        <v>181</v>
      </c>
      <c r="E55" s="19" t="n">
        <f aca="false">SUMIFS('CPT Count'!$D:$D,'CPT Count'!$A:$A,$A55)-SUMIFS('Weekly Sales'!$F:$F,'Weekly Sales'!$H:$H,$A55,'Weekly Sales'!$I:$I,"CPT")+SUMIFS(Transfers!$F:$F,Transfers!$C:$C,$A55,Transfers!$J:$J,"CPT")-SUMIFS(Transfers!$F:$F,Transfers!$C:$C,$A55,Transfers!$I:$I,"CPT",Transfers!$H:$H,"&lt;&gt;Y")+SUMIFS('Stock Received'!$I:$I,'Stock Received'!$E:$E,$A55,'Stock Received'!$L:$L,"CPT")</f>
        <v>172</v>
      </c>
      <c r="F55" s="19" t="n">
        <f aca="false">SUMIFS('JHB Count'!$E:$E,'JHB Count'!$F:$F,$A55)-SUMIFS('Weekly Sales'!$F:$F,'Weekly Sales'!$H:$H,$A55,'Weekly Sales'!$I:$I,"JHB")+SUMIFS(Transfers!$F:$F,Transfers!$C:$C,$A55,Transfers!$J:$J,"JHB")-SUMIFS(Transfers!$F:$F,Transfers!$C:$C,$A55,Transfers!$I:$I,"JHB",Transfers!$H:$H,"&lt;&gt;Y")+SUMIFS('Stock Received'!$I:$I,'Stock Received'!$E:$E,$A55,'Stock Received'!$L:$L,"JHB")</f>
        <v>8</v>
      </c>
      <c r="G55" s="19" t="n">
        <f aca="false">SUMIFS('DBN Count'!$D:$D,'DBN Count'!$E:$E,$A55)-SUMIFS('Weekly Sales'!$F:$F,'Weekly Sales'!$H:$H,$A55,'Weekly Sales'!$I:$I,"DBN")+SUMIFS(Transfers!$F:$F,Transfers!$C:$C,$A55,Transfers!$J:$J,"DBN")-SUMIFS(Transfers!$F:$F,Transfers!$C:$C,$A55,Transfers!$I:$I,"DBN",Transfers!$H:$H,"&lt;&gt;Y")+SUMIFS('Stock Received'!$I:$I,'Stock Received'!$E:$E,$A55,'Stock Received'!$L:$L,"DBN")</f>
        <v>4.34</v>
      </c>
      <c r="H55" s="29" t="n">
        <f aca="false">E55+F55+G55</f>
        <v>184.34</v>
      </c>
      <c r="I55" s="19" t="n">
        <f aca="false">SUMIFS('Weekly Sales'!$F:$F,'Weekly Sales'!$H:$H,$A55)</f>
        <v>0</v>
      </c>
      <c r="J55" s="19" t="n">
        <f aca="false">SUMIFS(Orders!$L:$L,Orders!$D:$D,$A55,Orders!$F:$F,"&gt;="&amp;J$4,Orders!$F:$F,"&lt;"&amp;EDATE(J$4,1))</f>
        <v>0</v>
      </c>
      <c r="K55" s="19" t="n">
        <f aca="false">SUMIFS(Orders!$L:$L,Orders!$D:$D,$A55,Orders!$F:$F,"&gt;="&amp;K$4,Orders!$F:$F,"&lt;"&amp;EDATE(K$4,1))</f>
        <v>0</v>
      </c>
      <c r="L55" s="19" t="n">
        <f aca="false">SUMIFS(Orders!$L:$L,Orders!$D:$D,$A55,Orders!$F:$F,"&gt;="&amp;L$4,Orders!$F:$F,"&lt;"&amp;EDATE(L$4,1))</f>
        <v>0</v>
      </c>
      <c r="M55" s="19" t="n">
        <f aca="false">N55-J55-K55-L55</f>
        <v>0</v>
      </c>
      <c r="N55" s="19" t="n">
        <f aca="false">SUMIFS(Orders!$L:$L,Orders!$D:$D,$A55)</f>
        <v>0</v>
      </c>
      <c r="O55" s="19" t="n">
        <f aca="false">H55+N55</f>
        <v>184.34</v>
      </c>
      <c r="P55" s="30" t="n">
        <v>10</v>
      </c>
      <c r="Q55" s="19" t="n">
        <f aca="false">IF(SUMIFS('Sales History'!$E:$E,'Sales History'!$G:$G,$A55)&gt;0,SUMIFS('Sales History'!$E:$E,'Sales History'!$G:$G,$A55)/Settings!$B$4,N(P55))</f>
        <v>10</v>
      </c>
      <c r="R55" s="18" t="str">
        <f aca="false">IF(SUMIFS('Sales History'!$E:$E,'Sales History'!$G:$G,$A55)&gt;0,"6-month history",IF(N(P55)&gt;0,"Current sheet","No sales data"))</f>
        <v>Current sheet</v>
      </c>
      <c r="S55" s="31" t="n">
        <f aca="false">IF(Q55&gt;0,H55/Q55,"")</f>
        <v>18.434</v>
      </c>
      <c r="T55" s="30"/>
      <c r="U55" s="19" t="str">
        <f aca="false">IF(T55="","",MAX(0,T55-O55))</f>
        <v/>
      </c>
      <c r="V55" s="32" t="str">
        <f aca="false">IF(D55="End of range","END OF RANGE",IF(T55="","NO BUFFER SET",IF(H55&lt;=0,IF(O55&lt;T55,"OUT - REORDER","OUT - ON ORDER"),IF(O55&lt;T55,"REORDER",IF(H55&lt;T55,"LOW - ON ORDER",IF(AND(S55&lt;&gt;"",N(S55)&gt;Settings!$B$5),"SLOW MOVER","OK"))))))</f>
        <v>END OF RANGE</v>
      </c>
      <c r="W55" s="18"/>
      <c r="X55" s="33" t="n">
        <f aca="false">IF(OR(D55="End of range",U55=""),0,IF(N(U55)&gt;0,U55+ROW()/1000000,0))</f>
        <v>0</v>
      </c>
    </row>
    <row r="56" customFormat="false" ht="14.25" hidden="false" customHeight="true" outlineLevel="0" collapsed="false">
      <c r="A56" s="18" t="s">
        <v>182</v>
      </c>
      <c r="B56" s="18" t="s">
        <v>183</v>
      </c>
      <c r="C56" s="18" t="s">
        <v>79</v>
      </c>
      <c r="D56" s="18" t="s">
        <v>181</v>
      </c>
      <c r="E56" s="19" t="n">
        <f aca="false">SUMIFS('CPT Count'!$D:$D,'CPT Count'!$A:$A,$A56)-SUMIFS('Weekly Sales'!$F:$F,'Weekly Sales'!$H:$H,$A56,'Weekly Sales'!$I:$I,"CPT")+SUMIFS(Transfers!$F:$F,Transfers!$C:$C,$A56,Transfers!$J:$J,"CPT")-SUMIFS(Transfers!$F:$F,Transfers!$C:$C,$A56,Transfers!$I:$I,"CPT",Transfers!$H:$H,"&lt;&gt;Y")+SUMIFS('Stock Received'!$I:$I,'Stock Received'!$E:$E,$A56,'Stock Received'!$L:$L,"CPT")</f>
        <v>220</v>
      </c>
      <c r="F56" s="19" t="n">
        <f aca="false">SUMIFS('JHB Count'!$E:$E,'JHB Count'!$F:$F,$A56)-SUMIFS('Weekly Sales'!$F:$F,'Weekly Sales'!$H:$H,$A56,'Weekly Sales'!$I:$I,"JHB")+SUMIFS(Transfers!$F:$F,Transfers!$C:$C,$A56,Transfers!$J:$J,"JHB")-SUMIFS(Transfers!$F:$F,Transfers!$C:$C,$A56,Transfers!$I:$I,"JHB",Transfers!$H:$H,"&lt;&gt;Y")+SUMIFS('Stock Received'!$I:$I,'Stock Received'!$E:$E,$A56,'Stock Received'!$L:$L,"JHB")</f>
        <v>0</v>
      </c>
      <c r="G56" s="19" t="n">
        <f aca="false">SUMIFS('DBN Count'!$D:$D,'DBN Count'!$E:$E,$A56)-SUMIFS('Weekly Sales'!$F:$F,'Weekly Sales'!$H:$H,$A56,'Weekly Sales'!$I:$I,"DBN")+SUMIFS(Transfers!$F:$F,Transfers!$C:$C,$A56,Transfers!$J:$J,"DBN")-SUMIFS(Transfers!$F:$F,Transfers!$C:$C,$A56,Transfers!$I:$I,"DBN",Transfers!$H:$H,"&lt;&gt;Y")+SUMIFS('Stock Received'!$I:$I,'Stock Received'!$E:$E,$A56,'Stock Received'!$L:$L,"DBN")</f>
        <v>0</v>
      </c>
      <c r="H56" s="29" t="n">
        <f aca="false">E56+F56+G56</f>
        <v>220</v>
      </c>
      <c r="I56" s="19" t="n">
        <f aca="false">SUMIFS('Weekly Sales'!$F:$F,'Weekly Sales'!$H:$H,$A56)</f>
        <v>0</v>
      </c>
      <c r="J56" s="19" t="n">
        <f aca="false">SUMIFS(Orders!$L:$L,Orders!$D:$D,$A56,Orders!$F:$F,"&gt;="&amp;J$4,Orders!$F:$F,"&lt;"&amp;EDATE(J$4,1))</f>
        <v>0</v>
      </c>
      <c r="K56" s="19" t="n">
        <f aca="false">SUMIFS(Orders!$L:$L,Orders!$D:$D,$A56,Orders!$F:$F,"&gt;="&amp;K$4,Orders!$F:$F,"&lt;"&amp;EDATE(K$4,1))</f>
        <v>0</v>
      </c>
      <c r="L56" s="19" t="n">
        <f aca="false">SUMIFS(Orders!$L:$L,Orders!$D:$D,$A56,Orders!$F:$F,"&gt;="&amp;L$4,Orders!$F:$F,"&lt;"&amp;EDATE(L$4,1))</f>
        <v>0</v>
      </c>
      <c r="M56" s="19" t="n">
        <f aca="false">N56-J56-K56-L56</f>
        <v>0</v>
      </c>
      <c r="N56" s="19" t="n">
        <f aca="false">SUMIFS(Orders!$L:$L,Orders!$D:$D,$A56)</f>
        <v>0</v>
      </c>
      <c r="O56" s="19" t="n">
        <f aca="false">H56+N56</f>
        <v>220</v>
      </c>
      <c r="P56" s="30" t="n">
        <v>20</v>
      </c>
      <c r="Q56" s="19" t="n">
        <f aca="false">IF(SUMIFS('Sales History'!$E:$E,'Sales History'!$G:$G,$A56)&gt;0,SUMIFS('Sales History'!$E:$E,'Sales History'!$G:$G,$A56)/Settings!$B$4,N(P56))</f>
        <v>20</v>
      </c>
      <c r="R56" s="18" t="str">
        <f aca="false">IF(SUMIFS('Sales History'!$E:$E,'Sales History'!$G:$G,$A56)&gt;0,"6-month history",IF(N(P56)&gt;0,"Current sheet","No sales data"))</f>
        <v>Current sheet</v>
      </c>
      <c r="S56" s="31" t="n">
        <f aca="false">IF(Q56&gt;0,H56/Q56,"")</f>
        <v>11</v>
      </c>
      <c r="T56" s="30"/>
      <c r="U56" s="19" t="str">
        <f aca="false">IF(T56="","",MAX(0,T56-O56))</f>
        <v/>
      </c>
      <c r="V56" s="32" t="str">
        <f aca="false">IF(D56="End of range","END OF RANGE",IF(T56="","NO BUFFER SET",IF(H56&lt;=0,IF(O56&lt;T56,"OUT - REORDER","OUT - ON ORDER"),IF(O56&lt;T56,"REORDER",IF(H56&lt;T56,"LOW - ON ORDER",IF(AND(S56&lt;&gt;"",N(S56)&gt;Settings!$B$5),"SLOW MOVER","OK"))))))</f>
        <v>END OF RANGE</v>
      </c>
      <c r="W56" s="18"/>
      <c r="X56" s="33" t="n">
        <f aca="false">IF(OR(D56="End of range",U56=""),0,IF(N(U56)&gt;0,U56+ROW()/1000000,0))</f>
        <v>0</v>
      </c>
    </row>
    <row r="57" customFormat="false" ht="14.25" hidden="false" customHeight="true" outlineLevel="0" collapsed="false">
      <c r="A57" s="18" t="s">
        <v>184</v>
      </c>
      <c r="B57" s="18" t="s">
        <v>185</v>
      </c>
      <c r="C57" s="18" t="s">
        <v>79</v>
      </c>
      <c r="D57" s="18" t="s">
        <v>181</v>
      </c>
      <c r="E57" s="19" t="n">
        <f aca="false">SUMIFS('CPT Count'!$D:$D,'CPT Count'!$A:$A,$A57)-SUMIFS('Weekly Sales'!$F:$F,'Weekly Sales'!$H:$H,$A57,'Weekly Sales'!$I:$I,"CPT")+SUMIFS(Transfers!$F:$F,Transfers!$C:$C,$A57,Transfers!$J:$J,"CPT")-SUMIFS(Transfers!$F:$F,Transfers!$C:$C,$A57,Transfers!$I:$I,"CPT",Transfers!$H:$H,"&lt;&gt;Y")+SUMIFS('Stock Received'!$I:$I,'Stock Received'!$E:$E,$A57,'Stock Received'!$L:$L,"CPT")</f>
        <v>440</v>
      </c>
      <c r="F57" s="19" t="n">
        <f aca="false">SUMIFS('JHB Count'!$E:$E,'JHB Count'!$F:$F,$A57)-SUMIFS('Weekly Sales'!$F:$F,'Weekly Sales'!$H:$H,$A57,'Weekly Sales'!$I:$I,"JHB")+SUMIFS(Transfers!$F:$F,Transfers!$C:$C,$A57,Transfers!$J:$J,"JHB")-SUMIFS(Transfers!$F:$F,Transfers!$C:$C,$A57,Transfers!$I:$I,"JHB",Transfers!$H:$H,"&lt;&gt;Y")+SUMIFS('Stock Received'!$I:$I,'Stock Received'!$E:$E,$A57,'Stock Received'!$L:$L,"JHB")</f>
        <v>4</v>
      </c>
      <c r="G57" s="19" t="n">
        <f aca="false">SUMIFS('DBN Count'!$D:$D,'DBN Count'!$E:$E,$A57)-SUMIFS('Weekly Sales'!$F:$F,'Weekly Sales'!$H:$H,$A57,'Weekly Sales'!$I:$I,"DBN")+SUMIFS(Transfers!$F:$F,Transfers!$C:$C,$A57,Transfers!$J:$J,"DBN")-SUMIFS(Transfers!$F:$F,Transfers!$C:$C,$A57,Transfers!$I:$I,"DBN",Transfers!$H:$H,"&lt;&gt;Y")+SUMIFS('Stock Received'!$I:$I,'Stock Received'!$E:$E,$A57,'Stock Received'!$L:$L,"DBN")</f>
        <v>4.54</v>
      </c>
      <c r="H57" s="29" t="n">
        <f aca="false">E57+F57+G57</f>
        <v>448.54</v>
      </c>
      <c r="I57" s="19" t="n">
        <f aca="false">SUMIFS('Weekly Sales'!$F:$F,'Weekly Sales'!$H:$H,$A57)</f>
        <v>0</v>
      </c>
      <c r="J57" s="19" t="n">
        <f aca="false">SUMIFS(Orders!$L:$L,Orders!$D:$D,$A57,Orders!$F:$F,"&gt;="&amp;J$4,Orders!$F:$F,"&lt;"&amp;EDATE(J$4,1))</f>
        <v>0</v>
      </c>
      <c r="K57" s="19" t="n">
        <f aca="false">SUMIFS(Orders!$L:$L,Orders!$D:$D,$A57,Orders!$F:$F,"&gt;="&amp;K$4,Orders!$F:$F,"&lt;"&amp;EDATE(K$4,1))</f>
        <v>0</v>
      </c>
      <c r="L57" s="19" t="n">
        <f aca="false">SUMIFS(Orders!$L:$L,Orders!$D:$D,$A57,Orders!$F:$F,"&gt;="&amp;L$4,Orders!$F:$F,"&lt;"&amp;EDATE(L$4,1))</f>
        <v>0</v>
      </c>
      <c r="M57" s="19" t="n">
        <f aca="false">N57-J57-K57-L57</f>
        <v>0</v>
      </c>
      <c r="N57" s="19" t="n">
        <f aca="false">SUMIFS(Orders!$L:$L,Orders!$D:$D,$A57)</f>
        <v>0</v>
      </c>
      <c r="O57" s="19" t="n">
        <f aca="false">H57+N57</f>
        <v>448.54</v>
      </c>
      <c r="P57" s="30" t="n">
        <v>20</v>
      </c>
      <c r="Q57" s="19" t="n">
        <f aca="false">IF(SUMIFS('Sales History'!$E:$E,'Sales History'!$G:$G,$A57)&gt;0,SUMIFS('Sales History'!$E:$E,'Sales History'!$G:$G,$A57)/Settings!$B$4,N(P57))</f>
        <v>20</v>
      </c>
      <c r="R57" s="18" t="str">
        <f aca="false">IF(SUMIFS('Sales History'!$E:$E,'Sales History'!$G:$G,$A57)&gt;0,"6-month history",IF(N(P57)&gt;0,"Current sheet","No sales data"))</f>
        <v>Current sheet</v>
      </c>
      <c r="S57" s="31" t="n">
        <f aca="false">IF(Q57&gt;0,H57/Q57,"")</f>
        <v>22.427</v>
      </c>
      <c r="T57" s="30"/>
      <c r="U57" s="19" t="str">
        <f aca="false">IF(T57="","",MAX(0,T57-O57))</f>
        <v/>
      </c>
      <c r="V57" s="32" t="str">
        <f aca="false">IF(D57="End of range","END OF RANGE",IF(T57="","NO BUFFER SET",IF(H57&lt;=0,IF(O57&lt;T57,"OUT - REORDER","OUT - ON ORDER"),IF(O57&lt;T57,"REORDER",IF(H57&lt;T57,"LOW - ON ORDER",IF(AND(S57&lt;&gt;"",N(S57)&gt;Settings!$B$5),"SLOW MOVER","OK"))))))</f>
        <v>END OF RANGE</v>
      </c>
      <c r="W57" s="18"/>
      <c r="X57" s="33" t="n">
        <f aca="false">IF(OR(D57="End of range",U57=""),0,IF(N(U57)&gt;0,U57+ROW()/1000000,0))</f>
        <v>0</v>
      </c>
    </row>
    <row r="58" customFormat="false" ht="14.25" hidden="false" customHeight="true" outlineLevel="0" collapsed="false">
      <c r="A58" s="18" t="s">
        <v>186</v>
      </c>
      <c r="B58" s="18" t="s">
        <v>187</v>
      </c>
      <c r="C58" s="18" t="s">
        <v>79</v>
      </c>
      <c r="D58" s="18" t="s">
        <v>80</v>
      </c>
      <c r="E58" s="19" t="n">
        <f aca="false">SUMIFS('CPT Count'!$D:$D,'CPT Count'!$A:$A,$A58)-SUMIFS('Weekly Sales'!$F:$F,'Weekly Sales'!$H:$H,$A58,'Weekly Sales'!$I:$I,"CPT")+SUMIFS(Transfers!$F:$F,Transfers!$C:$C,$A58,Transfers!$J:$J,"CPT")-SUMIFS(Transfers!$F:$F,Transfers!$C:$C,$A58,Transfers!$I:$I,"CPT",Transfers!$H:$H,"&lt;&gt;Y")+SUMIFS('Stock Received'!$I:$I,'Stock Received'!$E:$E,$A58,'Stock Received'!$L:$L,"CPT")</f>
        <v>351.82</v>
      </c>
      <c r="F58" s="19" t="n">
        <f aca="false">SUMIFS('JHB Count'!$E:$E,'JHB Count'!$F:$F,$A58)-SUMIFS('Weekly Sales'!$F:$F,'Weekly Sales'!$H:$H,$A58,'Weekly Sales'!$I:$I,"JHB")+SUMIFS(Transfers!$F:$F,Transfers!$C:$C,$A58,Transfers!$J:$J,"JHB")-SUMIFS(Transfers!$F:$F,Transfers!$C:$C,$A58,Transfers!$I:$I,"JHB",Transfers!$H:$H,"&lt;&gt;Y")+SUMIFS('Stock Received'!$I:$I,'Stock Received'!$E:$E,$A58,'Stock Received'!$L:$L,"JHB")</f>
        <v>-0.0299999999999976</v>
      </c>
      <c r="G58" s="19" t="n">
        <f aca="false">SUMIFS('DBN Count'!$D:$D,'DBN Count'!$E:$E,$A58)-SUMIFS('Weekly Sales'!$F:$F,'Weekly Sales'!$H:$H,$A58,'Weekly Sales'!$I:$I,"DBN")+SUMIFS(Transfers!$F:$F,Transfers!$C:$C,$A58,Transfers!$J:$J,"DBN")-SUMIFS(Transfers!$F:$F,Transfers!$C:$C,$A58,Transfers!$I:$I,"DBN",Transfers!$H:$H,"&lt;&gt;Y")+SUMIFS('Stock Received'!$I:$I,'Stock Received'!$E:$E,$A58,'Stock Received'!$L:$L,"DBN")</f>
        <v>18.01</v>
      </c>
      <c r="H58" s="29" t="n">
        <f aca="false">E58+F58+G58</f>
        <v>369.8</v>
      </c>
      <c r="I58" s="19" t="n">
        <f aca="false">SUMIFS('Weekly Sales'!$F:$F,'Weekly Sales'!$H:$H,$A58)</f>
        <v>104.95</v>
      </c>
      <c r="J58" s="19" t="n">
        <f aca="false">SUMIFS(Orders!$L:$L,Orders!$D:$D,$A58,Orders!$F:$F,"&gt;="&amp;J$4,Orders!$F:$F,"&lt;"&amp;EDATE(J$4,1))</f>
        <v>0</v>
      </c>
      <c r="K58" s="19" t="n">
        <f aca="false">SUMIFS(Orders!$L:$L,Orders!$D:$D,$A58,Orders!$F:$F,"&gt;="&amp;K$4,Orders!$F:$F,"&lt;"&amp;EDATE(K$4,1))</f>
        <v>0</v>
      </c>
      <c r="L58" s="19" t="n">
        <f aca="false">SUMIFS(Orders!$L:$L,Orders!$D:$D,$A58,Orders!$F:$F,"&gt;="&amp;L$4,Orders!$F:$F,"&lt;"&amp;EDATE(L$4,1))</f>
        <v>300</v>
      </c>
      <c r="M58" s="19" t="n">
        <f aca="false">N58-J58-K58-L58</f>
        <v>0</v>
      </c>
      <c r="N58" s="19" t="n">
        <f aca="false">SUMIFS(Orders!$L:$L,Orders!$D:$D,$A58)</f>
        <v>300</v>
      </c>
      <c r="O58" s="19" t="n">
        <f aca="false">H58+N58</f>
        <v>669.8</v>
      </c>
      <c r="P58" s="30" t="n">
        <v>140</v>
      </c>
      <c r="Q58" s="19" t="n">
        <f aca="false">IF(SUMIFS('Sales History'!$E:$E,'Sales History'!$G:$G,$A58)&gt;0,SUMIFS('Sales History'!$E:$E,'Sales History'!$G:$G,$A58)/Settings!$B$4,N(P58))</f>
        <v>140</v>
      </c>
      <c r="R58" s="18" t="str">
        <f aca="false">IF(SUMIFS('Sales History'!$E:$E,'Sales History'!$G:$G,$A58)&gt;0,"6-month history",IF(N(P58)&gt;0,"Current sheet","No sales data"))</f>
        <v>Current sheet</v>
      </c>
      <c r="S58" s="31" t="n">
        <f aca="false">IF(Q58&gt;0,H58/Q58,"")</f>
        <v>2.64142857142857</v>
      </c>
      <c r="T58" s="30" t="n">
        <v>300</v>
      </c>
      <c r="U58" s="19" t="n">
        <f aca="false">IF(T58="","",MAX(0,T58-O58))</f>
        <v>0</v>
      </c>
      <c r="V58" s="32" t="str">
        <f aca="false">IF(D58="End of range","END OF RANGE",IF(T58="","NO BUFFER SET",IF(H58&lt;=0,IF(O58&lt;T58,"OUT - REORDER","OUT - ON ORDER"),IF(O58&lt;T58,"REORDER",IF(H58&lt;T58,"LOW - ON ORDER",IF(AND(S58&lt;&gt;"",N(S58)&gt;Settings!$B$5),"SLOW MOVER","OK"))))))</f>
        <v>OK</v>
      </c>
      <c r="W58" s="18"/>
      <c r="X58" s="33" t="n">
        <f aca="false">IF(OR(D58="End of range",U58=""),0,IF(N(U58)&gt;0,U58+ROW()/1000000,0))</f>
        <v>0</v>
      </c>
    </row>
    <row r="59" customFormat="false" ht="14.25" hidden="false" customHeight="true" outlineLevel="0" collapsed="false">
      <c r="A59" s="18" t="s">
        <v>188</v>
      </c>
      <c r="B59" s="18" t="s">
        <v>189</v>
      </c>
      <c r="C59" s="18" t="s">
        <v>79</v>
      </c>
      <c r="D59" s="18" t="s">
        <v>80</v>
      </c>
      <c r="E59" s="19" t="n">
        <f aca="false">SUMIFS('CPT Count'!$D:$D,'CPT Count'!$A:$A,$A59)-SUMIFS('Weekly Sales'!$F:$F,'Weekly Sales'!$H:$H,$A59,'Weekly Sales'!$I:$I,"CPT")+SUMIFS(Transfers!$F:$F,Transfers!$C:$C,$A59,Transfers!$J:$J,"CPT")-SUMIFS(Transfers!$F:$F,Transfers!$C:$C,$A59,Transfers!$I:$I,"CPT",Transfers!$H:$H,"&lt;&gt;Y")+SUMIFS('Stock Received'!$I:$I,'Stock Received'!$E:$E,$A59,'Stock Received'!$L:$L,"CPT")</f>
        <v>260</v>
      </c>
      <c r="F59" s="19" t="n">
        <f aca="false">SUMIFS('JHB Count'!$E:$E,'JHB Count'!$F:$F,$A59)-SUMIFS('Weekly Sales'!$F:$F,'Weekly Sales'!$H:$H,$A59,'Weekly Sales'!$I:$I,"JHB")+SUMIFS(Transfers!$F:$F,Transfers!$C:$C,$A59,Transfers!$J:$J,"JHB")-SUMIFS(Transfers!$F:$F,Transfers!$C:$C,$A59,Transfers!$I:$I,"JHB",Transfers!$H:$H,"&lt;&gt;Y")+SUMIFS('Stock Received'!$I:$I,'Stock Received'!$E:$E,$A59,'Stock Received'!$L:$L,"JHB")</f>
        <v>29.03</v>
      </c>
      <c r="G59" s="19" t="n">
        <f aca="false">SUMIFS('DBN Count'!$D:$D,'DBN Count'!$E:$E,$A59)-SUMIFS('Weekly Sales'!$F:$F,'Weekly Sales'!$H:$H,$A59,'Weekly Sales'!$I:$I,"DBN")+SUMIFS(Transfers!$F:$F,Transfers!$C:$C,$A59,Transfers!$J:$J,"DBN")-SUMIFS(Transfers!$F:$F,Transfers!$C:$C,$A59,Transfers!$I:$I,"DBN",Transfers!$H:$H,"&lt;&gt;Y")+SUMIFS('Stock Received'!$I:$I,'Stock Received'!$E:$E,$A59,'Stock Received'!$L:$L,"DBN")</f>
        <v>36.62</v>
      </c>
      <c r="H59" s="29" t="n">
        <f aca="false">E59+F59+G59</f>
        <v>325.65</v>
      </c>
      <c r="I59" s="19" t="n">
        <f aca="false">SUMIFS('Weekly Sales'!$F:$F,'Weekly Sales'!$H:$H,$A59)</f>
        <v>30.97</v>
      </c>
      <c r="J59" s="19" t="n">
        <f aca="false">SUMIFS(Orders!$L:$L,Orders!$D:$D,$A59,Orders!$F:$F,"&gt;="&amp;J$4,Orders!$F:$F,"&lt;"&amp;EDATE(J$4,1))</f>
        <v>0</v>
      </c>
      <c r="K59" s="19" t="n">
        <f aca="false">SUMIFS(Orders!$L:$L,Orders!$D:$D,$A59,Orders!$F:$F,"&gt;="&amp;K$4,Orders!$F:$F,"&lt;"&amp;EDATE(K$4,1))</f>
        <v>0</v>
      </c>
      <c r="L59" s="19" t="n">
        <f aca="false">SUMIFS(Orders!$L:$L,Orders!$D:$D,$A59,Orders!$F:$F,"&gt;="&amp;L$4,Orders!$F:$F,"&lt;"&amp;EDATE(L$4,1))</f>
        <v>200</v>
      </c>
      <c r="M59" s="19" t="n">
        <f aca="false">N59-J59-K59-L59</f>
        <v>0</v>
      </c>
      <c r="N59" s="19" t="n">
        <f aca="false">SUMIFS(Orders!$L:$L,Orders!$D:$D,$A59)</f>
        <v>200</v>
      </c>
      <c r="O59" s="19" t="n">
        <f aca="false">H59+N59</f>
        <v>525.65</v>
      </c>
      <c r="P59" s="30" t="n">
        <v>55</v>
      </c>
      <c r="Q59" s="19" t="n">
        <f aca="false">IF(SUMIFS('Sales History'!$E:$E,'Sales History'!$G:$G,$A59)&gt;0,SUMIFS('Sales History'!$E:$E,'Sales History'!$G:$G,$A59)/Settings!$B$4,N(P59))</f>
        <v>55</v>
      </c>
      <c r="R59" s="18" t="str">
        <f aca="false">IF(SUMIFS('Sales History'!$E:$E,'Sales History'!$G:$G,$A59)&gt;0,"6-month history",IF(N(P59)&gt;0,"Current sheet","No sales data"))</f>
        <v>Current sheet</v>
      </c>
      <c r="S59" s="31" t="n">
        <f aca="false">IF(Q59&gt;0,H59/Q59,"")</f>
        <v>5.92090909090909</v>
      </c>
      <c r="T59" s="30" t="n">
        <v>200</v>
      </c>
      <c r="U59" s="19" t="n">
        <f aca="false">IF(T59="","",MAX(0,T59-O59))</f>
        <v>0</v>
      </c>
      <c r="V59" s="32" t="str">
        <f aca="false">IF(D59="End of range","END OF RANGE",IF(T59="","NO BUFFER SET",IF(H59&lt;=0,IF(O59&lt;T59,"OUT - REORDER","OUT - ON ORDER"),IF(O59&lt;T59,"REORDER",IF(H59&lt;T59,"LOW - ON ORDER",IF(AND(S59&lt;&gt;"",N(S59)&gt;Settings!$B$5),"SLOW MOVER","OK"))))))</f>
        <v>OK</v>
      </c>
      <c r="W59" s="18"/>
      <c r="X59" s="33" t="n">
        <f aca="false">IF(OR(D59="End of range",U59=""),0,IF(N(U59)&gt;0,U59+ROW()/1000000,0))</f>
        <v>0</v>
      </c>
    </row>
    <row r="60" customFormat="false" ht="14.25" hidden="false" customHeight="true" outlineLevel="0" collapsed="false">
      <c r="A60" s="18" t="s">
        <v>190</v>
      </c>
      <c r="B60" s="18" t="s">
        <v>191</v>
      </c>
      <c r="C60" s="18" t="s">
        <v>79</v>
      </c>
      <c r="D60" s="18" t="s">
        <v>80</v>
      </c>
      <c r="E60" s="19" t="n">
        <f aca="false">SUMIFS('CPT Count'!$D:$D,'CPT Count'!$A:$A,$A60)-SUMIFS('Weekly Sales'!$F:$F,'Weekly Sales'!$H:$H,$A60,'Weekly Sales'!$I:$I,"CPT")+SUMIFS(Transfers!$F:$F,Transfers!$C:$C,$A60,Transfers!$J:$J,"CPT")-SUMIFS(Transfers!$F:$F,Transfers!$C:$C,$A60,Transfers!$I:$I,"CPT",Transfers!$H:$H,"&lt;&gt;Y")+SUMIFS('Stock Received'!$I:$I,'Stock Received'!$E:$E,$A60,'Stock Received'!$L:$L,"CPT")</f>
        <v>760</v>
      </c>
      <c r="F60" s="19" t="n">
        <f aca="false">SUMIFS('JHB Count'!$E:$E,'JHB Count'!$F:$F,$A60)-SUMIFS('Weekly Sales'!$F:$F,'Weekly Sales'!$H:$H,$A60,'Weekly Sales'!$I:$I,"JHB")+SUMIFS(Transfers!$F:$F,Transfers!$C:$C,$A60,Transfers!$J:$J,"JHB")-SUMIFS(Transfers!$F:$F,Transfers!$C:$C,$A60,Transfers!$I:$I,"JHB",Transfers!$H:$H,"&lt;&gt;Y")+SUMIFS('Stock Received'!$I:$I,'Stock Received'!$E:$E,$A60,'Stock Received'!$L:$L,"JHB")</f>
        <v>52.24</v>
      </c>
      <c r="G60" s="19" t="n">
        <f aca="false">SUMIFS('DBN Count'!$D:$D,'DBN Count'!$E:$E,$A60)-SUMIFS('Weekly Sales'!$F:$F,'Weekly Sales'!$H:$H,$A60,'Weekly Sales'!$I:$I,"DBN")+SUMIFS(Transfers!$F:$F,Transfers!$C:$C,$A60,Transfers!$J:$J,"DBN")-SUMIFS(Transfers!$F:$F,Transfers!$C:$C,$A60,Transfers!$I:$I,"DBN",Transfers!$H:$H,"&lt;&gt;Y")+SUMIFS('Stock Received'!$I:$I,'Stock Received'!$E:$E,$A60,'Stock Received'!$L:$L,"DBN")</f>
        <v>0</v>
      </c>
      <c r="H60" s="29" t="n">
        <f aca="false">E60+F60+G60</f>
        <v>812.24</v>
      </c>
      <c r="I60" s="19" t="n">
        <f aca="false">SUMIFS('Weekly Sales'!$F:$F,'Weekly Sales'!$H:$H,$A60)</f>
        <v>3.76</v>
      </c>
      <c r="J60" s="19" t="n">
        <f aca="false">SUMIFS(Orders!$L:$L,Orders!$D:$D,$A60,Orders!$F:$F,"&gt;="&amp;J$4,Orders!$F:$F,"&lt;"&amp;EDATE(J$4,1))</f>
        <v>0</v>
      </c>
      <c r="K60" s="19" t="n">
        <f aca="false">SUMIFS(Orders!$L:$L,Orders!$D:$D,$A60,Orders!$F:$F,"&gt;="&amp;K$4,Orders!$F:$F,"&lt;"&amp;EDATE(K$4,1))</f>
        <v>0</v>
      </c>
      <c r="L60" s="19" t="n">
        <f aca="false">SUMIFS(Orders!$L:$L,Orders!$D:$D,$A60,Orders!$F:$F,"&gt;="&amp;L$4,Orders!$F:$F,"&lt;"&amp;EDATE(L$4,1))</f>
        <v>0</v>
      </c>
      <c r="M60" s="19" t="n">
        <f aca="false">N60-J60-K60-L60</f>
        <v>0</v>
      </c>
      <c r="N60" s="19" t="n">
        <f aca="false">SUMIFS(Orders!$L:$L,Orders!$D:$D,$A60)</f>
        <v>0</v>
      </c>
      <c r="O60" s="19" t="n">
        <f aca="false">H60+N60</f>
        <v>812.24</v>
      </c>
      <c r="P60" s="30" t="n">
        <v>40</v>
      </c>
      <c r="Q60" s="19" t="n">
        <f aca="false">IF(SUMIFS('Sales History'!$E:$E,'Sales History'!$G:$G,$A60)&gt;0,SUMIFS('Sales History'!$E:$E,'Sales History'!$G:$G,$A60)/Settings!$B$4,N(P60))</f>
        <v>40</v>
      </c>
      <c r="R60" s="18" t="str">
        <f aca="false">IF(SUMIFS('Sales History'!$E:$E,'Sales History'!$G:$G,$A60)&gt;0,"6-month history",IF(N(P60)&gt;0,"Current sheet","No sales data"))</f>
        <v>Current sheet</v>
      </c>
      <c r="S60" s="31" t="n">
        <f aca="false">IF(Q60&gt;0,H60/Q60,"")</f>
        <v>20.306</v>
      </c>
      <c r="T60" s="30" t="n">
        <v>200</v>
      </c>
      <c r="U60" s="19" t="n">
        <f aca="false">IF(T60="","",MAX(0,T60-O60))</f>
        <v>0</v>
      </c>
      <c r="V60" s="32" t="str">
        <f aca="false">IF(D60="End of range","END OF RANGE",IF(T60="","NO BUFFER SET",IF(H60&lt;=0,IF(O60&lt;T60,"OUT - REORDER","OUT - ON ORDER"),IF(O60&lt;T60,"REORDER",IF(H60&lt;T60,"LOW - ON ORDER",IF(AND(S60&lt;&gt;"",N(S60)&gt;Settings!$B$5),"SLOW MOVER","OK"))))))</f>
        <v>SLOW MOVER</v>
      </c>
      <c r="W60" s="18"/>
      <c r="X60" s="33" t="n">
        <f aca="false">IF(OR(D60="End of range",U60=""),0,IF(N(U60)&gt;0,U60+ROW()/1000000,0))</f>
        <v>0</v>
      </c>
    </row>
    <row r="61" customFormat="false" ht="14.25" hidden="false" customHeight="true" outlineLevel="0" collapsed="false">
      <c r="A61" s="18" t="s">
        <v>192</v>
      </c>
      <c r="B61" s="18" t="s">
        <v>193</v>
      </c>
      <c r="C61" s="18" t="s">
        <v>79</v>
      </c>
      <c r="D61" s="18" t="s">
        <v>80</v>
      </c>
      <c r="E61" s="19" t="n">
        <f aca="false">SUMIFS('CPT Count'!$D:$D,'CPT Count'!$A:$A,$A61)-SUMIFS('Weekly Sales'!$F:$F,'Weekly Sales'!$H:$H,$A61,'Weekly Sales'!$I:$I,"CPT")+SUMIFS(Transfers!$F:$F,Transfers!$C:$C,$A61,Transfers!$J:$J,"CPT")-SUMIFS(Transfers!$F:$F,Transfers!$C:$C,$A61,Transfers!$I:$I,"CPT",Transfers!$H:$H,"&lt;&gt;Y")+SUMIFS('Stock Received'!$I:$I,'Stock Received'!$E:$E,$A61,'Stock Received'!$L:$L,"CPT")</f>
        <v>57</v>
      </c>
      <c r="F61" s="19" t="n">
        <f aca="false">SUMIFS('JHB Count'!$E:$E,'JHB Count'!$F:$F,$A61)-SUMIFS('Weekly Sales'!$F:$F,'Weekly Sales'!$H:$H,$A61,'Weekly Sales'!$I:$I,"JHB")+SUMIFS(Transfers!$F:$F,Transfers!$C:$C,$A61,Transfers!$J:$J,"JHB")-SUMIFS(Transfers!$F:$F,Transfers!$C:$C,$A61,Transfers!$I:$I,"JHB",Transfers!$H:$H,"&lt;&gt;Y")+SUMIFS('Stock Received'!$I:$I,'Stock Received'!$E:$E,$A61,'Stock Received'!$L:$L,"JHB")</f>
        <v>36.27</v>
      </c>
      <c r="G61" s="19" t="n">
        <f aca="false">SUMIFS('DBN Count'!$D:$D,'DBN Count'!$E:$E,$A61)-SUMIFS('Weekly Sales'!$F:$F,'Weekly Sales'!$H:$H,$A61,'Weekly Sales'!$I:$I,"DBN")+SUMIFS(Transfers!$F:$F,Transfers!$C:$C,$A61,Transfers!$J:$J,"DBN")-SUMIFS(Transfers!$F:$F,Transfers!$C:$C,$A61,Transfers!$I:$I,"DBN",Transfers!$H:$H,"&lt;&gt;Y")+SUMIFS('Stock Received'!$I:$I,'Stock Received'!$E:$E,$A61,'Stock Received'!$L:$L,"DBN")</f>
        <v>3.59</v>
      </c>
      <c r="H61" s="29" t="n">
        <f aca="false">E61+F61+G61</f>
        <v>96.86</v>
      </c>
      <c r="I61" s="19" t="n">
        <f aca="false">SUMIFS('Weekly Sales'!$F:$F,'Weekly Sales'!$H:$H,$A61)</f>
        <v>22.73</v>
      </c>
      <c r="J61" s="19" t="n">
        <f aca="false">SUMIFS(Orders!$L:$L,Orders!$D:$D,$A61,Orders!$F:$F,"&gt;="&amp;J$4,Orders!$F:$F,"&lt;"&amp;EDATE(J$4,1))</f>
        <v>0</v>
      </c>
      <c r="K61" s="19" t="n">
        <f aca="false">SUMIFS(Orders!$L:$L,Orders!$D:$D,$A61,Orders!$F:$F,"&gt;="&amp;K$4,Orders!$F:$F,"&lt;"&amp;EDATE(K$4,1))</f>
        <v>300</v>
      </c>
      <c r="L61" s="19" t="n">
        <f aca="false">SUMIFS(Orders!$L:$L,Orders!$D:$D,$A61,Orders!$F:$F,"&gt;="&amp;L$4,Orders!$F:$F,"&lt;"&amp;EDATE(L$4,1))</f>
        <v>0</v>
      </c>
      <c r="M61" s="19" t="n">
        <f aca="false">N61-J61-K61-L61</f>
        <v>0</v>
      </c>
      <c r="N61" s="19" t="n">
        <f aca="false">SUMIFS(Orders!$L:$L,Orders!$D:$D,$A61)</f>
        <v>300</v>
      </c>
      <c r="O61" s="19" t="n">
        <f aca="false">H61+N61</f>
        <v>396.86</v>
      </c>
      <c r="P61" s="30" t="n">
        <v>55</v>
      </c>
      <c r="Q61" s="19" t="n">
        <f aca="false">IF(SUMIFS('Sales History'!$E:$E,'Sales History'!$G:$G,$A61)&gt;0,SUMIFS('Sales History'!$E:$E,'Sales History'!$G:$G,$A61)/Settings!$B$4,N(P61))</f>
        <v>55</v>
      </c>
      <c r="R61" s="18" t="str">
        <f aca="false">IF(SUMIFS('Sales History'!$E:$E,'Sales History'!$G:$G,$A61)&gt;0,"6-month history",IF(N(P61)&gt;0,"Current sheet","No sales data"))</f>
        <v>Current sheet</v>
      </c>
      <c r="S61" s="31" t="n">
        <f aca="false">IF(Q61&gt;0,H61/Q61,"")</f>
        <v>1.76109090909091</v>
      </c>
      <c r="T61" s="30" t="n">
        <v>200</v>
      </c>
      <c r="U61" s="19" t="n">
        <f aca="false">IF(T61="","",MAX(0,T61-O61))</f>
        <v>0</v>
      </c>
      <c r="V61" s="32" t="str">
        <f aca="false">IF(D61="End of range","END OF RANGE",IF(T61="","NO BUFFER SET",IF(H61&lt;=0,IF(O61&lt;T61,"OUT - REORDER","OUT - ON ORDER"),IF(O61&lt;T61,"REORDER",IF(H61&lt;T61,"LOW - ON ORDER",IF(AND(S61&lt;&gt;"",N(S61)&gt;Settings!$B$5),"SLOW MOVER","OK"))))))</f>
        <v>LOW - ON ORDER</v>
      </c>
      <c r="W61" s="18"/>
      <c r="X61" s="33" t="n">
        <f aca="false">IF(OR(D61="End of range",U61=""),0,IF(N(U61)&gt;0,U61+ROW()/1000000,0))</f>
        <v>0</v>
      </c>
    </row>
    <row r="62" customFormat="false" ht="14.25" hidden="false" customHeight="true" outlineLevel="0" collapsed="false">
      <c r="A62" s="18" t="s">
        <v>194</v>
      </c>
      <c r="B62" s="18" t="s">
        <v>195</v>
      </c>
      <c r="C62" s="18" t="s">
        <v>79</v>
      </c>
      <c r="D62" s="18" t="s">
        <v>80</v>
      </c>
      <c r="E62" s="19" t="n">
        <f aca="false">SUMIFS('CPT Count'!$D:$D,'CPT Count'!$A:$A,$A62)-SUMIFS('Weekly Sales'!$F:$F,'Weekly Sales'!$H:$H,$A62,'Weekly Sales'!$I:$I,"CPT")+SUMIFS(Transfers!$F:$F,Transfers!$C:$C,$A62,Transfers!$J:$J,"CPT")-SUMIFS(Transfers!$F:$F,Transfers!$C:$C,$A62,Transfers!$I:$I,"CPT",Transfers!$H:$H,"&lt;&gt;Y")+SUMIFS('Stock Received'!$I:$I,'Stock Received'!$E:$E,$A62,'Stock Received'!$L:$L,"CPT")</f>
        <v>69.01</v>
      </c>
      <c r="F62" s="19" t="n">
        <f aca="false">SUMIFS('JHB Count'!$E:$E,'JHB Count'!$F:$F,$A62)-SUMIFS('Weekly Sales'!$F:$F,'Weekly Sales'!$H:$H,$A62,'Weekly Sales'!$I:$I,"JHB")+SUMIFS(Transfers!$F:$F,Transfers!$C:$C,$A62,Transfers!$J:$J,"JHB")-SUMIFS(Transfers!$F:$F,Transfers!$C:$C,$A62,Transfers!$I:$I,"JHB",Transfers!$H:$H,"&lt;&gt;Y")+SUMIFS('Stock Received'!$I:$I,'Stock Received'!$E:$E,$A62,'Stock Received'!$L:$L,"JHB")</f>
        <v>148</v>
      </c>
      <c r="G62" s="19" t="n">
        <f aca="false">SUMIFS('DBN Count'!$D:$D,'DBN Count'!$E:$E,$A62)-SUMIFS('Weekly Sales'!$F:$F,'Weekly Sales'!$H:$H,$A62,'Weekly Sales'!$I:$I,"DBN")+SUMIFS(Transfers!$F:$F,Transfers!$C:$C,$A62,Transfers!$J:$J,"DBN")-SUMIFS(Transfers!$F:$F,Transfers!$C:$C,$A62,Transfers!$I:$I,"DBN",Transfers!$H:$H,"&lt;&gt;Y")+SUMIFS('Stock Received'!$I:$I,'Stock Received'!$E:$E,$A62,'Stock Received'!$L:$L,"DBN")</f>
        <v>0</v>
      </c>
      <c r="H62" s="29" t="n">
        <f aca="false">E62+F62+G62</f>
        <v>217.01</v>
      </c>
      <c r="I62" s="19" t="n">
        <f aca="false">SUMIFS('Weekly Sales'!$F:$F,'Weekly Sales'!$H:$H,$A62)</f>
        <v>11.99</v>
      </c>
      <c r="J62" s="19" t="n">
        <f aca="false">SUMIFS(Orders!$L:$L,Orders!$D:$D,$A62,Orders!$F:$F,"&gt;="&amp;J$4,Orders!$F:$F,"&lt;"&amp;EDATE(J$4,1))</f>
        <v>300</v>
      </c>
      <c r="K62" s="19" t="n">
        <f aca="false">SUMIFS(Orders!$L:$L,Orders!$D:$D,$A62,Orders!$F:$F,"&gt;="&amp;K$4,Orders!$F:$F,"&lt;"&amp;EDATE(K$4,1))</f>
        <v>0</v>
      </c>
      <c r="L62" s="19" t="n">
        <f aca="false">SUMIFS(Orders!$L:$L,Orders!$D:$D,$A62,Orders!$F:$F,"&gt;="&amp;L$4,Orders!$F:$F,"&lt;"&amp;EDATE(L$4,1))</f>
        <v>300</v>
      </c>
      <c r="M62" s="19" t="n">
        <f aca="false">N62-J62-K62-L62</f>
        <v>0</v>
      </c>
      <c r="N62" s="19" t="n">
        <f aca="false">SUMIFS(Orders!$L:$L,Orders!$D:$D,$A62)</f>
        <v>600</v>
      </c>
      <c r="O62" s="19" t="n">
        <f aca="false">H62+N62</f>
        <v>817.01</v>
      </c>
      <c r="P62" s="30" t="n">
        <v>105</v>
      </c>
      <c r="Q62" s="19" t="n">
        <f aca="false">IF(SUMIFS('Sales History'!$E:$E,'Sales History'!$G:$G,$A62)&gt;0,SUMIFS('Sales History'!$E:$E,'Sales History'!$G:$G,$A62)/Settings!$B$4,N(P62))</f>
        <v>105</v>
      </c>
      <c r="R62" s="18" t="str">
        <f aca="false">IF(SUMIFS('Sales History'!$E:$E,'Sales History'!$G:$G,$A62)&gt;0,"6-month history",IF(N(P62)&gt;0,"Current sheet","No sales data"))</f>
        <v>Current sheet</v>
      </c>
      <c r="S62" s="31" t="n">
        <f aca="false">IF(Q62&gt;0,H62/Q62,"")</f>
        <v>2.0667619047619</v>
      </c>
      <c r="T62" s="30" t="n">
        <v>300</v>
      </c>
      <c r="U62" s="19" t="n">
        <f aca="false">IF(T62="","",MAX(0,T62-O62))</f>
        <v>0</v>
      </c>
      <c r="V62" s="32" t="str">
        <f aca="false">IF(D62="End of range","END OF RANGE",IF(T62="","NO BUFFER SET",IF(H62&lt;=0,IF(O62&lt;T62,"OUT - REORDER","OUT - ON ORDER"),IF(O62&lt;T62,"REORDER",IF(H62&lt;T62,"LOW - ON ORDER",IF(AND(S62&lt;&gt;"",N(S62)&gt;Settings!$B$5),"SLOW MOVER","OK"))))))</f>
        <v>LOW - ON ORDER</v>
      </c>
      <c r="W62" s="18"/>
      <c r="X62" s="33" t="n">
        <f aca="false">IF(OR(D62="End of range",U62=""),0,IF(N(U62)&gt;0,U62+ROW()/1000000,0))</f>
        <v>0</v>
      </c>
    </row>
    <row r="63" customFormat="false" ht="14.25" hidden="false" customHeight="true" outlineLevel="0" collapsed="false">
      <c r="A63" s="18" t="s">
        <v>196</v>
      </c>
      <c r="B63" s="18" t="s">
        <v>197</v>
      </c>
      <c r="C63" s="18" t="s">
        <v>79</v>
      </c>
      <c r="D63" s="18" t="s">
        <v>80</v>
      </c>
      <c r="E63" s="19" t="n">
        <f aca="false">SUMIFS('CPT Count'!$D:$D,'CPT Count'!$A:$A,$A63)-SUMIFS('Weekly Sales'!$F:$F,'Weekly Sales'!$H:$H,$A63,'Weekly Sales'!$I:$I,"CPT")+SUMIFS(Transfers!$F:$F,Transfers!$C:$C,$A63,Transfers!$J:$J,"CPT")-SUMIFS(Transfers!$F:$F,Transfers!$C:$C,$A63,Transfers!$I:$I,"CPT",Transfers!$H:$H,"&lt;&gt;Y")+SUMIFS('Stock Received'!$I:$I,'Stock Received'!$E:$E,$A63,'Stock Received'!$L:$L,"CPT")</f>
        <v>2423.13</v>
      </c>
      <c r="F63" s="19" t="n">
        <f aca="false">SUMIFS('JHB Count'!$E:$E,'JHB Count'!$F:$F,$A63)-SUMIFS('Weekly Sales'!$F:$F,'Weekly Sales'!$H:$H,$A63,'Weekly Sales'!$I:$I,"JHB")+SUMIFS(Transfers!$F:$F,Transfers!$C:$C,$A63,Transfers!$J:$J,"JHB")-SUMIFS(Transfers!$F:$F,Transfers!$C:$C,$A63,Transfers!$I:$I,"JHB",Transfers!$H:$H,"&lt;&gt;Y")+SUMIFS('Stock Received'!$I:$I,'Stock Received'!$E:$E,$A63,'Stock Received'!$L:$L,"JHB")</f>
        <v>147.04</v>
      </c>
      <c r="G63" s="19" t="n">
        <f aca="false">SUMIFS('DBN Count'!$D:$D,'DBN Count'!$E:$E,$A63)-SUMIFS('Weekly Sales'!$F:$F,'Weekly Sales'!$H:$H,$A63,'Weekly Sales'!$I:$I,"DBN")+SUMIFS(Transfers!$F:$F,Transfers!$C:$C,$A63,Transfers!$J:$J,"DBN")-SUMIFS(Transfers!$F:$F,Transfers!$C:$C,$A63,Transfers!$I:$I,"DBN",Transfers!$H:$H,"&lt;&gt;Y")+SUMIFS('Stock Received'!$I:$I,'Stock Received'!$E:$E,$A63,'Stock Received'!$L:$L,"DBN")</f>
        <v>115.9</v>
      </c>
      <c r="H63" s="29" t="n">
        <f aca="false">E63+F63+G63</f>
        <v>2686.07</v>
      </c>
      <c r="I63" s="19" t="n">
        <f aca="false">SUMIFS('Weekly Sales'!$F:$F,'Weekly Sales'!$H:$H,$A63)</f>
        <v>224.83</v>
      </c>
      <c r="J63" s="19" t="n">
        <f aca="false">SUMIFS(Orders!$L:$L,Orders!$D:$D,$A63,Orders!$F:$F,"&gt;="&amp;J$4,Orders!$F:$F,"&lt;"&amp;EDATE(J$4,1))</f>
        <v>0</v>
      </c>
      <c r="K63" s="19" t="n">
        <f aca="false">SUMIFS(Orders!$L:$L,Orders!$D:$D,$A63,Orders!$F:$F,"&gt;="&amp;K$4,Orders!$F:$F,"&lt;"&amp;EDATE(K$4,1))</f>
        <v>1500</v>
      </c>
      <c r="L63" s="19" t="n">
        <f aca="false">SUMIFS(Orders!$L:$L,Orders!$D:$D,$A63,Orders!$F:$F,"&gt;="&amp;L$4,Orders!$F:$F,"&lt;"&amp;EDATE(L$4,1))</f>
        <v>0</v>
      </c>
      <c r="M63" s="19" t="n">
        <f aca="false">N63-J63-K63-L63</f>
        <v>0</v>
      </c>
      <c r="N63" s="19" t="n">
        <f aca="false">SUMIFS(Orders!$L:$L,Orders!$D:$D,$A63)</f>
        <v>1500</v>
      </c>
      <c r="O63" s="19" t="n">
        <f aca="false">H63+N63</f>
        <v>4186.07</v>
      </c>
      <c r="P63" s="30" t="n">
        <v>1000</v>
      </c>
      <c r="Q63" s="19" t="n">
        <f aca="false">IF(SUMIFS('Sales History'!$E:$E,'Sales History'!$G:$G,$A63)&gt;0,SUMIFS('Sales History'!$E:$E,'Sales History'!$G:$G,$A63)/Settings!$B$4,N(P63))</f>
        <v>1000</v>
      </c>
      <c r="R63" s="18" t="str">
        <f aca="false">IF(SUMIFS('Sales History'!$E:$E,'Sales History'!$G:$G,$A63)&gt;0,"6-month history",IF(N(P63)&gt;0,"Current sheet","No sales data"))</f>
        <v>Current sheet</v>
      </c>
      <c r="S63" s="31" t="n">
        <f aca="false">IF(Q63&gt;0,H63/Q63,"")</f>
        <v>2.68607</v>
      </c>
      <c r="T63" s="30" t="n">
        <v>3000</v>
      </c>
      <c r="U63" s="19" t="n">
        <f aca="false">IF(T63="","",MAX(0,T63-O63))</f>
        <v>0</v>
      </c>
      <c r="V63" s="32" t="str">
        <f aca="false">IF(D63="End of range","END OF RANGE",IF(T63="","NO BUFFER SET",IF(H63&lt;=0,IF(O63&lt;T63,"OUT - REORDER","OUT - ON ORDER"),IF(O63&lt;T63,"REORDER",IF(H63&lt;T63,"LOW - ON ORDER",IF(AND(S63&lt;&gt;"",N(S63)&gt;Settings!$B$5),"SLOW MOVER","OK"))))))</f>
        <v>LOW - ON ORDER</v>
      </c>
      <c r="W63" s="18"/>
      <c r="X63" s="33" t="n">
        <f aca="false">IF(OR(D63="End of range",U63=""),0,IF(N(U63)&gt;0,U63+ROW()/1000000,0))</f>
        <v>0</v>
      </c>
    </row>
    <row r="64" customFormat="false" ht="14.25" hidden="false" customHeight="true" outlineLevel="0" collapsed="false">
      <c r="A64" s="18" t="s">
        <v>198</v>
      </c>
      <c r="B64" s="18" t="s">
        <v>199</v>
      </c>
      <c r="C64" s="18" t="s">
        <v>79</v>
      </c>
      <c r="D64" s="18" t="s">
        <v>80</v>
      </c>
      <c r="E64" s="19" t="n">
        <f aca="false">SUMIFS('CPT Count'!$D:$D,'CPT Count'!$A:$A,$A64)-SUMIFS('Weekly Sales'!$F:$F,'Weekly Sales'!$H:$H,$A64,'Weekly Sales'!$I:$I,"CPT")+SUMIFS(Transfers!$F:$F,Transfers!$C:$C,$A64,Transfers!$J:$J,"CPT")-SUMIFS(Transfers!$F:$F,Transfers!$C:$C,$A64,Transfers!$I:$I,"CPT",Transfers!$H:$H,"&lt;&gt;Y")+SUMIFS('Stock Received'!$I:$I,'Stock Received'!$E:$E,$A64,'Stock Received'!$L:$L,"CPT")</f>
        <v>256.96</v>
      </c>
      <c r="F64" s="19" t="n">
        <f aca="false">SUMIFS('JHB Count'!$E:$E,'JHB Count'!$F:$F,$A64)-SUMIFS('Weekly Sales'!$F:$F,'Weekly Sales'!$H:$H,$A64,'Weekly Sales'!$I:$I,"JHB")+SUMIFS(Transfers!$F:$F,Transfers!$C:$C,$A64,Transfers!$J:$J,"JHB")-SUMIFS(Transfers!$F:$F,Transfers!$C:$C,$A64,Transfers!$I:$I,"JHB",Transfers!$H:$H,"&lt;&gt;Y")+SUMIFS('Stock Received'!$I:$I,'Stock Received'!$E:$E,$A64,'Stock Received'!$L:$L,"JHB")</f>
        <v>264</v>
      </c>
      <c r="G64" s="19" t="n">
        <f aca="false">SUMIFS('DBN Count'!$D:$D,'DBN Count'!$E:$E,$A64)-SUMIFS('Weekly Sales'!$F:$F,'Weekly Sales'!$H:$H,$A64,'Weekly Sales'!$I:$I,"DBN")+SUMIFS(Transfers!$F:$F,Transfers!$C:$C,$A64,Transfers!$J:$J,"DBN")-SUMIFS(Transfers!$F:$F,Transfers!$C:$C,$A64,Transfers!$I:$I,"DBN",Transfers!$H:$H,"&lt;&gt;Y")+SUMIFS('Stock Received'!$I:$I,'Stock Received'!$E:$E,$A64,'Stock Received'!$L:$L,"DBN")</f>
        <v>31.24</v>
      </c>
      <c r="H64" s="29" t="n">
        <f aca="false">E64+F64+G64</f>
        <v>552.2</v>
      </c>
      <c r="I64" s="19" t="n">
        <f aca="false">SUMIFS('Weekly Sales'!$F:$F,'Weekly Sales'!$H:$H,$A64)</f>
        <v>386.67</v>
      </c>
      <c r="J64" s="19" t="n">
        <f aca="false">SUMIFS(Orders!$L:$L,Orders!$D:$D,$A64,Orders!$F:$F,"&gt;="&amp;J$4,Orders!$F:$F,"&lt;"&amp;EDATE(J$4,1))</f>
        <v>500</v>
      </c>
      <c r="K64" s="19" t="n">
        <f aca="false">SUMIFS(Orders!$L:$L,Orders!$D:$D,$A64,Orders!$F:$F,"&gt;="&amp;K$4,Orders!$F:$F,"&lt;"&amp;EDATE(K$4,1))</f>
        <v>1500</v>
      </c>
      <c r="L64" s="19" t="n">
        <f aca="false">SUMIFS(Orders!$L:$L,Orders!$D:$D,$A64,Orders!$F:$F,"&gt;="&amp;L$4,Orders!$F:$F,"&lt;"&amp;EDATE(L$4,1))</f>
        <v>500</v>
      </c>
      <c r="M64" s="19" t="n">
        <f aca="false">N64-J64-K64-L64</f>
        <v>0</v>
      </c>
      <c r="N64" s="19" t="n">
        <f aca="false">SUMIFS(Orders!$L:$L,Orders!$D:$D,$A64)</f>
        <v>2500</v>
      </c>
      <c r="O64" s="19" t="n">
        <f aca="false">H64+N64</f>
        <v>3052.2</v>
      </c>
      <c r="P64" s="30" t="n">
        <v>550</v>
      </c>
      <c r="Q64" s="19" t="n">
        <f aca="false">IF(SUMIFS('Sales History'!$E:$E,'Sales History'!$G:$G,$A64)&gt;0,SUMIFS('Sales History'!$E:$E,'Sales History'!$G:$G,$A64)/Settings!$B$4,N(P64))</f>
        <v>550</v>
      </c>
      <c r="R64" s="18" t="str">
        <f aca="false">IF(SUMIFS('Sales History'!$E:$E,'Sales History'!$G:$G,$A64)&gt;0,"6-month history",IF(N(P64)&gt;0,"Current sheet","No sales data"))</f>
        <v>Current sheet</v>
      </c>
      <c r="S64" s="31" t="n">
        <f aca="false">IF(Q64&gt;0,H64/Q64,"")</f>
        <v>1.004</v>
      </c>
      <c r="T64" s="30" t="n">
        <v>1500</v>
      </c>
      <c r="U64" s="19" t="n">
        <f aca="false">IF(T64="","",MAX(0,T64-O64))</f>
        <v>0</v>
      </c>
      <c r="V64" s="32" t="str">
        <f aca="false">IF(D64="End of range","END OF RANGE",IF(T64="","NO BUFFER SET",IF(H64&lt;=0,IF(O64&lt;T64,"OUT - REORDER","OUT - ON ORDER"),IF(O64&lt;T64,"REORDER",IF(H64&lt;T64,"LOW - ON ORDER",IF(AND(S64&lt;&gt;"",N(S64)&gt;Settings!$B$5),"SLOW MOVER","OK"))))))</f>
        <v>LOW - ON ORDER</v>
      </c>
      <c r="W64" s="18"/>
      <c r="X64" s="33" t="n">
        <f aca="false">IF(OR(D64="End of range",U64=""),0,IF(N(U64)&gt;0,U64+ROW()/1000000,0))</f>
        <v>0</v>
      </c>
    </row>
    <row r="65" customFormat="false" ht="14.25" hidden="false" customHeight="true" outlineLevel="0" collapsed="false">
      <c r="A65" s="18" t="s">
        <v>200</v>
      </c>
      <c r="B65" s="18" t="s">
        <v>201</v>
      </c>
      <c r="C65" s="18" t="s">
        <v>79</v>
      </c>
      <c r="D65" s="18" t="s">
        <v>80</v>
      </c>
      <c r="E65" s="19" t="n">
        <f aca="false">SUMIFS('CPT Count'!$D:$D,'CPT Count'!$A:$A,$A65)-SUMIFS('Weekly Sales'!$F:$F,'Weekly Sales'!$H:$H,$A65,'Weekly Sales'!$I:$I,"CPT")+SUMIFS(Transfers!$F:$F,Transfers!$C:$C,$A65,Transfers!$J:$J,"CPT")-SUMIFS(Transfers!$F:$F,Transfers!$C:$C,$A65,Transfers!$I:$I,"CPT",Transfers!$H:$H,"&lt;&gt;Y")+SUMIFS('Stock Received'!$I:$I,'Stock Received'!$E:$E,$A65,'Stock Received'!$L:$L,"CPT")</f>
        <v>165.03</v>
      </c>
      <c r="F65" s="19" t="n">
        <f aca="false">SUMIFS('JHB Count'!$E:$E,'JHB Count'!$F:$F,$A65)-SUMIFS('Weekly Sales'!$F:$F,'Weekly Sales'!$H:$H,$A65,'Weekly Sales'!$I:$I,"JHB")+SUMIFS(Transfers!$F:$F,Transfers!$C:$C,$A65,Transfers!$J:$J,"JHB")-SUMIFS(Transfers!$F:$F,Transfers!$C:$C,$A65,Transfers!$I:$I,"JHB",Transfers!$H:$H,"&lt;&gt;Y")+SUMIFS('Stock Received'!$I:$I,'Stock Received'!$E:$E,$A65,'Stock Received'!$L:$L,"JHB")</f>
        <v>0.039999999999992</v>
      </c>
      <c r="G65" s="19" t="n">
        <f aca="false">SUMIFS('DBN Count'!$D:$D,'DBN Count'!$E:$E,$A65)-SUMIFS('Weekly Sales'!$F:$F,'Weekly Sales'!$H:$H,$A65,'Weekly Sales'!$I:$I,"DBN")+SUMIFS(Transfers!$F:$F,Transfers!$C:$C,$A65,Transfers!$J:$J,"DBN")-SUMIFS(Transfers!$F:$F,Transfers!$C:$C,$A65,Transfers!$I:$I,"DBN",Transfers!$H:$H,"&lt;&gt;Y")+SUMIFS('Stock Received'!$I:$I,'Stock Received'!$E:$E,$A65,'Stock Received'!$L:$L,"DBN")</f>
        <v>31.32</v>
      </c>
      <c r="H65" s="29" t="n">
        <f aca="false">E65+F65+G65</f>
        <v>196.39</v>
      </c>
      <c r="I65" s="19" t="n">
        <f aca="false">SUMIFS('Weekly Sales'!$F:$F,'Weekly Sales'!$H:$H,$A65)</f>
        <v>308.03</v>
      </c>
      <c r="J65" s="19" t="n">
        <f aca="false">SUMIFS(Orders!$L:$L,Orders!$D:$D,$A65,Orders!$F:$F,"&gt;="&amp;J$4,Orders!$F:$F,"&lt;"&amp;EDATE(J$4,1))</f>
        <v>300</v>
      </c>
      <c r="K65" s="19" t="n">
        <f aca="false">SUMIFS(Orders!$L:$L,Orders!$D:$D,$A65,Orders!$F:$F,"&gt;="&amp;K$4,Orders!$F:$F,"&lt;"&amp;EDATE(K$4,1))</f>
        <v>1000</v>
      </c>
      <c r="L65" s="19" t="n">
        <f aca="false">SUMIFS(Orders!$L:$L,Orders!$D:$D,$A65,Orders!$F:$F,"&gt;="&amp;L$4,Orders!$F:$F,"&lt;"&amp;EDATE(L$4,1))</f>
        <v>500</v>
      </c>
      <c r="M65" s="19" t="n">
        <f aca="false">N65-J65-K65-L65</f>
        <v>0</v>
      </c>
      <c r="N65" s="19" t="n">
        <f aca="false">SUMIFS(Orders!$L:$L,Orders!$D:$D,$A65)</f>
        <v>1800</v>
      </c>
      <c r="O65" s="19" t="n">
        <f aca="false">H65+N65</f>
        <v>1996.39</v>
      </c>
      <c r="P65" s="30" t="n">
        <v>470</v>
      </c>
      <c r="Q65" s="19" t="n">
        <f aca="false">IF(SUMIFS('Sales History'!$E:$E,'Sales History'!$G:$G,$A65)&gt;0,SUMIFS('Sales History'!$E:$E,'Sales History'!$G:$G,$A65)/Settings!$B$4,N(P65))</f>
        <v>470</v>
      </c>
      <c r="R65" s="18" t="str">
        <f aca="false">IF(SUMIFS('Sales History'!$E:$E,'Sales History'!$G:$G,$A65)&gt;0,"6-month history",IF(N(P65)&gt;0,"Current sheet","No sales data"))</f>
        <v>Current sheet</v>
      </c>
      <c r="S65" s="31" t="n">
        <f aca="false">IF(Q65&gt;0,H65/Q65,"")</f>
        <v>0.417851063829787</v>
      </c>
      <c r="T65" s="30" t="n">
        <v>900</v>
      </c>
      <c r="U65" s="19" t="n">
        <f aca="false">IF(T65="","",MAX(0,T65-O65))</f>
        <v>0</v>
      </c>
      <c r="V65" s="32" t="str">
        <f aca="false">IF(D65="End of range","END OF RANGE",IF(T65="","NO BUFFER SET",IF(H65&lt;=0,IF(O65&lt;T65,"OUT - REORDER","OUT - ON ORDER"),IF(O65&lt;T65,"REORDER",IF(H65&lt;T65,"LOW - ON ORDER",IF(AND(S65&lt;&gt;"",N(S65)&gt;Settings!$B$5),"SLOW MOVER","OK"))))))</f>
        <v>LOW - ON ORDER</v>
      </c>
      <c r="W65" s="18"/>
      <c r="X65" s="33" t="n">
        <f aca="false">IF(OR(D65="End of range",U65=""),0,IF(N(U65)&gt;0,U65+ROW()/1000000,0))</f>
        <v>0</v>
      </c>
    </row>
    <row r="66" customFormat="false" ht="14.25" hidden="false" customHeight="true" outlineLevel="0" collapsed="false">
      <c r="A66" s="18" t="s">
        <v>202</v>
      </c>
      <c r="B66" s="18" t="s">
        <v>203</v>
      </c>
      <c r="C66" s="18" t="s">
        <v>79</v>
      </c>
      <c r="D66" s="18" t="s">
        <v>80</v>
      </c>
      <c r="E66" s="19" t="n">
        <f aca="false">SUMIFS('CPT Count'!$D:$D,'CPT Count'!$A:$A,$A66)-SUMIFS('Weekly Sales'!$F:$F,'Weekly Sales'!$H:$H,$A66,'Weekly Sales'!$I:$I,"CPT")+SUMIFS(Transfers!$F:$F,Transfers!$C:$C,$A66,Transfers!$J:$J,"CPT")-SUMIFS(Transfers!$F:$F,Transfers!$C:$C,$A66,Transfers!$I:$I,"CPT",Transfers!$H:$H,"&lt;&gt;Y")+SUMIFS('Stock Received'!$I:$I,'Stock Received'!$E:$E,$A66,'Stock Received'!$L:$L,"CPT")</f>
        <v>2.66</v>
      </c>
      <c r="F66" s="19" t="n">
        <f aca="false">SUMIFS('JHB Count'!$E:$E,'JHB Count'!$F:$F,$A66)-SUMIFS('Weekly Sales'!$F:$F,'Weekly Sales'!$H:$H,$A66,'Weekly Sales'!$I:$I,"JHB")+SUMIFS(Transfers!$F:$F,Transfers!$C:$C,$A66,Transfers!$J:$J,"JHB")-SUMIFS(Transfers!$F:$F,Transfers!$C:$C,$A66,Transfers!$I:$I,"JHB",Transfers!$H:$H,"&lt;&gt;Y")+SUMIFS('Stock Received'!$I:$I,'Stock Received'!$E:$E,$A66,'Stock Received'!$L:$L,"JHB")</f>
        <v>117.98</v>
      </c>
      <c r="G66" s="19" t="n">
        <f aca="false">SUMIFS('DBN Count'!$D:$D,'DBN Count'!$E:$E,$A66)-SUMIFS('Weekly Sales'!$F:$F,'Weekly Sales'!$H:$H,$A66,'Weekly Sales'!$I:$I,"DBN")+SUMIFS(Transfers!$F:$F,Transfers!$C:$C,$A66,Transfers!$J:$J,"DBN")-SUMIFS(Transfers!$F:$F,Transfers!$C:$C,$A66,Transfers!$I:$I,"DBN",Transfers!$H:$H,"&lt;&gt;Y")+SUMIFS('Stock Received'!$I:$I,'Stock Received'!$E:$E,$A66,'Stock Received'!$L:$L,"DBN")</f>
        <v>17.73</v>
      </c>
      <c r="H66" s="29" t="n">
        <f aca="false">E66+F66+G66</f>
        <v>138.37</v>
      </c>
      <c r="I66" s="19" t="n">
        <f aca="false">SUMIFS('Weekly Sales'!$F:$F,'Weekly Sales'!$H:$H,$A66)</f>
        <v>211.36</v>
      </c>
      <c r="J66" s="19" t="n">
        <f aca="false">SUMIFS(Orders!$L:$L,Orders!$D:$D,$A66,Orders!$F:$F,"&gt;="&amp;J$4,Orders!$F:$F,"&lt;"&amp;EDATE(J$4,1))</f>
        <v>300</v>
      </c>
      <c r="K66" s="19" t="n">
        <f aca="false">SUMIFS(Orders!$L:$L,Orders!$D:$D,$A66,Orders!$F:$F,"&gt;="&amp;K$4,Orders!$F:$F,"&lt;"&amp;EDATE(K$4,1))</f>
        <v>500</v>
      </c>
      <c r="L66" s="19" t="n">
        <f aca="false">SUMIFS(Orders!$L:$L,Orders!$D:$D,$A66,Orders!$F:$F,"&gt;="&amp;L$4,Orders!$F:$F,"&lt;"&amp;EDATE(L$4,1))</f>
        <v>300</v>
      </c>
      <c r="M66" s="19" t="n">
        <f aca="false">N66-J66-K66-L66</f>
        <v>0</v>
      </c>
      <c r="N66" s="19" t="n">
        <f aca="false">SUMIFS(Orders!$L:$L,Orders!$D:$D,$A66)</f>
        <v>1100</v>
      </c>
      <c r="O66" s="19" t="n">
        <f aca="false">H66+N66</f>
        <v>1238.37</v>
      </c>
      <c r="P66" s="30" t="n">
        <v>170</v>
      </c>
      <c r="Q66" s="19" t="n">
        <f aca="false">IF(SUMIFS('Sales History'!$E:$E,'Sales History'!$G:$G,$A66)&gt;0,SUMIFS('Sales History'!$E:$E,'Sales History'!$G:$G,$A66)/Settings!$B$4,N(P66))</f>
        <v>170</v>
      </c>
      <c r="R66" s="18" t="str">
        <f aca="false">IF(SUMIFS('Sales History'!$E:$E,'Sales History'!$G:$G,$A66)&gt;0,"6-month history",IF(N(P66)&gt;0,"Current sheet","No sales data"))</f>
        <v>Current sheet</v>
      </c>
      <c r="S66" s="31" t="n">
        <f aca="false">IF(Q66&gt;0,H66/Q66,"")</f>
        <v>0.813941176470588</v>
      </c>
      <c r="T66" s="30" t="n">
        <v>500</v>
      </c>
      <c r="U66" s="19" t="n">
        <f aca="false">IF(T66="","",MAX(0,T66-O66))</f>
        <v>0</v>
      </c>
      <c r="V66" s="32" t="str">
        <f aca="false">IF(D66="End of range","END OF RANGE",IF(T66="","NO BUFFER SET",IF(H66&lt;=0,IF(O66&lt;T66,"OUT - REORDER","OUT - ON ORDER"),IF(O66&lt;T66,"REORDER",IF(H66&lt;T66,"LOW - ON ORDER",IF(AND(S66&lt;&gt;"",N(S66)&gt;Settings!$B$5),"SLOW MOVER","OK"))))))</f>
        <v>LOW - ON ORDER</v>
      </c>
      <c r="W66" s="18"/>
      <c r="X66" s="33" t="n">
        <f aca="false">IF(OR(D66="End of range",U66=""),0,IF(N(U66)&gt;0,U66+ROW()/1000000,0))</f>
        <v>0</v>
      </c>
    </row>
    <row r="67" customFormat="false" ht="14.25" hidden="false" customHeight="true" outlineLevel="0" collapsed="false">
      <c r="A67" s="18" t="s">
        <v>204</v>
      </c>
      <c r="B67" s="18" t="s">
        <v>205</v>
      </c>
      <c r="C67" s="18" t="s">
        <v>79</v>
      </c>
      <c r="D67" s="18" t="s">
        <v>80</v>
      </c>
      <c r="E67" s="19" t="n">
        <f aca="false">SUMIFS('CPT Count'!$D:$D,'CPT Count'!$A:$A,$A67)-SUMIFS('Weekly Sales'!$F:$F,'Weekly Sales'!$H:$H,$A67,'Weekly Sales'!$I:$I,"CPT")+SUMIFS(Transfers!$F:$F,Transfers!$C:$C,$A67,Transfers!$J:$J,"CPT")-SUMIFS(Transfers!$F:$F,Transfers!$C:$C,$A67,Transfers!$I:$I,"CPT",Transfers!$H:$H,"&lt;&gt;Y")+SUMIFS('Stock Received'!$I:$I,'Stock Received'!$E:$E,$A67,'Stock Received'!$L:$L,"CPT")</f>
        <v>1225.17</v>
      </c>
      <c r="F67" s="19" t="n">
        <f aca="false">SUMIFS('JHB Count'!$E:$E,'JHB Count'!$F:$F,$A67)-SUMIFS('Weekly Sales'!$F:$F,'Weekly Sales'!$H:$H,$A67,'Weekly Sales'!$I:$I,"JHB")+SUMIFS(Transfers!$F:$F,Transfers!$C:$C,$A67,Transfers!$J:$J,"JHB")-SUMIFS(Transfers!$F:$F,Transfers!$C:$C,$A67,Transfers!$I:$I,"JHB",Transfers!$H:$H,"&lt;&gt;Y")+SUMIFS('Stock Received'!$I:$I,'Stock Received'!$E:$E,$A67,'Stock Received'!$L:$L,"JHB")</f>
        <v>0</v>
      </c>
      <c r="G67" s="19" t="n">
        <f aca="false">SUMIFS('DBN Count'!$D:$D,'DBN Count'!$E:$E,$A67)-SUMIFS('Weekly Sales'!$F:$F,'Weekly Sales'!$H:$H,$A67,'Weekly Sales'!$I:$I,"DBN")+SUMIFS(Transfers!$F:$F,Transfers!$C:$C,$A67,Transfers!$J:$J,"DBN")-SUMIFS(Transfers!$F:$F,Transfers!$C:$C,$A67,Transfers!$I:$I,"DBN",Transfers!$H:$H,"&lt;&gt;Y")+SUMIFS('Stock Received'!$I:$I,'Stock Received'!$E:$E,$A67,'Stock Received'!$L:$L,"DBN")</f>
        <v>0</v>
      </c>
      <c r="H67" s="29" t="n">
        <f aca="false">E67+F67+G67</f>
        <v>1225.17</v>
      </c>
      <c r="I67" s="19" t="n">
        <f aca="false">SUMIFS('Weekly Sales'!$F:$F,'Weekly Sales'!$H:$H,$A67)</f>
        <v>3.68</v>
      </c>
      <c r="J67" s="19" t="n">
        <f aca="false">SUMIFS(Orders!$L:$L,Orders!$D:$D,$A67,Orders!$F:$F,"&gt;="&amp;J$4,Orders!$F:$F,"&lt;"&amp;EDATE(J$4,1))</f>
        <v>0</v>
      </c>
      <c r="K67" s="19" t="n">
        <f aca="false">SUMIFS(Orders!$L:$L,Orders!$D:$D,$A67,Orders!$F:$F,"&gt;="&amp;K$4,Orders!$F:$F,"&lt;"&amp;EDATE(K$4,1))</f>
        <v>500</v>
      </c>
      <c r="L67" s="19" t="n">
        <f aca="false">SUMIFS(Orders!$L:$L,Orders!$D:$D,$A67,Orders!$F:$F,"&gt;="&amp;L$4,Orders!$F:$F,"&lt;"&amp;EDATE(L$4,1))</f>
        <v>0</v>
      </c>
      <c r="M67" s="19" t="n">
        <f aca="false">N67-J67-K67-L67</f>
        <v>0</v>
      </c>
      <c r="N67" s="19" t="n">
        <f aca="false">SUMIFS(Orders!$L:$L,Orders!$D:$D,$A67)</f>
        <v>500</v>
      </c>
      <c r="O67" s="19" t="n">
        <f aca="false">H67+N67</f>
        <v>1725.17</v>
      </c>
      <c r="P67" s="30" t="n">
        <v>300</v>
      </c>
      <c r="Q67" s="19" t="n">
        <f aca="false">IF(SUMIFS('Sales History'!$E:$E,'Sales History'!$G:$G,$A67)&gt;0,SUMIFS('Sales History'!$E:$E,'Sales History'!$G:$G,$A67)/Settings!$B$4,N(P67))</f>
        <v>300</v>
      </c>
      <c r="R67" s="18" t="str">
        <f aca="false">IF(SUMIFS('Sales History'!$E:$E,'Sales History'!$G:$G,$A67)&gt;0,"6-month history",IF(N(P67)&gt;0,"Current sheet","No sales data"))</f>
        <v>Current sheet</v>
      </c>
      <c r="S67" s="31" t="n">
        <f aca="false">IF(Q67&gt;0,H67/Q67,"")</f>
        <v>4.0839</v>
      </c>
      <c r="T67" s="30" t="n">
        <v>500</v>
      </c>
      <c r="U67" s="19" t="n">
        <f aca="false">IF(T67="","",MAX(0,T67-O67))</f>
        <v>0</v>
      </c>
      <c r="V67" s="32" t="str">
        <f aca="false">IF(D67="End of range","END OF RANGE",IF(T67="","NO BUFFER SET",IF(H67&lt;=0,IF(O67&lt;T67,"OUT - REORDER","OUT - ON ORDER"),IF(O67&lt;T67,"REORDER",IF(H67&lt;T67,"LOW - ON ORDER",IF(AND(S67&lt;&gt;"",N(S67)&gt;Settings!$B$5),"SLOW MOVER","OK"))))))</f>
        <v>OK</v>
      </c>
      <c r="W67" s="18"/>
      <c r="X67" s="33" t="n">
        <f aca="false">IF(OR(D67="End of range",U67=""),0,IF(N(U67)&gt;0,U67+ROW()/1000000,0))</f>
        <v>0</v>
      </c>
    </row>
    <row r="68" customFormat="false" ht="14.25" hidden="false" customHeight="true" outlineLevel="0" collapsed="false">
      <c r="A68" s="18" t="s">
        <v>206</v>
      </c>
      <c r="B68" s="18" t="s">
        <v>207</v>
      </c>
      <c r="C68" s="18" t="s">
        <v>79</v>
      </c>
      <c r="D68" s="18" t="s">
        <v>80</v>
      </c>
      <c r="E68" s="19" t="n">
        <f aca="false">SUMIFS('CPT Count'!$D:$D,'CPT Count'!$A:$A,$A68)-SUMIFS('Weekly Sales'!$F:$F,'Weekly Sales'!$H:$H,$A68,'Weekly Sales'!$I:$I,"CPT")+SUMIFS(Transfers!$F:$F,Transfers!$C:$C,$A68,Transfers!$J:$J,"CPT")-SUMIFS(Transfers!$F:$F,Transfers!$C:$C,$A68,Transfers!$I:$I,"CPT",Transfers!$H:$H,"&lt;&gt;Y")+SUMIFS('Stock Received'!$I:$I,'Stock Received'!$E:$E,$A68,'Stock Received'!$L:$L,"CPT")</f>
        <v>1242.29</v>
      </c>
      <c r="F68" s="19" t="n">
        <f aca="false">SUMIFS('JHB Count'!$E:$E,'JHB Count'!$F:$F,$A68)-SUMIFS('Weekly Sales'!$F:$F,'Weekly Sales'!$H:$H,$A68,'Weekly Sales'!$I:$I,"JHB")+SUMIFS(Transfers!$F:$F,Transfers!$C:$C,$A68,Transfers!$J:$J,"JHB")-SUMIFS(Transfers!$F:$F,Transfers!$C:$C,$A68,Transfers!$I:$I,"JHB",Transfers!$H:$H,"&lt;&gt;Y")+SUMIFS('Stock Received'!$I:$I,'Stock Received'!$E:$E,$A68,'Stock Received'!$L:$L,"JHB")</f>
        <v>95.72</v>
      </c>
      <c r="G68" s="19" t="n">
        <f aca="false">SUMIFS('DBN Count'!$D:$D,'DBN Count'!$E:$E,$A68)-SUMIFS('Weekly Sales'!$F:$F,'Weekly Sales'!$H:$H,$A68,'Weekly Sales'!$I:$I,"DBN")+SUMIFS(Transfers!$F:$F,Transfers!$C:$C,$A68,Transfers!$J:$J,"DBN")-SUMIFS(Transfers!$F:$F,Transfers!$C:$C,$A68,Transfers!$I:$I,"DBN",Transfers!$H:$H,"&lt;&gt;Y")+SUMIFS('Stock Received'!$I:$I,'Stock Received'!$E:$E,$A68,'Stock Received'!$L:$L,"DBN")</f>
        <v>47.05</v>
      </c>
      <c r="H68" s="29" t="n">
        <f aca="false">E68+F68+G68</f>
        <v>1385.06</v>
      </c>
      <c r="I68" s="19" t="n">
        <f aca="false">SUMIFS('Weekly Sales'!$F:$F,'Weekly Sales'!$H:$H,$A68)</f>
        <v>8.99</v>
      </c>
      <c r="J68" s="19" t="n">
        <f aca="false">SUMIFS(Orders!$L:$L,Orders!$D:$D,$A68,Orders!$F:$F,"&gt;="&amp;J$4,Orders!$F:$F,"&lt;"&amp;EDATE(J$4,1))</f>
        <v>0</v>
      </c>
      <c r="K68" s="19" t="n">
        <f aca="false">SUMIFS(Orders!$L:$L,Orders!$D:$D,$A68,Orders!$F:$F,"&gt;="&amp;K$4,Orders!$F:$F,"&lt;"&amp;EDATE(K$4,1))</f>
        <v>0</v>
      </c>
      <c r="L68" s="19" t="n">
        <f aca="false">SUMIFS(Orders!$L:$L,Orders!$D:$D,$A68,Orders!$F:$F,"&gt;="&amp;L$4,Orders!$F:$F,"&lt;"&amp;EDATE(L$4,1))</f>
        <v>300</v>
      </c>
      <c r="M68" s="19" t="n">
        <f aca="false">N68-J68-K68-L68</f>
        <v>0</v>
      </c>
      <c r="N68" s="19" t="n">
        <f aca="false">SUMIFS(Orders!$L:$L,Orders!$D:$D,$A68)</f>
        <v>300</v>
      </c>
      <c r="O68" s="19" t="n">
        <f aca="false">H68+N68</f>
        <v>1685.06</v>
      </c>
      <c r="P68" s="30" t="n">
        <v>360</v>
      </c>
      <c r="Q68" s="19" t="n">
        <f aca="false">IF(SUMIFS('Sales History'!$E:$E,'Sales History'!$G:$G,$A68)&gt;0,SUMIFS('Sales History'!$E:$E,'Sales History'!$G:$G,$A68)/Settings!$B$4,N(P68))</f>
        <v>360</v>
      </c>
      <c r="R68" s="18" t="str">
        <f aca="false">IF(SUMIFS('Sales History'!$E:$E,'Sales History'!$G:$G,$A68)&gt;0,"6-month history",IF(N(P68)&gt;0,"Current sheet","No sales data"))</f>
        <v>Current sheet</v>
      </c>
      <c r="S68" s="31" t="n">
        <f aca="false">IF(Q68&gt;0,H68/Q68,"")</f>
        <v>3.84738888888889</v>
      </c>
      <c r="T68" s="30" t="n">
        <v>700</v>
      </c>
      <c r="U68" s="19" t="n">
        <f aca="false">IF(T68="","",MAX(0,T68-O68))</f>
        <v>0</v>
      </c>
      <c r="V68" s="32" t="str">
        <f aca="false">IF(D68="End of range","END OF RANGE",IF(T68="","NO BUFFER SET",IF(H68&lt;=0,IF(O68&lt;T68,"OUT - REORDER","OUT - ON ORDER"),IF(O68&lt;T68,"REORDER",IF(H68&lt;T68,"LOW - ON ORDER",IF(AND(S68&lt;&gt;"",N(S68)&gt;Settings!$B$5),"SLOW MOVER","OK"))))))</f>
        <v>OK</v>
      </c>
      <c r="W68" s="18"/>
      <c r="X68" s="33" t="n">
        <f aca="false">IF(OR(D68="End of range",U68=""),0,IF(N(U68)&gt;0,U68+ROW()/1000000,0))</f>
        <v>0</v>
      </c>
    </row>
    <row r="69" customFormat="false" ht="14.25" hidden="false" customHeight="true" outlineLevel="0" collapsed="false">
      <c r="A69" s="18" t="s">
        <v>208</v>
      </c>
      <c r="B69" s="18" t="s">
        <v>209</v>
      </c>
      <c r="C69" s="18" t="s">
        <v>79</v>
      </c>
      <c r="D69" s="18" t="s">
        <v>80</v>
      </c>
      <c r="E69" s="19" t="n">
        <f aca="false">SUMIFS('CPT Count'!$D:$D,'CPT Count'!$A:$A,$A69)-SUMIFS('Weekly Sales'!$F:$F,'Weekly Sales'!$H:$H,$A69,'Weekly Sales'!$I:$I,"CPT")+SUMIFS(Transfers!$F:$F,Transfers!$C:$C,$A69,Transfers!$J:$J,"CPT")-SUMIFS(Transfers!$F:$F,Transfers!$C:$C,$A69,Transfers!$I:$I,"CPT",Transfers!$H:$H,"&lt;&gt;Y")+SUMIFS('Stock Received'!$I:$I,'Stock Received'!$E:$E,$A69,'Stock Received'!$L:$L,"CPT")</f>
        <v>226.1</v>
      </c>
      <c r="F69" s="19" t="n">
        <f aca="false">SUMIFS('JHB Count'!$E:$E,'JHB Count'!$F:$F,$A69)-SUMIFS('Weekly Sales'!$F:$F,'Weekly Sales'!$H:$H,$A69,'Weekly Sales'!$I:$I,"JHB")+SUMIFS(Transfers!$F:$F,Transfers!$C:$C,$A69,Transfers!$J:$J,"JHB")-SUMIFS(Transfers!$F:$F,Transfers!$C:$C,$A69,Transfers!$I:$I,"JHB",Transfers!$H:$H,"&lt;&gt;Y")+SUMIFS('Stock Received'!$I:$I,'Stock Received'!$E:$E,$A69,'Stock Received'!$L:$L,"JHB")</f>
        <v>87.25</v>
      </c>
      <c r="G69" s="19" t="n">
        <f aca="false">SUMIFS('DBN Count'!$D:$D,'DBN Count'!$E:$E,$A69)-SUMIFS('Weekly Sales'!$F:$F,'Weekly Sales'!$H:$H,$A69,'Weekly Sales'!$I:$I,"DBN")+SUMIFS(Transfers!$F:$F,Transfers!$C:$C,$A69,Transfers!$J:$J,"DBN")-SUMIFS(Transfers!$F:$F,Transfers!$C:$C,$A69,Transfers!$I:$I,"DBN",Transfers!$H:$H,"&lt;&gt;Y")+SUMIFS('Stock Received'!$I:$I,'Stock Received'!$E:$E,$A69,'Stock Received'!$L:$L,"DBN")</f>
        <v>83.3</v>
      </c>
      <c r="H69" s="29" t="n">
        <f aca="false">E69+F69+G69</f>
        <v>396.65</v>
      </c>
      <c r="I69" s="19" t="n">
        <f aca="false">SUMIFS('Weekly Sales'!$F:$F,'Weekly Sales'!$H:$H,$A69)</f>
        <v>41.68</v>
      </c>
      <c r="J69" s="19" t="n">
        <f aca="false">SUMIFS(Orders!$L:$L,Orders!$D:$D,$A69,Orders!$F:$F,"&gt;="&amp;J$4,Orders!$F:$F,"&lt;"&amp;EDATE(J$4,1))</f>
        <v>0</v>
      </c>
      <c r="K69" s="19" t="n">
        <f aca="false">SUMIFS(Orders!$L:$L,Orders!$D:$D,$A69,Orders!$F:$F,"&gt;="&amp;K$4,Orders!$F:$F,"&lt;"&amp;EDATE(K$4,1))</f>
        <v>1000</v>
      </c>
      <c r="L69" s="19" t="n">
        <f aca="false">SUMIFS(Orders!$L:$L,Orders!$D:$D,$A69,Orders!$F:$F,"&gt;="&amp;L$4,Orders!$F:$F,"&lt;"&amp;EDATE(L$4,1))</f>
        <v>500</v>
      </c>
      <c r="M69" s="19" t="n">
        <f aca="false">N69-J69-K69-L69</f>
        <v>0</v>
      </c>
      <c r="N69" s="19" t="n">
        <f aca="false">SUMIFS(Orders!$L:$L,Orders!$D:$D,$A69)</f>
        <v>1500</v>
      </c>
      <c r="O69" s="19" t="n">
        <f aca="false">H69+N69</f>
        <v>1896.65</v>
      </c>
      <c r="P69" s="30" t="n">
        <v>420</v>
      </c>
      <c r="Q69" s="19" t="n">
        <f aca="false">IF(SUMIFS('Sales History'!$E:$E,'Sales History'!$G:$G,$A69)&gt;0,SUMIFS('Sales History'!$E:$E,'Sales History'!$G:$G,$A69)/Settings!$B$4,N(P69))</f>
        <v>420</v>
      </c>
      <c r="R69" s="18" t="str">
        <f aca="false">IF(SUMIFS('Sales History'!$E:$E,'Sales History'!$G:$G,$A69)&gt;0,"6-month history",IF(N(P69)&gt;0,"Current sheet","No sales data"))</f>
        <v>Current sheet</v>
      </c>
      <c r="S69" s="31" t="n">
        <f aca="false">IF(Q69&gt;0,H69/Q69,"")</f>
        <v>0.944404761904762</v>
      </c>
      <c r="T69" s="30" t="n">
        <v>800</v>
      </c>
      <c r="U69" s="19" t="n">
        <f aca="false">IF(T69="","",MAX(0,T69-O69))</f>
        <v>0</v>
      </c>
      <c r="V69" s="32" t="str">
        <f aca="false">IF(D69="End of range","END OF RANGE",IF(T69="","NO BUFFER SET",IF(H69&lt;=0,IF(O69&lt;T69,"OUT - REORDER","OUT - ON ORDER"),IF(O69&lt;T69,"REORDER",IF(H69&lt;T69,"LOW - ON ORDER",IF(AND(S69&lt;&gt;"",N(S69)&gt;Settings!$B$5),"SLOW MOVER","OK"))))))</f>
        <v>LOW - ON ORDER</v>
      </c>
      <c r="W69" s="18"/>
      <c r="X69" s="33" t="n">
        <f aca="false">IF(OR(D69="End of range",U69=""),0,IF(N(U69)&gt;0,U69+ROW()/1000000,0))</f>
        <v>0</v>
      </c>
    </row>
    <row r="70" customFormat="false" ht="14.25" hidden="false" customHeight="true" outlineLevel="0" collapsed="false">
      <c r="A70" s="18" t="s">
        <v>210</v>
      </c>
      <c r="B70" s="18" t="s">
        <v>211</v>
      </c>
      <c r="C70" s="18" t="s">
        <v>79</v>
      </c>
      <c r="D70" s="18" t="s">
        <v>80</v>
      </c>
      <c r="E70" s="19" t="n">
        <f aca="false">SUMIFS('CPT Count'!$D:$D,'CPT Count'!$A:$A,$A70)-SUMIFS('Weekly Sales'!$F:$F,'Weekly Sales'!$H:$H,$A70,'Weekly Sales'!$I:$I,"CPT")+SUMIFS(Transfers!$F:$F,Transfers!$C:$C,$A70,Transfers!$J:$J,"CPT")-SUMIFS(Transfers!$F:$F,Transfers!$C:$C,$A70,Transfers!$I:$I,"CPT",Transfers!$H:$H,"&lt;&gt;Y")+SUMIFS('Stock Received'!$I:$I,'Stock Received'!$E:$E,$A70,'Stock Received'!$L:$L,"CPT")</f>
        <v>817.5</v>
      </c>
      <c r="F70" s="19" t="n">
        <f aca="false">SUMIFS('JHB Count'!$E:$E,'JHB Count'!$F:$F,$A70)-SUMIFS('Weekly Sales'!$F:$F,'Weekly Sales'!$H:$H,$A70,'Weekly Sales'!$I:$I,"JHB")+SUMIFS(Transfers!$F:$F,Transfers!$C:$C,$A70,Transfers!$J:$J,"JHB")-SUMIFS(Transfers!$F:$F,Transfers!$C:$C,$A70,Transfers!$I:$I,"JHB",Transfers!$H:$H,"&lt;&gt;Y")+SUMIFS('Stock Received'!$I:$I,'Stock Received'!$E:$E,$A70,'Stock Received'!$L:$L,"JHB")</f>
        <v>725.82</v>
      </c>
      <c r="G70" s="19" t="n">
        <f aca="false">SUMIFS('DBN Count'!$D:$D,'DBN Count'!$E:$E,$A70)-SUMIFS('Weekly Sales'!$F:$F,'Weekly Sales'!$H:$H,$A70,'Weekly Sales'!$I:$I,"DBN")+SUMIFS(Transfers!$F:$F,Transfers!$C:$C,$A70,Transfers!$J:$J,"DBN")-SUMIFS(Transfers!$F:$F,Transfers!$C:$C,$A70,Transfers!$I:$I,"DBN",Transfers!$H:$H,"&lt;&gt;Y")+SUMIFS('Stock Received'!$I:$I,'Stock Received'!$E:$E,$A70,'Stock Received'!$L:$L,"DBN")</f>
        <v>61.15</v>
      </c>
      <c r="H70" s="29" t="n">
        <f aca="false">E70+F70+G70</f>
        <v>1604.47</v>
      </c>
      <c r="I70" s="19" t="n">
        <f aca="false">SUMIFS('Weekly Sales'!$F:$F,'Weekly Sales'!$H:$H,$A70)</f>
        <v>38.68</v>
      </c>
      <c r="J70" s="19" t="n">
        <f aca="false">SUMIFS(Orders!$L:$L,Orders!$D:$D,$A70,Orders!$F:$F,"&gt;="&amp;J$4,Orders!$F:$F,"&lt;"&amp;EDATE(J$4,1))</f>
        <v>0</v>
      </c>
      <c r="K70" s="19" t="n">
        <f aca="false">SUMIFS(Orders!$L:$L,Orders!$D:$D,$A70,Orders!$F:$F,"&gt;="&amp;K$4,Orders!$F:$F,"&lt;"&amp;EDATE(K$4,1))</f>
        <v>0</v>
      </c>
      <c r="L70" s="19" t="n">
        <f aca="false">SUMIFS(Orders!$L:$L,Orders!$D:$D,$A70,Orders!$F:$F,"&gt;="&amp;L$4,Orders!$F:$F,"&lt;"&amp;EDATE(L$4,1))</f>
        <v>0</v>
      </c>
      <c r="M70" s="19" t="n">
        <f aca="false">N70-J70-K70-L70</f>
        <v>0</v>
      </c>
      <c r="N70" s="19" t="n">
        <f aca="false">SUMIFS(Orders!$L:$L,Orders!$D:$D,$A70)</f>
        <v>0</v>
      </c>
      <c r="O70" s="19" t="n">
        <f aca="false">H70+N70</f>
        <v>1604.47</v>
      </c>
      <c r="P70" s="30" t="n">
        <v>170</v>
      </c>
      <c r="Q70" s="19" t="n">
        <f aca="false">IF(SUMIFS('Sales History'!$E:$E,'Sales History'!$G:$G,$A70)&gt;0,SUMIFS('Sales History'!$E:$E,'Sales History'!$G:$G,$A70)/Settings!$B$4,N(P70))</f>
        <v>170</v>
      </c>
      <c r="R70" s="18" t="str">
        <f aca="false">IF(SUMIFS('Sales History'!$E:$E,'Sales History'!$G:$G,$A70)&gt;0,"6-month history",IF(N(P70)&gt;0,"Current sheet","No sales data"))</f>
        <v>Current sheet</v>
      </c>
      <c r="S70" s="31" t="n">
        <f aca="false">IF(Q70&gt;0,H70/Q70,"")</f>
        <v>9.43805882352941</v>
      </c>
      <c r="T70" s="30" t="n">
        <v>300</v>
      </c>
      <c r="U70" s="19" t="n">
        <f aca="false">IF(T70="","",MAX(0,T70-O70))</f>
        <v>0</v>
      </c>
      <c r="V70" s="32" t="str">
        <f aca="false">IF(D70="End of range","END OF RANGE",IF(T70="","NO BUFFER SET",IF(H70&lt;=0,IF(O70&lt;T70,"OUT - REORDER","OUT - ON ORDER"),IF(O70&lt;T70,"REORDER",IF(H70&lt;T70,"LOW - ON ORDER",IF(AND(S70&lt;&gt;"",N(S70)&gt;Settings!$B$5),"SLOW MOVER","OK"))))))</f>
        <v>OK</v>
      </c>
      <c r="W70" s="18"/>
      <c r="X70" s="33" t="n">
        <f aca="false">IF(OR(D70="End of range",U70=""),0,IF(N(U70)&gt;0,U70+ROW()/1000000,0))</f>
        <v>0</v>
      </c>
    </row>
    <row r="71" customFormat="false" ht="14.25" hidden="false" customHeight="true" outlineLevel="0" collapsed="false">
      <c r="A71" s="18" t="s">
        <v>212</v>
      </c>
      <c r="B71" s="18" t="s">
        <v>213</v>
      </c>
      <c r="C71" s="18" t="s">
        <v>79</v>
      </c>
      <c r="D71" s="18" t="s">
        <v>80</v>
      </c>
      <c r="E71" s="19" t="n">
        <f aca="false">SUMIFS('CPT Count'!$D:$D,'CPT Count'!$A:$A,$A71)-SUMIFS('Weekly Sales'!$F:$F,'Weekly Sales'!$H:$H,$A71,'Weekly Sales'!$I:$I,"CPT")+SUMIFS(Transfers!$F:$F,Transfers!$C:$C,$A71,Transfers!$J:$J,"CPT")-SUMIFS(Transfers!$F:$F,Transfers!$C:$C,$A71,Transfers!$I:$I,"CPT",Transfers!$H:$H,"&lt;&gt;Y")+SUMIFS('Stock Received'!$I:$I,'Stock Received'!$E:$E,$A71,'Stock Received'!$L:$L,"CPT")</f>
        <v>3448.93</v>
      </c>
      <c r="F71" s="19" t="n">
        <f aca="false">SUMIFS('JHB Count'!$E:$E,'JHB Count'!$F:$F,$A71)-SUMIFS('Weekly Sales'!$F:$F,'Weekly Sales'!$H:$H,$A71,'Weekly Sales'!$I:$I,"JHB")+SUMIFS(Transfers!$F:$F,Transfers!$C:$C,$A71,Transfers!$J:$J,"JHB")-SUMIFS(Transfers!$F:$F,Transfers!$C:$C,$A71,Transfers!$I:$I,"JHB",Transfers!$H:$H,"&lt;&gt;Y")+SUMIFS('Stock Received'!$I:$I,'Stock Received'!$E:$E,$A71,'Stock Received'!$L:$L,"JHB")</f>
        <v>276</v>
      </c>
      <c r="G71" s="19" t="n">
        <f aca="false">SUMIFS('DBN Count'!$D:$D,'DBN Count'!$E:$E,$A71)-SUMIFS('Weekly Sales'!$F:$F,'Weekly Sales'!$H:$H,$A71,'Weekly Sales'!$I:$I,"DBN")+SUMIFS(Transfers!$F:$F,Transfers!$C:$C,$A71,Transfers!$J:$J,"DBN")-SUMIFS(Transfers!$F:$F,Transfers!$C:$C,$A71,Transfers!$I:$I,"DBN",Transfers!$H:$H,"&lt;&gt;Y")+SUMIFS('Stock Received'!$I:$I,'Stock Received'!$E:$E,$A71,'Stock Received'!$L:$L,"DBN")</f>
        <v>47.33</v>
      </c>
      <c r="H71" s="29" t="n">
        <f aca="false">E71+F71+G71</f>
        <v>3772.26</v>
      </c>
      <c r="I71" s="19" t="n">
        <f aca="false">SUMIFS('Weekly Sales'!$F:$F,'Weekly Sales'!$H:$H,$A71)</f>
        <v>57.07</v>
      </c>
      <c r="J71" s="19" t="n">
        <f aca="false">SUMIFS(Orders!$L:$L,Orders!$D:$D,$A71,Orders!$F:$F,"&gt;="&amp;J$4,Orders!$F:$F,"&lt;"&amp;EDATE(J$4,1))</f>
        <v>0</v>
      </c>
      <c r="K71" s="19" t="n">
        <f aca="false">SUMIFS(Orders!$L:$L,Orders!$D:$D,$A71,Orders!$F:$F,"&gt;="&amp;K$4,Orders!$F:$F,"&lt;"&amp;EDATE(K$4,1))</f>
        <v>0</v>
      </c>
      <c r="L71" s="19" t="n">
        <f aca="false">SUMIFS(Orders!$L:$L,Orders!$D:$D,$A71,Orders!$F:$F,"&gt;="&amp;L$4,Orders!$F:$F,"&lt;"&amp;EDATE(L$4,1))</f>
        <v>0</v>
      </c>
      <c r="M71" s="19" t="n">
        <f aca="false">N71-J71-K71-L71</f>
        <v>0</v>
      </c>
      <c r="N71" s="19" t="n">
        <f aca="false">SUMIFS(Orders!$L:$L,Orders!$D:$D,$A71)</f>
        <v>0</v>
      </c>
      <c r="O71" s="19" t="n">
        <f aca="false">H71+N71</f>
        <v>3772.26</v>
      </c>
      <c r="P71" s="30" t="n">
        <v>730</v>
      </c>
      <c r="Q71" s="19" t="n">
        <f aca="false">IF(SUMIFS('Sales History'!$E:$E,'Sales History'!$G:$G,$A71)&gt;0,SUMIFS('Sales History'!$E:$E,'Sales History'!$G:$G,$A71)/Settings!$B$4,N(P71))</f>
        <v>730</v>
      </c>
      <c r="R71" s="18" t="str">
        <f aca="false">IF(SUMIFS('Sales History'!$E:$E,'Sales History'!$G:$G,$A71)&gt;0,"6-month history",IF(N(P71)&gt;0,"Current sheet","No sales data"))</f>
        <v>Current sheet</v>
      </c>
      <c r="S71" s="31" t="n">
        <f aca="false">IF(Q71&gt;0,H71/Q71,"")</f>
        <v>5.16747945205479</v>
      </c>
      <c r="T71" s="30" t="n">
        <v>1500</v>
      </c>
      <c r="U71" s="19" t="n">
        <f aca="false">IF(T71="","",MAX(0,T71-O71))</f>
        <v>0</v>
      </c>
      <c r="V71" s="32" t="str">
        <f aca="false">IF(D71="End of range","END OF RANGE",IF(T71="","NO BUFFER SET",IF(H71&lt;=0,IF(O71&lt;T71,"OUT - REORDER","OUT - ON ORDER"),IF(O71&lt;T71,"REORDER",IF(H71&lt;T71,"LOW - ON ORDER",IF(AND(S71&lt;&gt;"",N(S71)&gt;Settings!$B$5),"SLOW MOVER","OK"))))))</f>
        <v>OK</v>
      </c>
      <c r="W71" s="18"/>
      <c r="X71" s="33" t="n">
        <f aca="false">IF(OR(D71="End of range",U71=""),0,IF(N(U71)&gt;0,U71+ROW()/1000000,0))</f>
        <v>0</v>
      </c>
    </row>
    <row r="72" customFormat="false" ht="14.25" hidden="false" customHeight="true" outlineLevel="0" collapsed="false">
      <c r="A72" s="18" t="s">
        <v>214</v>
      </c>
      <c r="B72" s="18" t="s">
        <v>215</v>
      </c>
      <c r="C72" s="18" t="s">
        <v>79</v>
      </c>
      <c r="D72" s="18" t="s">
        <v>80</v>
      </c>
      <c r="E72" s="19" t="n">
        <f aca="false">SUMIFS('CPT Count'!$D:$D,'CPT Count'!$A:$A,$A72)-SUMIFS('Weekly Sales'!$F:$F,'Weekly Sales'!$H:$H,$A72,'Weekly Sales'!$I:$I,"CPT")+SUMIFS(Transfers!$F:$F,Transfers!$C:$C,$A72,Transfers!$J:$J,"CPT")-SUMIFS(Transfers!$F:$F,Transfers!$C:$C,$A72,Transfers!$I:$I,"CPT",Transfers!$H:$H,"&lt;&gt;Y")+SUMIFS('Stock Received'!$I:$I,'Stock Received'!$E:$E,$A72,'Stock Received'!$L:$L,"CPT")</f>
        <v>672.85</v>
      </c>
      <c r="F72" s="19" t="n">
        <f aca="false">SUMIFS('JHB Count'!$E:$E,'JHB Count'!$F:$F,$A72)-SUMIFS('Weekly Sales'!$F:$F,'Weekly Sales'!$H:$H,$A72,'Weekly Sales'!$I:$I,"JHB")+SUMIFS(Transfers!$F:$F,Transfers!$C:$C,$A72,Transfers!$J:$J,"JHB")-SUMIFS(Transfers!$F:$F,Transfers!$C:$C,$A72,Transfers!$I:$I,"JHB",Transfers!$H:$H,"&lt;&gt;Y")+SUMIFS('Stock Received'!$I:$I,'Stock Received'!$E:$E,$A72,'Stock Received'!$L:$L,"JHB")</f>
        <v>396.98</v>
      </c>
      <c r="G72" s="19" t="n">
        <f aca="false">SUMIFS('DBN Count'!$D:$D,'DBN Count'!$E:$E,$A72)-SUMIFS('Weekly Sales'!$F:$F,'Weekly Sales'!$H:$H,$A72,'Weekly Sales'!$I:$I,"DBN")+SUMIFS(Transfers!$F:$F,Transfers!$C:$C,$A72,Transfers!$J:$J,"DBN")-SUMIFS(Transfers!$F:$F,Transfers!$C:$C,$A72,Transfers!$I:$I,"DBN",Transfers!$H:$H,"&lt;&gt;Y")+SUMIFS('Stock Received'!$I:$I,'Stock Received'!$E:$E,$A72,'Stock Received'!$L:$L,"DBN")</f>
        <v>0</v>
      </c>
      <c r="H72" s="29" t="n">
        <f aca="false">E72+F72+G72</f>
        <v>1069.83</v>
      </c>
      <c r="I72" s="19" t="n">
        <f aca="false">SUMIFS('Weekly Sales'!$F:$F,'Weekly Sales'!$H:$H,$A72)</f>
        <v>354.17</v>
      </c>
      <c r="J72" s="19" t="n">
        <f aca="false">SUMIFS(Orders!$L:$L,Orders!$D:$D,$A72,Orders!$F:$F,"&gt;="&amp;J$4,Orders!$F:$F,"&lt;"&amp;EDATE(J$4,1))</f>
        <v>0</v>
      </c>
      <c r="K72" s="19" t="n">
        <f aca="false">SUMIFS(Orders!$L:$L,Orders!$D:$D,$A72,Orders!$F:$F,"&gt;="&amp;K$4,Orders!$F:$F,"&lt;"&amp;EDATE(K$4,1))</f>
        <v>1500</v>
      </c>
      <c r="L72" s="19" t="n">
        <f aca="false">SUMIFS(Orders!$L:$L,Orders!$D:$D,$A72,Orders!$F:$F,"&gt;="&amp;L$4,Orders!$F:$F,"&lt;"&amp;EDATE(L$4,1))</f>
        <v>0</v>
      </c>
      <c r="M72" s="19" t="n">
        <f aca="false">N72-J72-K72-L72</f>
        <v>0</v>
      </c>
      <c r="N72" s="19" t="n">
        <f aca="false">SUMIFS(Orders!$L:$L,Orders!$D:$D,$A72)</f>
        <v>1500</v>
      </c>
      <c r="O72" s="19" t="n">
        <f aca="false">H72+N72</f>
        <v>2569.83</v>
      </c>
      <c r="P72" s="30" t="n">
        <v>350</v>
      </c>
      <c r="Q72" s="19" t="n">
        <f aca="false">IF(SUMIFS('Sales History'!$E:$E,'Sales History'!$G:$G,$A72)&gt;0,SUMIFS('Sales History'!$E:$E,'Sales History'!$G:$G,$A72)/Settings!$B$4,N(P72))</f>
        <v>350</v>
      </c>
      <c r="R72" s="18" t="str">
        <f aca="false">IF(SUMIFS('Sales History'!$E:$E,'Sales History'!$G:$G,$A72)&gt;0,"6-month history",IF(N(P72)&gt;0,"Current sheet","No sales data"))</f>
        <v>Current sheet</v>
      </c>
      <c r="S72" s="31" t="n">
        <f aca="false">IF(Q72&gt;0,H72/Q72,"")</f>
        <v>3.05665714285714</v>
      </c>
      <c r="T72" s="30" t="n">
        <v>700</v>
      </c>
      <c r="U72" s="19" t="n">
        <f aca="false">IF(T72="","",MAX(0,T72-O72))</f>
        <v>0</v>
      </c>
      <c r="V72" s="32" t="str">
        <f aca="false">IF(D72="End of range","END OF RANGE",IF(T72="","NO BUFFER SET",IF(H72&lt;=0,IF(O72&lt;T72,"OUT - REORDER","OUT - ON ORDER"),IF(O72&lt;T72,"REORDER",IF(H72&lt;T72,"LOW - ON ORDER",IF(AND(S72&lt;&gt;"",N(S72)&gt;Settings!$B$5),"SLOW MOVER","OK"))))))</f>
        <v>OK</v>
      </c>
      <c r="W72" s="18"/>
      <c r="X72" s="33" t="n">
        <f aca="false">IF(OR(D72="End of range",U72=""),0,IF(N(U72)&gt;0,U72+ROW()/1000000,0))</f>
        <v>0</v>
      </c>
    </row>
    <row r="73" customFormat="false" ht="14.25" hidden="false" customHeight="true" outlineLevel="0" collapsed="false">
      <c r="A73" s="18" t="s">
        <v>216</v>
      </c>
      <c r="B73" s="18" t="s">
        <v>217</v>
      </c>
      <c r="C73" s="18" t="s">
        <v>79</v>
      </c>
      <c r="D73" s="18" t="s">
        <v>181</v>
      </c>
      <c r="E73" s="19" t="n">
        <f aca="false">SUMIFS('CPT Count'!$D:$D,'CPT Count'!$A:$A,$A73)-SUMIFS('Weekly Sales'!$F:$F,'Weekly Sales'!$H:$H,$A73,'Weekly Sales'!$I:$I,"CPT")+SUMIFS(Transfers!$F:$F,Transfers!$C:$C,$A73,Transfers!$J:$J,"CPT")-SUMIFS(Transfers!$F:$F,Transfers!$C:$C,$A73,Transfers!$I:$I,"CPT",Transfers!$H:$H,"&lt;&gt;Y")+SUMIFS('Stock Received'!$I:$I,'Stock Received'!$E:$E,$A73,'Stock Received'!$L:$L,"CPT")</f>
        <v>1140</v>
      </c>
      <c r="F73" s="19" t="n">
        <f aca="false">SUMIFS('JHB Count'!$E:$E,'JHB Count'!$F:$F,$A73)-SUMIFS('Weekly Sales'!$F:$F,'Weekly Sales'!$H:$H,$A73,'Weekly Sales'!$I:$I,"JHB")+SUMIFS(Transfers!$F:$F,Transfers!$C:$C,$A73,Transfers!$J:$J,"JHB")-SUMIFS(Transfers!$F:$F,Transfers!$C:$C,$A73,Transfers!$I:$I,"JHB",Transfers!$H:$H,"&lt;&gt;Y")+SUMIFS('Stock Received'!$I:$I,'Stock Received'!$E:$E,$A73,'Stock Received'!$L:$L,"JHB")</f>
        <v>256.11</v>
      </c>
      <c r="G73" s="19" t="n">
        <f aca="false">SUMIFS('DBN Count'!$D:$D,'DBN Count'!$E:$E,$A73)-SUMIFS('Weekly Sales'!$F:$F,'Weekly Sales'!$H:$H,$A73,'Weekly Sales'!$I:$I,"DBN")+SUMIFS(Transfers!$F:$F,Transfers!$C:$C,$A73,Transfers!$J:$J,"DBN")-SUMIFS(Transfers!$F:$F,Transfers!$C:$C,$A73,Transfers!$I:$I,"DBN",Transfers!$H:$H,"&lt;&gt;Y")+SUMIFS('Stock Received'!$I:$I,'Stock Received'!$E:$E,$A73,'Stock Received'!$L:$L,"DBN")</f>
        <v>0</v>
      </c>
      <c r="H73" s="29" t="n">
        <f aca="false">E73+F73+G73</f>
        <v>1396.11</v>
      </c>
      <c r="I73" s="19" t="n">
        <f aca="false">SUMIFS('Weekly Sales'!$F:$F,'Weekly Sales'!$H:$H,$A73)</f>
        <v>123.89</v>
      </c>
      <c r="J73" s="19" t="n">
        <f aca="false">SUMIFS(Orders!$L:$L,Orders!$D:$D,$A73,Orders!$F:$F,"&gt;="&amp;J$4,Orders!$F:$F,"&lt;"&amp;EDATE(J$4,1))</f>
        <v>0</v>
      </c>
      <c r="K73" s="19" t="n">
        <f aca="false">SUMIFS(Orders!$L:$L,Orders!$D:$D,$A73,Orders!$F:$F,"&gt;="&amp;K$4,Orders!$F:$F,"&lt;"&amp;EDATE(K$4,1))</f>
        <v>0</v>
      </c>
      <c r="L73" s="19" t="n">
        <f aca="false">SUMIFS(Orders!$L:$L,Orders!$D:$D,$A73,Orders!$F:$F,"&gt;="&amp;L$4,Orders!$F:$F,"&lt;"&amp;EDATE(L$4,1))</f>
        <v>0</v>
      </c>
      <c r="M73" s="19" t="n">
        <f aca="false">N73-J73-K73-L73</f>
        <v>0</v>
      </c>
      <c r="N73" s="19" t="n">
        <f aca="false">SUMIFS(Orders!$L:$L,Orders!$D:$D,$A73)</f>
        <v>0</v>
      </c>
      <c r="O73" s="19" t="n">
        <f aca="false">H73+N73</f>
        <v>1396.11</v>
      </c>
      <c r="P73" s="30"/>
      <c r="Q73" s="19" t="n">
        <f aca="false">IF(SUMIFS('Sales History'!$E:$E,'Sales History'!$G:$G,$A73)&gt;0,SUMIFS('Sales History'!$E:$E,'Sales History'!$G:$G,$A73)/Settings!$B$4,N(P73))</f>
        <v>0</v>
      </c>
      <c r="R73" s="18" t="str">
        <f aca="false">IF(SUMIFS('Sales History'!$E:$E,'Sales History'!$G:$G,$A73)&gt;0,"6-month history",IF(N(P73)&gt;0,"Current sheet","No sales data"))</f>
        <v>No sales data</v>
      </c>
      <c r="S73" s="31" t="str">
        <f aca="false">IF(Q73&gt;0,H73/Q73,"")</f>
        <v/>
      </c>
      <c r="T73" s="30" t="n">
        <v>50</v>
      </c>
      <c r="U73" s="19" t="n">
        <f aca="false">IF(T73="","",MAX(0,T73-O73))</f>
        <v>0</v>
      </c>
      <c r="V73" s="32" t="str">
        <f aca="false">IF(D73="End of range","END OF RANGE",IF(T73="","NO BUFFER SET",IF(H73&lt;=0,IF(O73&lt;T73,"OUT - REORDER","OUT - ON ORDER"),IF(O73&lt;T73,"REORDER",IF(H73&lt;T73,"LOW - ON ORDER",IF(AND(S73&lt;&gt;"",N(S73)&gt;Settings!$B$5),"SLOW MOVER","OK"))))))</f>
        <v>END OF RANGE</v>
      </c>
      <c r="W73" s="18"/>
      <c r="X73" s="33" t="n">
        <f aca="false">IF(OR(D73="End of range",U73=""),0,IF(N(U73)&gt;0,U73+ROW()/1000000,0))</f>
        <v>0</v>
      </c>
    </row>
    <row r="74" customFormat="false" ht="14.25" hidden="false" customHeight="true" outlineLevel="0" collapsed="false">
      <c r="A74" s="18" t="s">
        <v>218</v>
      </c>
      <c r="B74" s="18" t="s">
        <v>219</v>
      </c>
      <c r="C74" s="18" t="s">
        <v>79</v>
      </c>
      <c r="D74" s="18" t="s">
        <v>80</v>
      </c>
      <c r="E74" s="19" t="n">
        <f aca="false">SUMIFS('CPT Count'!$D:$D,'CPT Count'!$A:$A,$A74)-SUMIFS('Weekly Sales'!$F:$F,'Weekly Sales'!$H:$H,$A74,'Weekly Sales'!$I:$I,"CPT")+SUMIFS(Transfers!$F:$F,Transfers!$C:$C,$A74,Transfers!$J:$J,"CPT")-SUMIFS(Transfers!$F:$F,Transfers!$C:$C,$A74,Transfers!$I:$I,"CPT",Transfers!$H:$H,"&lt;&gt;Y")+SUMIFS('Stock Received'!$I:$I,'Stock Received'!$E:$E,$A74,'Stock Received'!$L:$L,"CPT")</f>
        <v>865</v>
      </c>
      <c r="F74" s="19" t="n">
        <f aca="false">SUMIFS('JHB Count'!$E:$E,'JHB Count'!$F:$F,$A74)-SUMIFS('Weekly Sales'!$F:$F,'Weekly Sales'!$H:$H,$A74,'Weekly Sales'!$I:$I,"JHB")+SUMIFS(Transfers!$F:$F,Transfers!$C:$C,$A74,Transfers!$J:$J,"JHB")-SUMIFS(Transfers!$F:$F,Transfers!$C:$C,$A74,Transfers!$I:$I,"JHB",Transfers!$H:$H,"&lt;&gt;Y")+SUMIFS('Stock Received'!$I:$I,'Stock Received'!$E:$E,$A74,'Stock Received'!$L:$L,"JHB")</f>
        <v>864</v>
      </c>
      <c r="G74" s="19" t="n">
        <f aca="false">SUMIFS('DBN Count'!$D:$D,'DBN Count'!$E:$E,$A74)-SUMIFS('Weekly Sales'!$F:$F,'Weekly Sales'!$H:$H,$A74,'Weekly Sales'!$I:$I,"DBN")+SUMIFS(Transfers!$F:$F,Transfers!$C:$C,$A74,Transfers!$J:$J,"DBN")-SUMIFS(Transfers!$F:$F,Transfers!$C:$C,$A74,Transfers!$I:$I,"DBN",Transfers!$H:$H,"&lt;&gt;Y")+SUMIFS('Stock Received'!$I:$I,'Stock Received'!$E:$E,$A74,'Stock Received'!$L:$L,"DBN")</f>
        <v>0</v>
      </c>
      <c r="H74" s="29" t="n">
        <f aca="false">E74+F74+G74</f>
        <v>1729</v>
      </c>
      <c r="I74" s="19" t="n">
        <f aca="false">SUMIFS('Weekly Sales'!$F:$F,'Weekly Sales'!$H:$H,$A74)</f>
        <v>0</v>
      </c>
      <c r="J74" s="19" t="n">
        <f aca="false">SUMIFS(Orders!$L:$L,Orders!$D:$D,$A74,Orders!$F:$F,"&gt;="&amp;J$4,Orders!$F:$F,"&lt;"&amp;EDATE(J$4,1))</f>
        <v>0</v>
      </c>
      <c r="K74" s="19" t="n">
        <f aca="false">SUMIFS(Orders!$L:$L,Orders!$D:$D,$A74,Orders!$F:$F,"&gt;="&amp;K$4,Orders!$F:$F,"&lt;"&amp;EDATE(K$4,1))</f>
        <v>1000</v>
      </c>
      <c r="L74" s="19" t="n">
        <f aca="false">SUMIFS(Orders!$L:$L,Orders!$D:$D,$A74,Orders!$F:$F,"&gt;="&amp;L$4,Orders!$F:$F,"&lt;"&amp;EDATE(L$4,1))</f>
        <v>0</v>
      </c>
      <c r="M74" s="19" t="n">
        <f aca="false">N74-J74-K74-L74</f>
        <v>0</v>
      </c>
      <c r="N74" s="19" t="n">
        <f aca="false">SUMIFS(Orders!$L:$L,Orders!$D:$D,$A74)</f>
        <v>1000</v>
      </c>
      <c r="O74" s="19" t="n">
        <f aca="false">H74+N74</f>
        <v>2729</v>
      </c>
      <c r="P74" s="30" t="n">
        <v>100</v>
      </c>
      <c r="Q74" s="19" t="n">
        <f aca="false">IF(SUMIFS('Sales History'!$E:$E,'Sales History'!$G:$G,$A74)&gt;0,SUMIFS('Sales History'!$E:$E,'Sales History'!$G:$G,$A74)/Settings!$B$4,N(P74))</f>
        <v>100</v>
      </c>
      <c r="R74" s="18" t="str">
        <f aca="false">IF(SUMIFS('Sales History'!$E:$E,'Sales History'!$G:$G,$A74)&gt;0,"6-month history",IF(N(P74)&gt;0,"Current sheet","No sales data"))</f>
        <v>Current sheet</v>
      </c>
      <c r="S74" s="31" t="n">
        <f aca="false">IF(Q74&gt;0,H74/Q74,"")</f>
        <v>17.29</v>
      </c>
      <c r="T74" s="30" t="n">
        <v>700</v>
      </c>
      <c r="U74" s="19" t="n">
        <f aca="false">IF(T74="","",MAX(0,T74-O74))</f>
        <v>0</v>
      </c>
      <c r="V74" s="32" t="str">
        <f aca="false">IF(D74="End of range","END OF RANGE",IF(T74="","NO BUFFER SET",IF(H74&lt;=0,IF(O74&lt;T74,"OUT - REORDER","OUT - ON ORDER"),IF(O74&lt;T74,"REORDER",IF(H74&lt;T74,"LOW - ON ORDER",IF(AND(S74&lt;&gt;"",N(S74)&gt;Settings!$B$5),"SLOW MOVER","OK"))))))</f>
        <v>SLOW MOVER</v>
      </c>
      <c r="W74" s="18"/>
      <c r="X74" s="33" t="n">
        <f aca="false">IF(OR(D74="End of range",U74=""),0,IF(N(U74)&gt;0,U74+ROW()/1000000,0))</f>
        <v>0</v>
      </c>
    </row>
    <row r="75" customFormat="false" ht="14.25" hidden="false" customHeight="true" outlineLevel="0" collapsed="false">
      <c r="A75" s="18" t="s">
        <v>220</v>
      </c>
      <c r="B75" s="18" t="s">
        <v>221</v>
      </c>
      <c r="C75" s="18" t="s">
        <v>79</v>
      </c>
      <c r="D75" s="18" t="s">
        <v>80</v>
      </c>
      <c r="E75" s="19" t="n">
        <f aca="false">SUMIFS('CPT Count'!$D:$D,'CPT Count'!$A:$A,$A75)-SUMIFS('Weekly Sales'!$F:$F,'Weekly Sales'!$H:$H,$A75,'Weekly Sales'!$I:$I,"CPT")+SUMIFS(Transfers!$F:$F,Transfers!$C:$C,$A75,Transfers!$J:$J,"CPT")-SUMIFS(Transfers!$F:$F,Transfers!$C:$C,$A75,Transfers!$I:$I,"CPT",Transfers!$H:$H,"&lt;&gt;Y")+SUMIFS('Stock Received'!$I:$I,'Stock Received'!$E:$E,$A75,'Stock Received'!$L:$L,"CPT")</f>
        <v>1100</v>
      </c>
      <c r="F75" s="19" t="n">
        <f aca="false">SUMIFS('JHB Count'!$E:$E,'JHB Count'!$F:$F,$A75)-SUMIFS('Weekly Sales'!$F:$F,'Weekly Sales'!$H:$H,$A75,'Weekly Sales'!$I:$I,"JHB")+SUMIFS(Transfers!$F:$F,Transfers!$C:$C,$A75,Transfers!$J:$J,"JHB")-SUMIFS(Transfers!$F:$F,Transfers!$C:$C,$A75,Transfers!$I:$I,"JHB",Transfers!$H:$H,"&lt;&gt;Y")+SUMIFS('Stock Received'!$I:$I,'Stock Received'!$E:$E,$A75,'Stock Received'!$L:$L,"JHB")</f>
        <v>0</v>
      </c>
      <c r="G75" s="19" t="n">
        <f aca="false">SUMIFS('DBN Count'!$D:$D,'DBN Count'!$E:$E,$A75)-SUMIFS('Weekly Sales'!$F:$F,'Weekly Sales'!$H:$H,$A75,'Weekly Sales'!$I:$I,"DBN")+SUMIFS(Transfers!$F:$F,Transfers!$C:$C,$A75,Transfers!$J:$J,"DBN")-SUMIFS(Transfers!$F:$F,Transfers!$C:$C,$A75,Transfers!$I:$I,"DBN",Transfers!$H:$H,"&lt;&gt;Y")+SUMIFS('Stock Received'!$I:$I,'Stock Received'!$E:$E,$A75,'Stock Received'!$L:$L,"DBN")</f>
        <v>0</v>
      </c>
      <c r="H75" s="29" t="n">
        <f aca="false">E75+F75+G75</f>
        <v>1100</v>
      </c>
      <c r="I75" s="19" t="n">
        <f aca="false">SUMIFS('Weekly Sales'!$F:$F,'Weekly Sales'!$H:$H,$A75)</f>
        <v>0</v>
      </c>
      <c r="J75" s="19" t="n">
        <f aca="false">SUMIFS(Orders!$L:$L,Orders!$D:$D,$A75,Orders!$F:$F,"&gt;="&amp;J$4,Orders!$F:$F,"&lt;"&amp;EDATE(J$4,1))</f>
        <v>0</v>
      </c>
      <c r="K75" s="19" t="n">
        <f aca="false">SUMIFS(Orders!$L:$L,Orders!$D:$D,$A75,Orders!$F:$F,"&gt;="&amp;K$4,Orders!$F:$F,"&lt;"&amp;EDATE(K$4,1))</f>
        <v>0</v>
      </c>
      <c r="L75" s="19" t="n">
        <f aca="false">SUMIFS(Orders!$L:$L,Orders!$D:$D,$A75,Orders!$F:$F,"&gt;="&amp;L$4,Orders!$F:$F,"&lt;"&amp;EDATE(L$4,1))</f>
        <v>0</v>
      </c>
      <c r="M75" s="19" t="n">
        <f aca="false">N75-J75-K75-L75</f>
        <v>0</v>
      </c>
      <c r="N75" s="19" t="n">
        <f aca="false">SUMIFS(Orders!$L:$L,Orders!$D:$D,$A75)</f>
        <v>0</v>
      </c>
      <c r="O75" s="19" t="n">
        <f aca="false">H75+N75</f>
        <v>1100</v>
      </c>
      <c r="P75" s="30" t="n">
        <v>15</v>
      </c>
      <c r="Q75" s="19" t="n">
        <f aca="false">IF(SUMIFS('Sales History'!$E:$E,'Sales History'!$G:$G,$A75)&gt;0,SUMIFS('Sales History'!$E:$E,'Sales History'!$G:$G,$A75)/Settings!$B$4,N(P75))</f>
        <v>15</v>
      </c>
      <c r="R75" s="18" t="str">
        <f aca="false">IF(SUMIFS('Sales History'!$E:$E,'Sales History'!$G:$G,$A75)&gt;0,"6-month history",IF(N(P75)&gt;0,"Current sheet","No sales data"))</f>
        <v>Current sheet</v>
      </c>
      <c r="S75" s="31" t="n">
        <f aca="false">IF(Q75&gt;0,H75/Q75,"")</f>
        <v>73.3333333333333</v>
      </c>
      <c r="T75" s="30" t="n">
        <v>300</v>
      </c>
      <c r="U75" s="19" t="n">
        <f aca="false">IF(T75="","",MAX(0,T75-O75))</f>
        <v>0</v>
      </c>
      <c r="V75" s="32" t="str">
        <f aca="false">IF(D75="End of range","END OF RANGE",IF(T75="","NO BUFFER SET",IF(H75&lt;=0,IF(O75&lt;T75,"OUT - REORDER","OUT - ON ORDER"),IF(O75&lt;T75,"REORDER",IF(H75&lt;T75,"LOW - ON ORDER",IF(AND(S75&lt;&gt;"",N(S75)&gt;Settings!$B$5),"SLOW MOVER","OK"))))))</f>
        <v>SLOW MOVER</v>
      </c>
      <c r="W75" s="18"/>
      <c r="X75" s="33" t="n">
        <f aca="false">IF(OR(D75="End of range",U75=""),0,IF(N(U75)&gt;0,U75+ROW()/1000000,0))</f>
        <v>0</v>
      </c>
    </row>
    <row r="76" customFormat="false" ht="14.25" hidden="false" customHeight="true" outlineLevel="0" collapsed="false">
      <c r="A76" s="18" t="s">
        <v>222</v>
      </c>
      <c r="B76" s="18" t="s">
        <v>223</v>
      </c>
      <c r="C76" s="18" t="s">
        <v>79</v>
      </c>
      <c r="D76" s="18" t="s">
        <v>80</v>
      </c>
      <c r="E76" s="19" t="n">
        <f aca="false">SUMIFS('CPT Count'!$D:$D,'CPT Count'!$A:$A,$A76)-SUMIFS('Weekly Sales'!$F:$F,'Weekly Sales'!$H:$H,$A76,'Weekly Sales'!$I:$I,"CPT")+SUMIFS(Transfers!$F:$F,Transfers!$C:$C,$A76,Transfers!$J:$J,"CPT")-SUMIFS(Transfers!$F:$F,Transfers!$C:$C,$A76,Transfers!$I:$I,"CPT",Transfers!$H:$H,"&lt;&gt;Y")+SUMIFS('Stock Received'!$I:$I,'Stock Received'!$E:$E,$A76,'Stock Received'!$L:$L,"CPT")</f>
        <v>1323.77</v>
      </c>
      <c r="F76" s="19" t="n">
        <f aca="false">SUMIFS('JHB Count'!$E:$E,'JHB Count'!$F:$F,$A76)-SUMIFS('Weekly Sales'!$F:$F,'Weekly Sales'!$H:$H,$A76,'Weekly Sales'!$I:$I,"JHB")+SUMIFS(Transfers!$F:$F,Transfers!$C:$C,$A76,Transfers!$J:$J,"JHB")-SUMIFS(Transfers!$F:$F,Transfers!$C:$C,$A76,Transfers!$I:$I,"JHB",Transfers!$H:$H,"&lt;&gt;Y")+SUMIFS('Stock Received'!$I:$I,'Stock Received'!$E:$E,$A76,'Stock Received'!$L:$L,"JHB")</f>
        <v>84</v>
      </c>
      <c r="G76" s="19" t="n">
        <f aca="false">SUMIFS('DBN Count'!$D:$D,'DBN Count'!$E:$E,$A76)-SUMIFS('Weekly Sales'!$F:$F,'Weekly Sales'!$H:$H,$A76,'Weekly Sales'!$I:$I,"DBN")+SUMIFS(Transfers!$F:$F,Transfers!$C:$C,$A76,Transfers!$J:$J,"DBN")-SUMIFS(Transfers!$F:$F,Transfers!$C:$C,$A76,Transfers!$I:$I,"DBN",Transfers!$H:$H,"&lt;&gt;Y")+SUMIFS('Stock Received'!$I:$I,'Stock Received'!$E:$E,$A76,'Stock Received'!$L:$L,"DBN")</f>
        <v>0</v>
      </c>
      <c r="H76" s="29" t="n">
        <f aca="false">E76+F76+G76</f>
        <v>1407.77</v>
      </c>
      <c r="I76" s="19" t="n">
        <f aca="false">SUMIFS('Weekly Sales'!$F:$F,'Weekly Sales'!$H:$H,$A76)</f>
        <v>7.23</v>
      </c>
      <c r="J76" s="19" t="n">
        <f aca="false">SUMIFS(Orders!$L:$L,Orders!$D:$D,$A76,Orders!$F:$F,"&gt;="&amp;J$4,Orders!$F:$F,"&lt;"&amp;EDATE(J$4,1))</f>
        <v>0</v>
      </c>
      <c r="K76" s="19" t="n">
        <f aca="false">SUMIFS(Orders!$L:$L,Orders!$D:$D,$A76,Orders!$F:$F,"&gt;="&amp;K$4,Orders!$F:$F,"&lt;"&amp;EDATE(K$4,1))</f>
        <v>0</v>
      </c>
      <c r="L76" s="19" t="n">
        <f aca="false">SUMIFS(Orders!$L:$L,Orders!$D:$D,$A76,Orders!$F:$F,"&gt;="&amp;L$4,Orders!$F:$F,"&lt;"&amp;EDATE(L$4,1))</f>
        <v>0</v>
      </c>
      <c r="M76" s="19" t="n">
        <f aca="false">N76-J76-K76-L76</f>
        <v>0</v>
      </c>
      <c r="N76" s="19" t="n">
        <f aca="false">SUMIFS(Orders!$L:$L,Orders!$D:$D,$A76)</f>
        <v>0</v>
      </c>
      <c r="O76" s="19" t="n">
        <f aca="false">H76+N76</f>
        <v>1407.77</v>
      </c>
      <c r="P76" s="30" t="n">
        <v>40</v>
      </c>
      <c r="Q76" s="19" t="n">
        <f aca="false">IF(SUMIFS('Sales History'!$E:$E,'Sales History'!$G:$G,$A76)&gt;0,SUMIFS('Sales History'!$E:$E,'Sales History'!$G:$G,$A76)/Settings!$B$4,N(P76))</f>
        <v>40</v>
      </c>
      <c r="R76" s="18" t="str">
        <f aca="false">IF(SUMIFS('Sales History'!$E:$E,'Sales History'!$G:$G,$A76)&gt;0,"6-month history",IF(N(P76)&gt;0,"Current sheet","No sales data"))</f>
        <v>Current sheet</v>
      </c>
      <c r="S76" s="31" t="n">
        <f aca="false">IF(Q76&gt;0,H76/Q76,"")</f>
        <v>35.19425</v>
      </c>
      <c r="T76" s="30" t="n">
        <v>300</v>
      </c>
      <c r="U76" s="19" t="n">
        <f aca="false">IF(T76="","",MAX(0,T76-O76))</f>
        <v>0</v>
      </c>
      <c r="V76" s="32" t="str">
        <f aca="false">IF(D76="End of range","END OF RANGE",IF(T76="","NO BUFFER SET",IF(H76&lt;=0,IF(O76&lt;T76,"OUT - REORDER","OUT - ON ORDER"),IF(O76&lt;T76,"REORDER",IF(H76&lt;T76,"LOW - ON ORDER",IF(AND(S76&lt;&gt;"",N(S76)&gt;Settings!$B$5),"SLOW MOVER","OK"))))))</f>
        <v>SLOW MOVER</v>
      </c>
      <c r="W76" s="18"/>
      <c r="X76" s="33" t="n">
        <f aca="false">IF(OR(D76="End of range",U76=""),0,IF(N(U76)&gt;0,U76+ROW()/1000000,0))</f>
        <v>0</v>
      </c>
    </row>
    <row r="77" customFormat="false" ht="14.25" hidden="false" customHeight="true" outlineLevel="0" collapsed="false">
      <c r="A77" s="18" t="s">
        <v>224</v>
      </c>
      <c r="B77" s="18" t="s">
        <v>225</v>
      </c>
      <c r="C77" s="18" t="s">
        <v>79</v>
      </c>
      <c r="D77" s="18" t="s">
        <v>80</v>
      </c>
      <c r="E77" s="19" t="n">
        <f aca="false">SUMIFS('CPT Count'!$D:$D,'CPT Count'!$A:$A,$A77)-SUMIFS('Weekly Sales'!$F:$F,'Weekly Sales'!$H:$H,$A77,'Weekly Sales'!$I:$I,"CPT")+SUMIFS(Transfers!$F:$F,Transfers!$C:$C,$A77,Transfers!$J:$J,"CPT")-SUMIFS(Transfers!$F:$F,Transfers!$C:$C,$A77,Transfers!$I:$I,"CPT",Transfers!$H:$H,"&lt;&gt;Y")+SUMIFS('Stock Received'!$I:$I,'Stock Received'!$E:$E,$A77,'Stock Received'!$L:$L,"CPT")</f>
        <v>380.64</v>
      </c>
      <c r="F77" s="19" t="n">
        <f aca="false">SUMIFS('JHB Count'!$E:$E,'JHB Count'!$F:$F,$A77)-SUMIFS('Weekly Sales'!$F:$F,'Weekly Sales'!$H:$H,$A77,'Weekly Sales'!$I:$I,"JHB")+SUMIFS(Transfers!$F:$F,Transfers!$C:$C,$A77,Transfers!$J:$J,"JHB")-SUMIFS(Transfers!$F:$F,Transfers!$C:$C,$A77,Transfers!$I:$I,"JHB",Transfers!$H:$H,"&lt;&gt;Y")+SUMIFS('Stock Received'!$I:$I,'Stock Received'!$E:$E,$A77,'Stock Received'!$L:$L,"JHB")</f>
        <v>30.5</v>
      </c>
      <c r="G77" s="19" t="n">
        <f aca="false">SUMIFS('DBN Count'!$D:$D,'DBN Count'!$E:$E,$A77)-SUMIFS('Weekly Sales'!$F:$F,'Weekly Sales'!$H:$H,$A77,'Weekly Sales'!$I:$I,"DBN")+SUMIFS(Transfers!$F:$F,Transfers!$C:$C,$A77,Transfers!$J:$J,"DBN")-SUMIFS(Transfers!$F:$F,Transfers!$C:$C,$A77,Transfers!$I:$I,"DBN",Transfers!$H:$H,"&lt;&gt;Y")+SUMIFS('Stock Received'!$I:$I,'Stock Received'!$E:$E,$A77,'Stock Received'!$L:$L,"DBN")</f>
        <v>0</v>
      </c>
      <c r="H77" s="29" t="n">
        <f aca="false">E77+F77+G77</f>
        <v>411.14</v>
      </c>
      <c r="I77" s="19" t="n">
        <f aca="false">SUMIFS('Weekly Sales'!$F:$F,'Weekly Sales'!$H:$H,$A77)</f>
        <v>29.5</v>
      </c>
      <c r="J77" s="19" t="n">
        <f aca="false">SUMIFS(Orders!$L:$L,Orders!$D:$D,$A77,Orders!$F:$F,"&gt;="&amp;J$4,Orders!$F:$F,"&lt;"&amp;EDATE(J$4,1))</f>
        <v>0</v>
      </c>
      <c r="K77" s="19" t="n">
        <f aca="false">SUMIFS(Orders!$L:$L,Orders!$D:$D,$A77,Orders!$F:$F,"&gt;="&amp;K$4,Orders!$F:$F,"&lt;"&amp;EDATE(K$4,1))</f>
        <v>300</v>
      </c>
      <c r="L77" s="19" t="n">
        <f aca="false">SUMIFS(Orders!$L:$L,Orders!$D:$D,$A77,Orders!$F:$F,"&gt;="&amp;L$4,Orders!$F:$F,"&lt;"&amp;EDATE(L$4,1))</f>
        <v>0</v>
      </c>
      <c r="M77" s="19" t="n">
        <f aca="false">N77-J77-K77-L77</f>
        <v>0</v>
      </c>
      <c r="N77" s="19" t="n">
        <f aca="false">SUMIFS(Orders!$L:$L,Orders!$D:$D,$A77)</f>
        <v>300</v>
      </c>
      <c r="O77" s="19" t="n">
        <f aca="false">H77+N77</f>
        <v>711.14</v>
      </c>
      <c r="P77" s="30" t="n">
        <v>200</v>
      </c>
      <c r="Q77" s="19" t="n">
        <f aca="false">IF(SUMIFS('Sales History'!$E:$E,'Sales History'!$G:$G,$A77)&gt;0,SUMIFS('Sales History'!$E:$E,'Sales History'!$G:$G,$A77)/Settings!$B$4,N(P77))</f>
        <v>200</v>
      </c>
      <c r="R77" s="18" t="str">
        <f aca="false">IF(SUMIFS('Sales History'!$E:$E,'Sales History'!$G:$G,$A77)&gt;0,"6-month history",IF(N(P77)&gt;0,"Current sheet","No sales data"))</f>
        <v>Current sheet</v>
      </c>
      <c r="S77" s="31" t="n">
        <f aca="false">IF(Q77&gt;0,H77/Q77,"")</f>
        <v>2.0557</v>
      </c>
      <c r="T77" s="30" t="n">
        <v>300</v>
      </c>
      <c r="U77" s="19" t="n">
        <f aca="false">IF(T77="","",MAX(0,T77-O77))</f>
        <v>0</v>
      </c>
      <c r="V77" s="32" t="str">
        <f aca="false">IF(D77="End of range","END OF RANGE",IF(T77="","NO BUFFER SET",IF(H77&lt;=0,IF(O77&lt;T77,"OUT - REORDER","OUT - ON ORDER"),IF(O77&lt;T77,"REORDER",IF(H77&lt;T77,"LOW - ON ORDER",IF(AND(S77&lt;&gt;"",N(S77)&gt;Settings!$B$5),"SLOW MOVER","OK"))))))</f>
        <v>OK</v>
      </c>
      <c r="W77" s="18"/>
      <c r="X77" s="33" t="n">
        <f aca="false">IF(OR(D77="End of range",U77=""),0,IF(N(U77)&gt;0,U77+ROW()/1000000,0))</f>
        <v>0</v>
      </c>
    </row>
    <row r="78" customFormat="false" ht="14.25" hidden="false" customHeight="true" outlineLevel="0" collapsed="false">
      <c r="A78" s="18" t="s">
        <v>226</v>
      </c>
      <c r="B78" s="18" t="s">
        <v>227</v>
      </c>
      <c r="C78" s="18" t="s">
        <v>79</v>
      </c>
      <c r="D78" s="18" t="s">
        <v>80</v>
      </c>
      <c r="E78" s="19" t="n">
        <f aca="false">SUMIFS('CPT Count'!$D:$D,'CPT Count'!$A:$A,$A78)-SUMIFS('Weekly Sales'!$F:$F,'Weekly Sales'!$H:$H,$A78,'Weekly Sales'!$I:$I,"CPT")+SUMIFS(Transfers!$F:$F,Transfers!$C:$C,$A78,Transfers!$J:$J,"CPT")-SUMIFS(Transfers!$F:$F,Transfers!$C:$C,$A78,Transfers!$I:$I,"CPT",Transfers!$H:$H,"&lt;&gt;Y")+SUMIFS('Stock Received'!$I:$I,'Stock Received'!$E:$E,$A78,'Stock Received'!$L:$L,"CPT")</f>
        <v>547</v>
      </c>
      <c r="F78" s="19" t="n">
        <f aca="false">SUMIFS('JHB Count'!$E:$E,'JHB Count'!$F:$F,$A78)-SUMIFS('Weekly Sales'!$F:$F,'Weekly Sales'!$H:$H,$A78,'Weekly Sales'!$I:$I,"JHB")+SUMIFS(Transfers!$F:$F,Transfers!$C:$C,$A78,Transfers!$J:$J,"JHB")-SUMIFS(Transfers!$F:$F,Transfers!$C:$C,$A78,Transfers!$I:$I,"JHB",Transfers!$H:$H,"&lt;&gt;Y")+SUMIFS('Stock Received'!$I:$I,'Stock Received'!$E:$E,$A78,'Stock Received'!$L:$L,"JHB")</f>
        <v>205.61</v>
      </c>
      <c r="G78" s="19" t="n">
        <f aca="false">SUMIFS('DBN Count'!$D:$D,'DBN Count'!$E:$E,$A78)-SUMIFS('Weekly Sales'!$F:$F,'Weekly Sales'!$H:$H,$A78,'Weekly Sales'!$I:$I,"DBN")+SUMIFS(Transfers!$F:$F,Transfers!$C:$C,$A78,Transfers!$J:$J,"DBN")-SUMIFS(Transfers!$F:$F,Transfers!$C:$C,$A78,Transfers!$I:$I,"DBN",Transfers!$H:$H,"&lt;&gt;Y")+SUMIFS('Stock Received'!$I:$I,'Stock Received'!$E:$E,$A78,'Stock Received'!$L:$L,"DBN")</f>
        <v>0</v>
      </c>
      <c r="H78" s="29" t="n">
        <f aca="false">E78+F78+G78</f>
        <v>752.61</v>
      </c>
      <c r="I78" s="19" t="n">
        <f aca="false">SUMIFS('Weekly Sales'!$F:$F,'Weekly Sales'!$H:$H,$A78)</f>
        <v>90.39</v>
      </c>
      <c r="J78" s="19" t="n">
        <f aca="false">SUMIFS(Orders!$L:$L,Orders!$D:$D,$A78,Orders!$F:$F,"&gt;="&amp;J$4,Orders!$F:$F,"&lt;"&amp;EDATE(J$4,1))</f>
        <v>0</v>
      </c>
      <c r="K78" s="19" t="n">
        <f aca="false">SUMIFS(Orders!$L:$L,Orders!$D:$D,$A78,Orders!$F:$F,"&gt;="&amp;K$4,Orders!$F:$F,"&lt;"&amp;EDATE(K$4,1))</f>
        <v>0</v>
      </c>
      <c r="L78" s="19" t="n">
        <f aca="false">SUMIFS(Orders!$L:$L,Orders!$D:$D,$A78,Orders!$F:$F,"&gt;="&amp;L$4,Orders!$F:$F,"&lt;"&amp;EDATE(L$4,1))</f>
        <v>0</v>
      </c>
      <c r="M78" s="19" t="n">
        <f aca="false">N78-J78-K78-L78</f>
        <v>0</v>
      </c>
      <c r="N78" s="19" t="n">
        <f aca="false">SUMIFS(Orders!$L:$L,Orders!$D:$D,$A78)</f>
        <v>0</v>
      </c>
      <c r="O78" s="19" t="n">
        <f aca="false">H78+N78</f>
        <v>752.61</v>
      </c>
      <c r="P78" s="30" t="n">
        <v>110</v>
      </c>
      <c r="Q78" s="19" t="n">
        <f aca="false">IF(SUMIFS('Sales History'!$E:$E,'Sales History'!$G:$G,$A78)&gt;0,SUMIFS('Sales History'!$E:$E,'Sales History'!$G:$G,$A78)/Settings!$B$4,N(P78))</f>
        <v>110</v>
      </c>
      <c r="R78" s="18" t="str">
        <f aca="false">IF(SUMIFS('Sales History'!$E:$E,'Sales History'!$G:$G,$A78)&gt;0,"6-month history",IF(N(P78)&gt;0,"Current sheet","No sales data"))</f>
        <v>Current sheet</v>
      </c>
      <c r="S78" s="31" t="n">
        <f aca="false">IF(Q78&gt;0,H78/Q78,"")</f>
        <v>6.84190909090909</v>
      </c>
      <c r="T78" s="30" t="n">
        <v>300</v>
      </c>
      <c r="U78" s="19" t="n">
        <f aca="false">IF(T78="","",MAX(0,T78-O78))</f>
        <v>0</v>
      </c>
      <c r="V78" s="32" t="str">
        <f aca="false">IF(D78="End of range","END OF RANGE",IF(T78="","NO BUFFER SET",IF(H78&lt;=0,IF(O78&lt;T78,"OUT - REORDER","OUT - ON ORDER"),IF(O78&lt;T78,"REORDER",IF(H78&lt;T78,"LOW - ON ORDER",IF(AND(S78&lt;&gt;"",N(S78)&gt;Settings!$B$5),"SLOW MOVER","OK"))))))</f>
        <v>OK</v>
      </c>
      <c r="W78" s="18"/>
      <c r="X78" s="33" t="n">
        <f aca="false">IF(OR(D78="End of range",U78=""),0,IF(N(U78)&gt;0,U78+ROW()/1000000,0))</f>
        <v>0</v>
      </c>
    </row>
    <row r="79" customFormat="false" ht="14.25" hidden="false" customHeight="true" outlineLevel="0" collapsed="false">
      <c r="A79" s="18" t="s">
        <v>228</v>
      </c>
      <c r="B79" s="18" t="s">
        <v>229</v>
      </c>
      <c r="C79" s="18" t="s">
        <v>79</v>
      </c>
      <c r="D79" s="18" t="s">
        <v>80</v>
      </c>
      <c r="E79" s="19" t="n">
        <f aca="false">SUMIFS('CPT Count'!$D:$D,'CPT Count'!$A:$A,$A79)-SUMIFS('Weekly Sales'!$F:$F,'Weekly Sales'!$H:$H,$A79,'Weekly Sales'!$I:$I,"CPT")+SUMIFS(Transfers!$F:$F,Transfers!$C:$C,$A79,Transfers!$J:$J,"CPT")-SUMIFS(Transfers!$F:$F,Transfers!$C:$C,$A79,Transfers!$I:$I,"CPT",Transfers!$H:$H,"&lt;&gt;Y")+SUMIFS('Stock Received'!$I:$I,'Stock Received'!$E:$E,$A79,'Stock Received'!$L:$L,"CPT")</f>
        <v>0</v>
      </c>
      <c r="F79" s="19" t="n">
        <f aca="false">SUMIFS('JHB Count'!$E:$E,'JHB Count'!$F:$F,$A79)-SUMIFS('Weekly Sales'!$F:$F,'Weekly Sales'!$H:$H,$A79,'Weekly Sales'!$I:$I,"JHB")+SUMIFS(Transfers!$F:$F,Transfers!$C:$C,$A79,Transfers!$J:$J,"JHB")-SUMIFS(Transfers!$F:$F,Transfers!$C:$C,$A79,Transfers!$I:$I,"JHB",Transfers!$H:$H,"&lt;&gt;Y")+SUMIFS('Stock Received'!$I:$I,'Stock Received'!$E:$E,$A79,'Stock Received'!$L:$L,"JHB")</f>
        <v>0.0299999999999727</v>
      </c>
      <c r="G79" s="19" t="n">
        <f aca="false">SUMIFS('DBN Count'!$D:$D,'DBN Count'!$E:$E,$A79)-SUMIFS('Weekly Sales'!$F:$F,'Weekly Sales'!$H:$H,$A79,'Weekly Sales'!$I:$I,"DBN")+SUMIFS(Transfers!$F:$F,Transfers!$C:$C,$A79,Transfers!$J:$J,"DBN")-SUMIFS(Transfers!$F:$F,Transfers!$C:$C,$A79,Transfers!$I:$I,"DBN",Transfers!$H:$H,"&lt;&gt;Y")+SUMIFS('Stock Received'!$I:$I,'Stock Received'!$E:$E,$A79,'Stock Received'!$L:$L,"DBN")</f>
        <v>0</v>
      </c>
      <c r="H79" s="29" t="n">
        <f aca="false">E79+F79+G79</f>
        <v>0.0299999999999727</v>
      </c>
      <c r="I79" s="19" t="n">
        <f aca="false">SUMIFS('Weekly Sales'!$F:$F,'Weekly Sales'!$H:$H,$A79)</f>
        <v>308.17</v>
      </c>
      <c r="J79" s="19" t="n">
        <f aca="false">SUMIFS(Orders!$L:$L,Orders!$D:$D,$A79,Orders!$F:$F,"&gt;="&amp;J$4,Orders!$F:$F,"&lt;"&amp;EDATE(J$4,1))</f>
        <v>0</v>
      </c>
      <c r="K79" s="19" t="n">
        <f aca="false">SUMIFS(Orders!$L:$L,Orders!$D:$D,$A79,Orders!$F:$F,"&gt;="&amp;K$4,Orders!$F:$F,"&lt;"&amp;EDATE(K$4,1))</f>
        <v>1000</v>
      </c>
      <c r="L79" s="19" t="n">
        <f aca="false">SUMIFS(Orders!$L:$L,Orders!$D:$D,$A79,Orders!$F:$F,"&gt;="&amp;L$4,Orders!$F:$F,"&lt;"&amp;EDATE(L$4,1))</f>
        <v>0</v>
      </c>
      <c r="M79" s="19" t="n">
        <f aca="false">N79-J79-K79-L79</f>
        <v>0</v>
      </c>
      <c r="N79" s="19" t="n">
        <f aca="false">SUMIFS(Orders!$L:$L,Orders!$D:$D,$A79)</f>
        <v>1000</v>
      </c>
      <c r="O79" s="19" t="n">
        <f aca="false">H79+N79</f>
        <v>1000.03</v>
      </c>
      <c r="P79" s="30" t="n">
        <v>780</v>
      </c>
      <c r="Q79" s="19" t="n">
        <f aca="false">IF(SUMIFS('Sales History'!$E:$E,'Sales History'!$G:$G,$A79)&gt;0,SUMIFS('Sales History'!$E:$E,'Sales History'!$G:$G,$A79)/Settings!$B$4,N(P79))</f>
        <v>780</v>
      </c>
      <c r="R79" s="18" t="str">
        <f aca="false">IF(SUMIFS('Sales History'!$E:$E,'Sales History'!$G:$G,$A79)&gt;0,"6-month history",IF(N(P79)&gt;0,"Current sheet","No sales data"))</f>
        <v>Current sheet</v>
      </c>
      <c r="S79" s="31" t="n">
        <f aca="false">IF(Q79&gt;0,H79/Q79,"")</f>
        <v>3.84615384615035E-005</v>
      </c>
      <c r="T79" s="30" t="n">
        <v>500</v>
      </c>
      <c r="U79" s="19" t="n">
        <f aca="false">IF(T79="","",MAX(0,T79-O79))</f>
        <v>0</v>
      </c>
      <c r="V79" s="32" t="str">
        <f aca="false">IF(D79="End of range","END OF RANGE",IF(T79="","NO BUFFER SET",IF(H79&lt;=0,IF(O79&lt;T79,"OUT - REORDER","OUT - ON ORDER"),IF(O79&lt;T79,"REORDER",IF(H79&lt;T79,"LOW - ON ORDER",IF(AND(S79&lt;&gt;"",N(S79)&gt;Settings!$B$5),"SLOW MOVER","OK"))))))</f>
        <v>LOW - ON ORDER</v>
      </c>
      <c r="W79" s="18"/>
      <c r="X79" s="33" t="n">
        <f aca="false">IF(OR(D79="End of range",U79=""),0,IF(N(U79)&gt;0,U79+ROW()/1000000,0))</f>
        <v>0</v>
      </c>
    </row>
    <row r="80" customFormat="false" ht="14.25" hidden="false" customHeight="true" outlineLevel="0" collapsed="false">
      <c r="A80" s="18" t="s">
        <v>230</v>
      </c>
      <c r="B80" s="18" t="s">
        <v>231</v>
      </c>
      <c r="C80" s="18" t="s">
        <v>79</v>
      </c>
      <c r="D80" s="18" t="s">
        <v>80</v>
      </c>
      <c r="E80" s="19" t="n">
        <f aca="false">SUMIFS('CPT Count'!$D:$D,'CPT Count'!$A:$A,$A80)-SUMIFS('Weekly Sales'!$F:$F,'Weekly Sales'!$H:$H,$A80,'Weekly Sales'!$I:$I,"CPT")+SUMIFS(Transfers!$F:$F,Transfers!$C:$C,$A80,Transfers!$J:$J,"CPT")-SUMIFS(Transfers!$F:$F,Transfers!$C:$C,$A80,Transfers!$I:$I,"CPT",Transfers!$H:$H,"&lt;&gt;Y")+SUMIFS('Stock Received'!$I:$I,'Stock Received'!$E:$E,$A80,'Stock Received'!$L:$L,"CPT")</f>
        <v>0</v>
      </c>
      <c r="F80" s="19" t="n">
        <f aca="false">SUMIFS('JHB Count'!$E:$E,'JHB Count'!$F:$F,$A80)-SUMIFS('Weekly Sales'!$F:$F,'Weekly Sales'!$H:$H,$A80,'Weekly Sales'!$I:$I,"JHB")+SUMIFS(Transfers!$F:$F,Transfers!$C:$C,$A80,Transfers!$J:$J,"JHB")-SUMIFS(Transfers!$F:$F,Transfers!$C:$C,$A80,Transfers!$I:$I,"JHB",Transfers!$H:$H,"&lt;&gt;Y")+SUMIFS('Stock Received'!$I:$I,'Stock Received'!$E:$E,$A80,'Stock Received'!$L:$L,"JHB")</f>
        <v>613</v>
      </c>
      <c r="G80" s="19" t="n">
        <f aca="false">SUMIFS('DBN Count'!$D:$D,'DBN Count'!$E:$E,$A80)-SUMIFS('Weekly Sales'!$F:$F,'Weekly Sales'!$H:$H,$A80,'Weekly Sales'!$I:$I,"DBN")+SUMIFS(Transfers!$F:$F,Transfers!$C:$C,$A80,Transfers!$J:$J,"DBN")-SUMIFS(Transfers!$F:$F,Transfers!$C:$C,$A80,Transfers!$I:$I,"DBN",Transfers!$H:$H,"&lt;&gt;Y")+SUMIFS('Stock Received'!$I:$I,'Stock Received'!$E:$E,$A80,'Stock Received'!$L:$L,"DBN")</f>
        <v>0</v>
      </c>
      <c r="H80" s="29" t="n">
        <f aca="false">E80+F80+G80</f>
        <v>613</v>
      </c>
      <c r="I80" s="19" t="n">
        <f aca="false">SUMIFS('Weekly Sales'!$F:$F,'Weekly Sales'!$H:$H,$A80)</f>
        <v>115</v>
      </c>
      <c r="J80" s="19" t="n">
        <f aca="false">SUMIFS(Orders!$L:$L,Orders!$D:$D,$A80,Orders!$F:$F,"&gt;="&amp;J$4,Orders!$F:$F,"&lt;"&amp;EDATE(J$4,1))</f>
        <v>0</v>
      </c>
      <c r="K80" s="19" t="n">
        <f aca="false">SUMIFS(Orders!$L:$L,Orders!$D:$D,$A80,Orders!$F:$F,"&gt;="&amp;K$4,Orders!$F:$F,"&lt;"&amp;EDATE(K$4,1))</f>
        <v>1000</v>
      </c>
      <c r="L80" s="19" t="n">
        <f aca="false">SUMIFS(Orders!$L:$L,Orders!$D:$D,$A80,Orders!$F:$F,"&gt;="&amp;L$4,Orders!$F:$F,"&lt;"&amp;EDATE(L$4,1))</f>
        <v>0</v>
      </c>
      <c r="M80" s="19" t="n">
        <f aca="false">N80-J80-K80-L80</f>
        <v>0</v>
      </c>
      <c r="N80" s="19" t="n">
        <f aca="false">SUMIFS(Orders!$L:$L,Orders!$D:$D,$A80)</f>
        <v>1000</v>
      </c>
      <c r="O80" s="19" t="n">
        <f aca="false">H80+N80</f>
        <v>1613</v>
      </c>
      <c r="P80" s="30" t="n">
        <v>650</v>
      </c>
      <c r="Q80" s="19" t="n">
        <f aca="false">IF(SUMIFS('Sales History'!$E:$E,'Sales History'!$G:$G,$A80)&gt;0,SUMIFS('Sales History'!$E:$E,'Sales History'!$G:$G,$A80)/Settings!$B$4,N(P80))</f>
        <v>650</v>
      </c>
      <c r="R80" s="18" t="str">
        <f aca="false">IF(SUMIFS('Sales History'!$E:$E,'Sales History'!$G:$G,$A80)&gt;0,"6-month history",IF(N(P80)&gt;0,"Current sheet","No sales data"))</f>
        <v>Current sheet</v>
      </c>
      <c r="S80" s="31" t="n">
        <f aca="false">IF(Q80&gt;0,H80/Q80,"")</f>
        <v>0.943076923076923</v>
      </c>
      <c r="T80" s="30" t="n">
        <v>500</v>
      </c>
      <c r="U80" s="19" t="n">
        <f aca="false">IF(T80="","",MAX(0,T80-O80))</f>
        <v>0</v>
      </c>
      <c r="V80" s="32" t="str">
        <f aca="false">IF(D80="End of range","END OF RANGE",IF(T80="","NO BUFFER SET",IF(H80&lt;=0,IF(O80&lt;T80,"OUT - REORDER","OUT - ON ORDER"),IF(O80&lt;T80,"REORDER",IF(H80&lt;T80,"LOW - ON ORDER",IF(AND(S80&lt;&gt;"",N(S80)&gt;Settings!$B$5),"SLOW MOVER","OK"))))))</f>
        <v>OK</v>
      </c>
      <c r="W80" s="18"/>
      <c r="X80" s="33" t="n">
        <f aca="false">IF(OR(D80="End of range",U80=""),0,IF(N(U80)&gt;0,U80+ROW()/1000000,0))</f>
        <v>0</v>
      </c>
    </row>
    <row r="81" customFormat="false" ht="14.25" hidden="false" customHeight="true" outlineLevel="0" collapsed="false">
      <c r="A81" s="18" t="s">
        <v>232</v>
      </c>
      <c r="B81" s="18" t="s">
        <v>233</v>
      </c>
      <c r="C81" s="18" t="s">
        <v>79</v>
      </c>
      <c r="D81" s="18" t="s">
        <v>80</v>
      </c>
      <c r="E81" s="19" t="n">
        <f aca="false">SUMIFS('CPT Count'!$D:$D,'CPT Count'!$A:$A,$A81)-SUMIFS('Weekly Sales'!$F:$F,'Weekly Sales'!$H:$H,$A81,'Weekly Sales'!$I:$I,"CPT")+SUMIFS(Transfers!$F:$F,Transfers!$C:$C,$A81,Transfers!$J:$J,"CPT")-SUMIFS(Transfers!$F:$F,Transfers!$C:$C,$A81,Transfers!$I:$I,"CPT",Transfers!$H:$H,"&lt;&gt;Y")+SUMIFS('Stock Received'!$I:$I,'Stock Received'!$E:$E,$A81,'Stock Received'!$L:$L,"CPT")</f>
        <v>0</v>
      </c>
      <c r="F81" s="19" t="n">
        <f aca="false">SUMIFS('JHB Count'!$E:$E,'JHB Count'!$F:$F,$A81)-SUMIFS('Weekly Sales'!$F:$F,'Weekly Sales'!$H:$H,$A81,'Weekly Sales'!$I:$I,"JHB")+SUMIFS(Transfers!$F:$F,Transfers!$C:$C,$A81,Transfers!$J:$J,"JHB")-SUMIFS(Transfers!$F:$F,Transfers!$C:$C,$A81,Transfers!$I:$I,"JHB",Transfers!$H:$H,"&lt;&gt;Y")+SUMIFS('Stock Received'!$I:$I,'Stock Received'!$E:$E,$A81,'Stock Received'!$L:$L,"JHB")</f>
        <v>711.29</v>
      </c>
      <c r="G81" s="19" t="n">
        <f aca="false">SUMIFS('DBN Count'!$D:$D,'DBN Count'!$E:$E,$A81)-SUMIFS('Weekly Sales'!$F:$F,'Weekly Sales'!$H:$H,$A81,'Weekly Sales'!$I:$I,"DBN")+SUMIFS(Transfers!$F:$F,Transfers!$C:$C,$A81,Transfers!$J:$J,"DBN")-SUMIFS(Transfers!$F:$F,Transfers!$C:$C,$A81,Transfers!$I:$I,"DBN",Transfers!$H:$H,"&lt;&gt;Y")+SUMIFS('Stock Received'!$I:$I,'Stock Received'!$E:$E,$A81,'Stock Received'!$L:$L,"DBN")</f>
        <v>0</v>
      </c>
      <c r="H81" s="29" t="n">
        <f aca="false">E81+F81+G81</f>
        <v>711.29</v>
      </c>
      <c r="I81" s="19" t="n">
        <f aca="false">SUMIFS('Weekly Sales'!$F:$F,'Weekly Sales'!$H:$H,$A81)</f>
        <v>72.71</v>
      </c>
      <c r="J81" s="19" t="n">
        <f aca="false">SUMIFS(Orders!$L:$L,Orders!$D:$D,$A81,Orders!$F:$F,"&gt;="&amp;J$4,Orders!$F:$F,"&lt;"&amp;EDATE(J$4,1))</f>
        <v>0</v>
      </c>
      <c r="K81" s="19" t="n">
        <f aca="false">SUMIFS(Orders!$L:$L,Orders!$D:$D,$A81,Orders!$F:$F,"&gt;="&amp;K$4,Orders!$F:$F,"&lt;"&amp;EDATE(K$4,1))</f>
        <v>0</v>
      </c>
      <c r="L81" s="19" t="n">
        <f aca="false">SUMIFS(Orders!$L:$L,Orders!$D:$D,$A81,Orders!$F:$F,"&gt;="&amp;L$4,Orders!$F:$F,"&lt;"&amp;EDATE(L$4,1))</f>
        <v>0</v>
      </c>
      <c r="M81" s="19" t="n">
        <f aca="false">N81-J81-K81-L81</f>
        <v>0</v>
      </c>
      <c r="N81" s="19" t="n">
        <f aca="false">SUMIFS(Orders!$L:$L,Orders!$D:$D,$A81)</f>
        <v>0</v>
      </c>
      <c r="O81" s="19" t="n">
        <f aca="false">H81+N81</f>
        <v>711.29</v>
      </c>
      <c r="P81" s="30" t="n">
        <v>190</v>
      </c>
      <c r="Q81" s="19" t="n">
        <f aca="false">IF(SUMIFS('Sales History'!$E:$E,'Sales History'!$G:$G,$A81)&gt;0,SUMIFS('Sales History'!$E:$E,'Sales History'!$G:$G,$A81)/Settings!$B$4,N(P81))</f>
        <v>190</v>
      </c>
      <c r="R81" s="18" t="str">
        <f aca="false">IF(SUMIFS('Sales History'!$E:$E,'Sales History'!$G:$G,$A81)&gt;0,"6-month history",IF(N(P81)&gt;0,"Current sheet","No sales data"))</f>
        <v>Current sheet</v>
      </c>
      <c r="S81" s="31" t="n">
        <f aca="false">IF(Q81&gt;0,H81/Q81,"")</f>
        <v>3.74363157894737</v>
      </c>
      <c r="T81" s="30" t="n">
        <v>300</v>
      </c>
      <c r="U81" s="19" t="n">
        <f aca="false">IF(T81="","",MAX(0,T81-O81))</f>
        <v>0</v>
      </c>
      <c r="V81" s="32" t="str">
        <f aca="false">IF(D81="End of range","END OF RANGE",IF(T81="","NO BUFFER SET",IF(H81&lt;=0,IF(O81&lt;T81,"OUT - REORDER","OUT - ON ORDER"),IF(O81&lt;T81,"REORDER",IF(H81&lt;T81,"LOW - ON ORDER",IF(AND(S81&lt;&gt;"",N(S81)&gt;Settings!$B$5),"SLOW MOVER","OK"))))))</f>
        <v>OK</v>
      </c>
      <c r="W81" s="18"/>
      <c r="X81" s="33" t="n">
        <f aca="false">IF(OR(D81="End of range",U81=""),0,IF(N(U81)&gt;0,U81+ROW()/1000000,0))</f>
        <v>0</v>
      </c>
    </row>
    <row r="82" customFormat="false" ht="14.25" hidden="false" customHeight="true" outlineLevel="0" collapsed="false">
      <c r="A82" s="18" t="s">
        <v>234</v>
      </c>
      <c r="B82" s="18" t="s">
        <v>235</v>
      </c>
      <c r="C82" s="18" t="s">
        <v>79</v>
      </c>
      <c r="D82" s="18" t="s">
        <v>80</v>
      </c>
      <c r="E82" s="19" t="n">
        <f aca="false">SUMIFS('CPT Count'!$D:$D,'CPT Count'!$A:$A,$A82)-SUMIFS('Weekly Sales'!$F:$F,'Weekly Sales'!$H:$H,$A82,'Weekly Sales'!$I:$I,"CPT")+SUMIFS(Transfers!$F:$F,Transfers!$C:$C,$A82,Transfers!$J:$J,"CPT")-SUMIFS(Transfers!$F:$F,Transfers!$C:$C,$A82,Transfers!$I:$I,"CPT",Transfers!$H:$H,"&lt;&gt;Y")+SUMIFS('Stock Received'!$I:$I,'Stock Received'!$E:$E,$A82,'Stock Received'!$L:$L,"CPT")</f>
        <v>439.1</v>
      </c>
      <c r="F82" s="19" t="n">
        <f aca="false">SUMIFS('JHB Count'!$E:$E,'JHB Count'!$F:$F,$A82)-SUMIFS('Weekly Sales'!$F:$F,'Weekly Sales'!$H:$H,$A82,'Weekly Sales'!$I:$I,"JHB")+SUMIFS(Transfers!$F:$F,Transfers!$C:$C,$A82,Transfers!$J:$J,"JHB")-SUMIFS(Transfers!$F:$F,Transfers!$C:$C,$A82,Transfers!$I:$I,"JHB",Transfers!$H:$H,"&lt;&gt;Y")+SUMIFS('Stock Received'!$I:$I,'Stock Received'!$E:$E,$A82,'Stock Received'!$L:$L,"JHB")</f>
        <v>27.79</v>
      </c>
      <c r="G82" s="19" t="n">
        <f aca="false">SUMIFS('DBN Count'!$D:$D,'DBN Count'!$E:$E,$A82)-SUMIFS('Weekly Sales'!$F:$F,'Weekly Sales'!$H:$H,$A82,'Weekly Sales'!$I:$I,"DBN")+SUMIFS(Transfers!$F:$F,Transfers!$C:$C,$A82,Transfers!$J:$J,"DBN")-SUMIFS(Transfers!$F:$F,Transfers!$C:$C,$A82,Transfers!$I:$I,"DBN",Transfers!$H:$H,"&lt;&gt;Y")+SUMIFS('Stock Received'!$I:$I,'Stock Received'!$E:$E,$A82,'Stock Received'!$L:$L,"DBN")</f>
        <v>0</v>
      </c>
      <c r="H82" s="29" t="n">
        <f aca="false">E82+F82+G82</f>
        <v>466.89</v>
      </c>
      <c r="I82" s="19" t="n">
        <f aca="false">SUMIFS('Weekly Sales'!$F:$F,'Weekly Sales'!$H:$H,$A82)</f>
        <v>102.36</v>
      </c>
      <c r="J82" s="19" t="n">
        <f aca="false">SUMIFS(Orders!$L:$L,Orders!$D:$D,$A82,Orders!$F:$F,"&gt;="&amp;J$4,Orders!$F:$F,"&lt;"&amp;EDATE(J$4,1))</f>
        <v>0</v>
      </c>
      <c r="K82" s="19" t="n">
        <f aca="false">SUMIFS(Orders!$L:$L,Orders!$D:$D,$A82,Orders!$F:$F,"&gt;="&amp;K$4,Orders!$F:$F,"&lt;"&amp;EDATE(K$4,1))</f>
        <v>0</v>
      </c>
      <c r="L82" s="19" t="n">
        <f aca="false">SUMIFS(Orders!$L:$L,Orders!$D:$D,$A82,Orders!$F:$F,"&gt;="&amp;L$4,Orders!$F:$F,"&lt;"&amp;EDATE(L$4,1))</f>
        <v>0</v>
      </c>
      <c r="M82" s="19" t="n">
        <f aca="false">N82-J82-K82-L82</f>
        <v>0</v>
      </c>
      <c r="N82" s="19" t="n">
        <f aca="false">SUMIFS(Orders!$L:$L,Orders!$D:$D,$A82)</f>
        <v>0</v>
      </c>
      <c r="O82" s="19" t="n">
        <f aca="false">H82+N82</f>
        <v>466.89</v>
      </c>
      <c r="P82" s="30" t="n">
        <v>100</v>
      </c>
      <c r="Q82" s="19" t="n">
        <f aca="false">IF(SUMIFS('Sales History'!$E:$E,'Sales History'!$G:$G,$A82)&gt;0,SUMIFS('Sales History'!$E:$E,'Sales History'!$G:$G,$A82)/Settings!$B$4,N(P82))</f>
        <v>100</v>
      </c>
      <c r="R82" s="18" t="str">
        <f aca="false">IF(SUMIFS('Sales History'!$E:$E,'Sales History'!$G:$G,$A82)&gt;0,"6-month history",IF(N(P82)&gt;0,"Current sheet","No sales data"))</f>
        <v>Current sheet</v>
      </c>
      <c r="S82" s="31" t="n">
        <f aca="false">IF(Q82&gt;0,H82/Q82,"")</f>
        <v>4.6689</v>
      </c>
      <c r="T82" s="30" t="n">
        <v>300</v>
      </c>
      <c r="U82" s="19" t="n">
        <f aca="false">IF(T82="","",MAX(0,T82-O82))</f>
        <v>0</v>
      </c>
      <c r="V82" s="32" t="str">
        <f aca="false">IF(D82="End of range","END OF RANGE",IF(T82="","NO BUFFER SET",IF(H82&lt;=0,IF(O82&lt;T82,"OUT - REORDER","OUT - ON ORDER"),IF(O82&lt;T82,"REORDER",IF(H82&lt;T82,"LOW - ON ORDER",IF(AND(S82&lt;&gt;"",N(S82)&gt;Settings!$B$5),"SLOW MOVER","OK"))))))</f>
        <v>OK</v>
      </c>
      <c r="W82" s="18"/>
      <c r="X82" s="33" t="n">
        <f aca="false">IF(OR(D82="End of range",U82=""),0,IF(N(U82)&gt;0,U82+ROW()/1000000,0))</f>
        <v>0</v>
      </c>
    </row>
    <row r="83" customFormat="false" ht="14.25" hidden="false" customHeight="true" outlineLevel="0" collapsed="false">
      <c r="A83" s="18" t="s">
        <v>236</v>
      </c>
      <c r="B83" s="18" t="s">
        <v>237</v>
      </c>
      <c r="C83" s="18" t="s">
        <v>79</v>
      </c>
      <c r="D83" s="18" t="s">
        <v>80</v>
      </c>
      <c r="E83" s="19" t="n">
        <f aca="false">SUMIFS('CPT Count'!$D:$D,'CPT Count'!$A:$A,$A83)-SUMIFS('Weekly Sales'!$F:$F,'Weekly Sales'!$H:$H,$A83,'Weekly Sales'!$I:$I,"CPT")+SUMIFS(Transfers!$F:$F,Transfers!$C:$C,$A83,Transfers!$J:$J,"CPT")-SUMIFS(Transfers!$F:$F,Transfers!$C:$C,$A83,Transfers!$I:$I,"CPT",Transfers!$H:$H,"&lt;&gt;Y")+SUMIFS('Stock Received'!$I:$I,'Stock Received'!$E:$E,$A83,'Stock Received'!$L:$L,"CPT")</f>
        <v>405.67</v>
      </c>
      <c r="F83" s="19" t="n">
        <f aca="false">SUMIFS('JHB Count'!$E:$E,'JHB Count'!$F:$F,$A83)-SUMIFS('Weekly Sales'!$F:$F,'Weekly Sales'!$H:$H,$A83,'Weekly Sales'!$I:$I,"JHB")+SUMIFS(Transfers!$F:$F,Transfers!$C:$C,$A83,Transfers!$J:$J,"JHB")-SUMIFS(Transfers!$F:$F,Transfers!$C:$C,$A83,Transfers!$I:$I,"JHB",Transfers!$H:$H,"&lt;&gt;Y")+SUMIFS('Stock Received'!$I:$I,'Stock Received'!$E:$E,$A83,'Stock Received'!$L:$L,"JHB")</f>
        <v>104</v>
      </c>
      <c r="G83" s="19" t="n">
        <f aca="false">SUMIFS('DBN Count'!$D:$D,'DBN Count'!$E:$E,$A83)-SUMIFS('Weekly Sales'!$F:$F,'Weekly Sales'!$H:$H,$A83,'Weekly Sales'!$I:$I,"DBN")+SUMIFS(Transfers!$F:$F,Transfers!$C:$C,$A83,Transfers!$J:$J,"DBN")-SUMIFS(Transfers!$F:$F,Transfers!$C:$C,$A83,Transfers!$I:$I,"DBN",Transfers!$H:$H,"&lt;&gt;Y")+SUMIFS('Stock Received'!$I:$I,'Stock Received'!$E:$E,$A83,'Stock Received'!$L:$L,"DBN")</f>
        <v>0</v>
      </c>
      <c r="H83" s="29" t="n">
        <f aca="false">E83+F83+G83</f>
        <v>509.67</v>
      </c>
      <c r="I83" s="19" t="n">
        <f aca="false">SUMIFS('Weekly Sales'!$F:$F,'Weekly Sales'!$H:$H,$A83)</f>
        <v>0</v>
      </c>
      <c r="J83" s="19" t="n">
        <f aca="false">SUMIFS(Orders!$L:$L,Orders!$D:$D,$A83,Orders!$F:$F,"&gt;="&amp;J$4,Orders!$F:$F,"&lt;"&amp;EDATE(J$4,1))</f>
        <v>0</v>
      </c>
      <c r="K83" s="19" t="n">
        <f aca="false">SUMIFS(Orders!$L:$L,Orders!$D:$D,$A83,Orders!$F:$F,"&gt;="&amp;K$4,Orders!$F:$F,"&lt;"&amp;EDATE(K$4,1))</f>
        <v>0</v>
      </c>
      <c r="L83" s="19" t="n">
        <f aca="false">SUMIFS(Orders!$L:$L,Orders!$D:$D,$A83,Orders!$F:$F,"&gt;="&amp;L$4,Orders!$F:$F,"&lt;"&amp;EDATE(L$4,1))</f>
        <v>0</v>
      </c>
      <c r="M83" s="19" t="n">
        <f aca="false">N83-J83-K83-L83</f>
        <v>0</v>
      </c>
      <c r="N83" s="19" t="n">
        <f aca="false">SUMIFS(Orders!$L:$L,Orders!$D:$D,$A83)</f>
        <v>0</v>
      </c>
      <c r="O83" s="19" t="n">
        <f aca="false">H83+N83</f>
        <v>509.67</v>
      </c>
      <c r="P83" s="30" t="n">
        <v>75</v>
      </c>
      <c r="Q83" s="19" t="n">
        <f aca="false">IF(SUMIFS('Sales History'!$E:$E,'Sales History'!$G:$G,$A83)&gt;0,SUMIFS('Sales History'!$E:$E,'Sales History'!$G:$G,$A83)/Settings!$B$4,N(P83))</f>
        <v>75</v>
      </c>
      <c r="R83" s="18" t="str">
        <f aca="false">IF(SUMIFS('Sales History'!$E:$E,'Sales History'!$G:$G,$A83)&gt;0,"6-month history",IF(N(P83)&gt;0,"Current sheet","No sales data"))</f>
        <v>Current sheet</v>
      </c>
      <c r="S83" s="31" t="n">
        <f aca="false">IF(Q83&gt;0,H83/Q83,"")</f>
        <v>6.7956</v>
      </c>
      <c r="T83" s="30" t="n">
        <v>300</v>
      </c>
      <c r="U83" s="19" t="n">
        <f aca="false">IF(T83="","",MAX(0,T83-O83))</f>
        <v>0</v>
      </c>
      <c r="V83" s="32" t="str">
        <f aca="false">IF(D83="End of range","END OF RANGE",IF(T83="","NO BUFFER SET",IF(H83&lt;=0,IF(O83&lt;T83,"OUT - REORDER","OUT - ON ORDER"),IF(O83&lt;T83,"REORDER",IF(H83&lt;T83,"LOW - ON ORDER",IF(AND(S83&lt;&gt;"",N(S83)&gt;Settings!$B$5),"SLOW MOVER","OK"))))))</f>
        <v>OK</v>
      </c>
      <c r="W83" s="18"/>
      <c r="X83" s="33" t="n">
        <f aca="false">IF(OR(D83="End of range",U83=""),0,IF(N(U83)&gt;0,U83+ROW()/1000000,0))</f>
        <v>0</v>
      </c>
    </row>
    <row r="84" customFormat="false" ht="14.25" hidden="false" customHeight="true" outlineLevel="0" collapsed="false">
      <c r="A84" s="18" t="s">
        <v>238</v>
      </c>
      <c r="B84" s="18" t="s">
        <v>239</v>
      </c>
      <c r="C84" s="18" t="s">
        <v>79</v>
      </c>
      <c r="D84" s="18" t="s">
        <v>80</v>
      </c>
      <c r="E84" s="19" t="n">
        <f aca="false">SUMIFS('CPT Count'!$D:$D,'CPT Count'!$A:$A,$A84)-SUMIFS('Weekly Sales'!$F:$F,'Weekly Sales'!$H:$H,$A84,'Weekly Sales'!$I:$I,"CPT")+SUMIFS(Transfers!$F:$F,Transfers!$C:$C,$A84,Transfers!$J:$J,"CPT")-SUMIFS(Transfers!$F:$F,Transfers!$C:$C,$A84,Transfers!$I:$I,"CPT",Transfers!$H:$H,"&lt;&gt;Y")+SUMIFS('Stock Received'!$I:$I,'Stock Received'!$E:$E,$A84,'Stock Received'!$L:$L,"CPT")</f>
        <v>732.21</v>
      </c>
      <c r="F84" s="19" t="n">
        <f aca="false">SUMIFS('JHB Count'!$E:$E,'JHB Count'!$F:$F,$A84)-SUMIFS('Weekly Sales'!$F:$F,'Weekly Sales'!$H:$H,$A84,'Weekly Sales'!$I:$I,"JHB")+SUMIFS(Transfers!$F:$F,Transfers!$C:$C,$A84,Transfers!$J:$J,"JHB")-SUMIFS(Transfers!$F:$F,Transfers!$C:$C,$A84,Transfers!$I:$I,"JHB",Transfers!$H:$H,"&lt;&gt;Y")+SUMIFS('Stock Received'!$I:$I,'Stock Received'!$E:$E,$A84,'Stock Received'!$L:$L,"JHB")</f>
        <v>23.62</v>
      </c>
      <c r="G84" s="19" t="n">
        <f aca="false">SUMIFS('DBN Count'!$D:$D,'DBN Count'!$E:$E,$A84)-SUMIFS('Weekly Sales'!$F:$F,'Weekly Sales'!$H:$H,$A84,'Weekly Sales'!$I:$I,"DBN")+SUMIFS(Transfers!$F:$F,Transfers!$C:$C,$A84,Transfers!$J:$J,"DBN")-SUMIFS(Transfers!$F:$F,Transfers!$C:$C,$A84,Transfers!$I:$I,"DBN",Transfers!$H:$H,"&lt;&gt;Y")+SUMIFS('Stock Received'!$I:$I,'Stock Received'!$E:$E,$A84,'Stock Received'!$L:$L,"DBN")</f>
        <v>23.67</v>
      </c>
      <c r="H84" s="29" t="n">
        <f aca="false">E84+F84+G84</f>
        <v>779.5</v>
      </c>
      <c r="I84" s="19" t="n">
        <f aca="false">SUMIFS('Weekly Sales'!$F:$F,'Weekly Sales'!$H:$H,$A84)</f>
        <v>24.17</v>
      </c>
      <c r="J84" s="19" t="n">
        <f aca="false">SUMIFS(Orders!$L:$L,Orders!$D:$D,$A84,Orders!$F:$F,"&gt;="&amp;J$4,Orders!$F:$F,"&lt;"&amp;EDATE(J$4,1))</f>
        <v>0</v>
      </c>
      <c r="K84" s="19" t="n">
        <f aca="false">SUMIFS(Orders!$L:$L,Orders!$D:$D,$A84,Orders!$F:$F,"&gt;="&amp;K$4,Orders!$F:$F,"&lt;"&amp;EDATE(K$4,1))</f>
        <v>0</v>
      </c>
      <c r="L84" s="19" t="n">
        <f aca="false">SUMIFS(Orders!$L:$L,Orders!$D:$D,$A84,Orders!$F:$F,"&gt;="&amp;L$4,Orders!$F:$F,"&lt;"&amp;EDATE(L$4,1))</f>
        <v>0</v>
      </c>
      <c r="M84" s="19" t="n">
        <f aca="false">N84-J84-K84-L84</f>
        <v>0</v>
      </c>
      <c r="N84" s="19" t="n">
        <f aca="false">SUMIFS(Orders!$L:$L,Orders!$D:$D,$A84)</f>
        <v>0</v>
      </c>
      <c r="O84" s="19" t="n">
        <f aca="false">H84+N84</f>
        <v>779.5</v>
      </c>
      <c r="P84" s="30" t="n">
        <v>90</v>
      </c>
      <c r="Q84" s="19" t="n">
        <f aca="false">IF(SUMIFS('Sales History'!$E:$E,'Sales History'!$G:$G,$A84)&gt;0,SUMIFS('Sales History'!$E:$E,'Sales History'!$G:$G,$A84)/Settings!$B$4,N(P84))</f>
        <v>90</v>
      </c>
      <c r="R84" s="18" t="str">
        <f aca="false">IF(SUMIFS('Sales History'!$E:$E,'Sales History'!$G:$G,$A84)&gt;0,"6-month history",IF(N(P84)&gt;0,"Current sheet","No sales data"))</f>
        <v>Current sheet</v>
      </c>
      <c r="S84" s="31" t="n">
        <f aca="false">IF(Q84&gt;0,H84/Q84,"")</f>
        <v>8.66111111111111</v>
      </c>
      <c r="T84" s="30" t="n">
        <v>300</v>
      </c>
      <c r="U84" s="19" t="n">
        <f aca="false">IF(T84="","",MAX(0,T84-O84))</f>
        <v>0</v>
      </c>
      <c r="V84" s="32" t="str">
        <f aca="false">IF(D84="End of range","END OF RANGE",IF(T84="","NO BUFFER SET",IF(H84&lt;=0,IF(O84&lt;T84,"OUT - REORDER","OUT - ON ORDER"),IF(O84&lt;T84,"REORDER",IF(H84&lt;T84,"LOW - ON ORDER",IF(AND(S84&lt;&gt;"",N(S84)&gt;Settings!$B$5),"SLOW MOVER","OK"))))))</f>
        <v>OK</v>
      </c>
      <c r="W84" s="18"/>
      <c r="X84" s="33" t="n">
        <f aca="false">IF(OR(D84="End of range",U84=""),0,IF(N(U84)&gt;0,U84+ROW()/1000000,0))</f>
        <v>0</v>
      </c>
    </row>
    <row r="85" customFormat="false" ht="14.25" hidden="false" customHeight="true" outlineLevel="0" collapsed="false">
      <c r="A85" s="18" t="s">
        <v>240</v>
      </c>
      <c r="B85" s="18" t="s">
        <v>241</v>
      </c>
      <c r="C85" s="18" t="s">
        <v>79</v>
      </c>
      <c r="D85" s="18" t="s">
        <v>80</v>
      </c>
      <c r="E85" s="19" t="n">
        <f aca="false">SUMIFS('CPT Count'!$D:$D,'CPT Count'!$A:$A,$A85)-SUMIFS('Weekly Sales'!$F:$F,'Weekly Sales'!$H:$H,$A85,'Weekly Sales'!$I:$I,"CPT")+SUMIFS(Transfers!$F:$F,Transfers!$C:$C,$A85,Transfers!$J:$J,"CPT")-SUMIFS(Transfers!$F:$F,Transfers!$C:$C,$A85,Transfers!$I:$I,"CPT",Transfers!$H:$H,"&lt;&gt;Y")+SUMIFS('Stock Received'!$I:$I,'Stock Received'!$E:$E,$A85,'Stock Received'!$L:$L,"CPT")</f>
        <v>280.23</v>
      </c>
      <c r="F85" s="19" t="n">
        <f aca="false">SUMIFS('JHB Count'!$E:$E,'JHB Count'!$F:$F,$A85)-SUMIFS('Weekly Sales'!$F:$F,'Weekly Sales'!$H:$H,$A85,'Weekly Sales'!$I:$I,"JHB")+SUMIFS(Transfers!$F:$F,Transfers!$C:$C,$A85,Transfers!$J:$J,"JHB")-SUMIFS(Transfers!$F:$F,Transfers!$C:$C,$A85,Transfers!$I:$I,"JHB",Transfers!$H:$H,"&lt;&gt;Y")+SUMIFS('Stock Received'!$I:$I,'Stock Received'!$E:$E,$A85,'Stock Received'!$L:$L,"JHB")</f>
        <v>64</v>
      </c>
      <c r="G85" s="19" t="n">
        <f aca="false">SUMIFS('DBN Count'!$D:$D,'DBN Count'!$E:$E,$A85)-SUMIFS('Weekly Sales'!$F:$F,'Weekly Sales'!$H:$H,$A85,'Weekly Sales'!$I:$I,"DBN")+SUMIFS(Transfers!$F:$F,Transfers!$C:$C,$A85,Transfers!$J:$J,"DBN")-SUMIFS(Transfers!$F:$F,Transfers!$C:$C,$A85,Transfers!$I:$I,"DBN",Transfers!$H:$H,"&lt;&gt;Y")+SUMIFS('Stock Received'!$I:$I,'Stock Received'!$E:$E,$A85,'Stock Received'!$L:$L,"DBN")</f>
        <v>0</v>
      </c>
      <c r="H85" s="29" t="n">
        <f aca="false">E85+F85+G85</f>
        <v>344.23</v>
      </c>
      <c r="I85" s="19" t="n">
        <f aca="false">SUMIFS('Weekly Sales'!$F:$F,'Weekly Sales'!$H:$H,$A85)</f>
        <v>23.77</v>
      </c>
      <c r="J85" s="19" t="n">
        <f aca="false">SUMIFS(Orders!$L:$L,Orders!$D:$D,$A85,Orders!$F:$F,"&gt;="&amp;J$4,Orders!$F:$F,"&lt;"&amp;EDATE(J$4,1))</f>
        <v>0</v>
      </c>
      <c r="K85" s="19" t="n">
        <f aca="false">SUMIFS(Orders!$L:$L,Orders!$D:$D,$A85,Orders!$F:$F,"&gt;="&amp;K$4,Orders!$F:$F,"&lt;"&amp;EDATE(K$4,1))</f>
        <v>0</v>
      </c>
      <c r="L85" s="19" t="n">
        <f aca="false">SUMIFS(Orders!$L:$L,Orders!$D:$D,$A85,Orders!$F:$F,"&gt;="&amp;L$4,Orders!$F:$F,"&lt;"&amp;EDATE(L$4,1))</f>
        <v>0</v>
      </c>
      <c r="M85" s="19" t="n">
        <f aca="false">N85-J85-K85-L85</f>
        <v>0</v>
      </c>
      <c r="N85" s="19" t="n">
        <f aca="false">SUMIFS(Orders!$L:$L,Orders!$D:$D,$A85)</f>
        <v>0</v>
      </c>
      <c r="O85" s="19" t="n">
        <f aca="false">H85+N85</f>
        <v>344.23</v>
      </c>
      <c r="P85" s="30" t="n">
        <v>15</v>
      </c>
      <c r="Q85" s="19" t="n">
        <f aca="false">IF(SUMIFS('Sales History'!$E:$E,'Sales History'!$G:$G,$A85)&gt;0,SUMIFS('Sales History'!$E:$E,'Sales History'!$G:$G,$A85)/Settings!$B$4,N(P85))</f>
        <v>15</v>
      </c>
      <c r="R85" s="18" t="str">
        <f aca="false">IF(SUMIFS('Sales History'!$E:$E,'Sales History'!$G:$G,$A85)&gt;0,"6-month history",IF(N(P85)&gt;0,"Current sheet","No sales data"))</f>
        <v>Current sheet</v>
      </c>
      <c r="S85" s="31" t="n">
        <f aca="false">IF(Q85&gt;0,H85/Q85,"")</f>
        <v>22.9486666666667</v>
      </c>
      <c r="T85" s="30" t="n">
        <v>200</v>
      </c>
      <c r="U85" s="19" t="n">
        <f aca="false">IF(T85="","",MAX(0,T85-O85))</f>
        <v>0</v>
      </c>
      <c r="V85" s="32" t="str">
        <f aca="false">IF(D85="End of range","END OF RANGE",IF(T85="","NO BUFFER SET",IF(H85&lt;=0,IF(O85&lt;T85,"OUT - REORDER","OUT - ON ORDER"),IF(O85&lt;T85,"REORDER",IF(H85&lt;T85,"LOW - ON ORDER",IF(AND(S85&lt;&gt;"",N(S85)&gt;Settings!$B$5),"SLOW MOVER","OK"))))))</f>
        <v>SLOW MOVER</v>
      </c>
      <c r="W85" s="18"/>
      <c r="X85" s="33" t="n">
        <f aca="false">IF(OR(D85="End of range",U85=""),0,IF(N(U85)&gt;0,U85+ROW()/1000000,0))</f>
        <v>0</v>
      </c>
    </row>
    <row r="86" customFormat="false" ht="14.25" hidden="false" customHeight="true" outlineLevel="0" collapsed="false">
      <c r="A86" s="18" t="s">
        <v>242</v>
      </c>
      <c r="B86" s="18" t="s">
        <v>243</v>
      </c>
      <c r="C86" s="18" t="s">
        <v>79</v>
      </c>
      <c r="D86" s="18" t="s">
        <v>80</v>
      </c>
      <c r="E86" s="19" t="n">
        <f aca="false">SUMIFS('CPT Count'!$D:$D,'CPT Count'!$A:$A,$A86)-SUMIFS('Weekly Sales'!$F:$F,'Weekly Sales'!$H:$H,$A86,'Weekly Sales'!$I:$I,"CPT")+SUMIFS(Transfers!$F:$F,Transfers!$C:$C,$A86,Transfers!$J:$J,"CPT")-SUMIFS(Transfers!$F:$F,Transfers!$C:$C,$A86,Transfers!$I:$I,"CPT",Transfers!$H:$H,"&lt;&gt;Y")+SUMIFS('Stock Received'!$I:$I,'Stock Received'!$E:$E,$A86,'Stock Received'!$L:$L,"CPT")</f>
        <v>355.16</v>
      </c>
      <c r="F86" s="19" t="n">
        <f aca="false">SUMIFS('JHB Count'!$E:$E,'JHB Count'!$F:$F,$A86)-SUMIFS('Weekly Sales'!$F:$F,'Weekly Sales'!$H:$H,$A86,'Weekly Sales'!$I:$I,"JHB")+SUMIFS(Transfers!$F:$F,Transfers!$C:$C,$A86,Transfers!$J:$J,"JHB")-SUMIFS(Transfers!$F:$F,Transfers!$C:$C,$A86,Transfers!$I:$I,"JHB",Transfers!$H:$H,"&lt;&gt;Y")+SUMIFS('Stock Received'!$I:$I,'Stock Received'!$E:$E,$A86,'Stock Received'!$L:$L,"JHB")</f>
        <v>116</v>
      </c>
      <c r="G86" s="19" t="n">
        <f aca="false">SUMIFS('DBN Count'!$D:$D,'DBN Count'!$E:$E,$A86)-SUMIFS('Weekly Sales'!$F:$F,'Weekly Sales'!$H:$H,$A86,'Weekly Sales'!$I:$I,"DBN")+SUMIFS(Transfers!$F:$F,Transfers!$C:$C,$A86,Transfers!$J:$J,"DBN")-SUMIFS(Transfers!$F:$F,Transfers!$C:$C,$A86,Transfers!$I:$I,"DBN",Transfers!$H:$H,"&lt;&gt;Y")+SUMIFS('Stock Received'!$I:$I,'Stock Received'!$E:$E,$A86,'Stock Received'!$L:$L,"DBN")</f>
        <v>0</v>
      </c>
      <c r="H86" s="29" t="n">
        <f aca="false">E86+F86+G86</f>
        <v>471.16</v>
      </c>
      <c r="I86" s="19" t="n">
        <f aca="false">SUMIFS('Weekly Sales'!$F:$F,'Weekly Sales'!$H:$H,$A86)</f>
        <v>41.84</v>
      </c>
      <c r="J86" s="19" t="n">
        <f aca="false">SUMIFS(Orders!$L:$L,Orders!$D:$D,$A86,Orders!$F:$F,"&gt;="&amp;J$4,Orders!$F:$F,"&lt;"&amp;EDATE(J$4,1))</f>
        <v>0</v>
      </c>
      <c r="K86" s="19" t="n">
        <f aca="false">SUMIFS(Orders!$L:$L,Orders!$D:$D,$A86,Orders!$F:$F,"&gt;="&amp;K$4,Orders!$F:$F,"&lt;"&amp;EDATE(K$4,1))</f>
        <v>0</v>
      </c>
      <c r="L86" s="19" t="n">
        <f aca="false">SUMIFS(Orders!$L:$L,Orders!$D:$D,$A86,Orders!$F:$F,"&gt;="&amp;L$4,Orders!$F:$F,"&lt;"&amp;EDATE(L$4,1))</f>
        <v>0</v>
      </c>
      <c r="M86" s="19" t="n">
        <f aca="false">N86-J86-K86-L86</f>
        <v>0</v>
      </c>
      <c r="N86" s="19" t="n">
        <f aca="false">SUMIFS(Orders!$L:$L,Orders!$D:$D,$A86)</f>
        <v>0</v>
      </c>
      <c r="O86" s="19" t="n">
        <f aca="false">H86+N86</f>
        <v>471.16</v>
      </c>
      <c r="P86" s="30" t="n">
        <v>140</v>
      </c>
      <c r="Q86" s="19" t="n">
        <f aca="false">IF(SUMIFS('Sales History'!$E:$E,'Sales History'!$G:$G,$A86)&gt;0,SUMIFS('Sales History'!$E:$E,'Sales History'!$G:$G,$A86)/Settings!$B$4,N(P86))</f>
        <v>140</v>
      </c>
      <c r="R86" s="18" t="str">
        <f aca="false">IF(SUMIFS('Sales History'!$E:$E,'Sales History'!$G:$G,$A86)&gt;0,"6-month history",IF(N(P86)&gt;0,"Current sheet","No sales data"))</f>
        <v>Current sheet</v>
      </c>
      <c r="S86" s="31" t="n">
        <f aca="false">IF(Q86&gt;0,H86/Q86,"")</f>
        <v>3.36542857142857</v>
      </c>
      <c r="T86" s="30" t="n">
        <v>300</v>
      </c>
      <c r="U86" s="19" t="n">
        <f aca="false">IF(T86="","",MAX(0,T86-O86))</f>
        <v>0</v>
      </c>
      <c r="V86" s="32" t="str">
        <f aca="false">IF(D86="End of range","END OF RANGE",IF(T86="","NO BUFFER SET",IF(H86&lt;=0,IF(O86&lt;T86,"OUT - REORDER","OUT - ON ORDER"),IF(O86&lt;T86,"REORDER",IF(H86&lt;T86,"LOW - ON ORDER",IF(AND(S86&lt;&gt;"",N(S86)&gt;Settings!$B$5),"SLOW MOVER","OK"))))))</f>
        <v>OK</v>
      </c>
      <c r="W86" s="18"/>
      <c r="X86" s="33" t="n">
        <f aca="false">IF(OR(D86="End of range",U86=""),0,IF(N(U86)&gt;0,U86+ROW()/1000000,0))</f>
        <v>0</v>
      </c>
    </row>
    <row r="87" customFormat="false" ht="14.25" hidden="false" customHeight="true" outlineLevel="0" collapsed="false">
      <c r="A87" s="18" t="s">
        <v>244</v>
      </c>
      <c r="B87" s="18" t="s">
        <v>245</v>
      </c>
      <c r="C87" s="18" t="s">
        <v>79</v>
      </c>
      <c r="D87" s="18" t="s">
        <v>80</v>
      </c>
      <c r="E87" s="19" t="n">
        <f aca="false">SUMIFS('CPT Count'!$D:$D,'CPT Count'!$A:$A,$A87)-SUMIFS('Weekly Sales'!$F:$F,'Weekly Sales'!$H:$H,$A87,'Weekly Sales'!$I:$I,"CPT")+SUMIFS(Transfers!$F:$F,Transfers!$C:$C,$A87,Transfers!$J:$J,"CPT")-SUMIFS(Transfers!$F:$F,Transfers!$C:$C,$A87,Transfers!$I:$I,"CPT",Transfers!$H:$H,"&lt;&gt;Y")+SUMIFS('Stock Received'!$I:$I,'Stock Received'!$E:$E,$A87,'Stock Received'!$L:$L,"CPT")</f>
        <v>941</v>
      </c>
      <c r="F87" s="19" t="n">
        <f aca="false">SUMIFS('JHB Count'!$E:$E,'JHB Count'!$F:$F,$A87)-SUMIFS('Weekly Sales'!$F:$F,'Weekly Sales'!$H:$H,$A87,'Weekly Sales'!$I:$I,"JHB")+SUMIFS(Transfers!$F:$F,Transfers!$C:$C,$A87,Transfers!$J:$J,"JHB")-SUMIFS(Transfers!$F:$F,Transfers!$C:$C,$A87,Transfers!$I:$I,"JHB",Transfers!$H:$H,"&lt;&gt;Y")+SUMIFS('Stock Received'!$I:$I,'Stock Received'!$E:$E,$A87,'Stock Received'!$L:$L,"JHB")</f>
        <v>40</v>
      </c>
      <c r="G87" s="19" t="n">
        <f aca="false">SUMIFS('DBN Count'!$D:$D,'DBN Count'!$E:$E,$A87)-SUMIFS('Weekly Sales'!$F:$F,'Weekly Sales'!$H:$H,$A87,'Weekly Sales'!$I:$I,"DBN")+SUMIFS(Transfers!$F:$F,Transfers!$C:$C,$A87,Transfers!$J:$J,"DBN")-SUMIFS(Transfers!$F:$F,Transfers!$C:$C,$A87,Transfers!$I:$I,"DBN",Transfers!$H:$H,"&lt;&gt;Y")+SUMIFS('Stock Received'!$I:$I,'Stock Received'!$E:$E,$A87,'Stock Received'!$L:$L,"DBN")</f>
        <v>0</v>
      </c>
      <c r="H87" s="29" t="n">
        <f aca="false">E87+F87+G87</f>
        <v>981</v>
      </c>
      <c r="I87" s="19" t="n">
        <f aca="false">SUMIFS('Weekly Sales'!$F:$F,'Weekly Sales'!$H:$H,$A87)</f>
        <v>0</v>
      </c>
      <c r="J87" s="19" t="n">
        <f aca="false">SUMIFS(Orders!$L:$L,Orders!$D:$D,$A87,Orders!$F:$F,"&gt;="&amp;J$4,Orders!$F:$F,"&lt;"&amp;EDATE(J$4,1))</f>
        <v>0</v>
      </c>
      <c r="K87" s="19" t="n">
        <f aca="false">SUMIFS(Orders!$L:$L,Orders!$D:$D,$A87,Orders!$F:$F,"&gt;="&amp;K$4,Orders!$F:$F,"&lt;"&amp;EDATE(K$4,1))</f>
        <v>500</v>
      </c>
      <c r="L87" s="19" t="n">
        <f aca="false">SUMIFS(Orders!$L:$L,Orders!$D:$D,$A87,Orders!$F:$F,"&gt;="&amp;L$4,Orders!$F:$F,"&lt;"&amp;EDATE(L$4,1))</f>
        <v>0</v>
      </c>
      <c r="M87" s="19" t="n">
        <f aca="false">N87-J87-K87-L87</f>
        <v>0</v>
      </c>
      <c r="N87" s="19" t="n">
        <f aca="false">SUMIFS(Orders!$L:$L,Orders!$D:$D,$A87)</f>
        <v>500</v>
      </c>
      <c r="O87" s="19" t="n">
        <f aca="false">H87+N87</f>
        <v>1481</v>
      </c>
      <c r="P87" s="30" t="n">
        <v>450</v>
      </c>
      <c r="Q87" s="19" t="n">
        <f aca="false">IF(SUMIFS('Sales History'!$E:$E,'Sales History'!$G:$G,$A87)&gt;0,SUMIFS('Sales History'!$E:$E,'Sales History'!$G:$G,$A87)/Settings!$B$4,N(P87))</f>
        <v>450</v>
      </c>
      <c r="R87" s="18" t="str">
        <f aca="false">IF(SUMIFS('Sales History'!$E:$E,'Sales History'!$G:$G,$A87)&gt;0,"6-month history",IF(N(P87)&gt;0,"Current sheet","No sales data"))</f>
        <v>Current sheet</v>
      </c>
      <c r="S87" s="31" t="n">
        <f aca="false">IF(Q87&gt;0,H87/Q87,"")</f>
        <v>2.18</v>
      </c>
      <c r="T87" s="30" t="n">
        <v>600</v>
      </c>
      <c r="U87" s="19" t="n">
        <f aca="false">IF(T87="","",MAX(0,T87-O87))</f>
        <v>0</v>
      </c>
      <c r="V87" s="32" t="str">
        <f aca="false">IF(D87="End of range","END OF RANGE",IF(T87="","NO BUFFER SET",IF(H87&lt;=0,IF(O87&lt;T87,"OUT - REORDER","OUT - ON ORDER"),IF(O87&lt;T87,"REORDER",IF(H87&lt;T87,"LOW - ON ORDER",IF(AND(S87&lt;&gt;"",N(S87)&gt;Settings!$B$5),"SLOW MOVER","OK"))))))</f>
        <v>OK</v>
      </c>
      <c r="W87" s="18"/>
      <c r="X87" s="33" t="n">
        <f aca="false">IF(OR(D87="End of range",U87=""),0,IF(N(U87)&gt;0,U87+ROW()/1000000,0))</f>
        <v>0</v>
      </c>
    </row>
    <row r="88" customFormat="false" ht="14.25" hidden="false" customHeight="true" outlineLevel="0" collapsed="false">
      <c r="A88" s="18" t="s">
        <v>246</v>
      </c>
      <c r="B88" s="18" t="s">
        <v>247</v>
      </c>
      <c r="C88" s="18" t="s">
        <v>79</v>
      </c>
      <c r="D88" s="18" t="s">
        <v>80</v>
      </c>
      <c r="E88" s="19" t="n">
        <f aca="false">SUMIFS('CPT Count'!$D:$D,'CPT Count'!$A:$A,$A88)-SUMIFS('Weekly Sales'!$F:$F,'Weekly Sales'!$H:$H,$A88,'Weekly Sales'!$I:$I,"CPT")+SUMIFS(Transfers!$F:$F,Transfers!$C:$C,$A88,Transfers!$J:$J,"CPT")-SUMIFS(Transfers!$F:$F,Transfers!$C:$C,$A88,Transfers!$I:$I,"CPT",Transfers!$H:$H,"&lt;&gt;Y")+SUMIFS('Stock Received'!$I:$I,'Stock Received'!$E:$E,$A88,'Stock Received'!$L:$L,"CPT")</f>
        <v>0</v>
      </c>
      <c r="F88" s="19" t="n">
        <f aca="false">SUMIFS('JHB Count'!$E:$E,'JHB Count'!$F:$F,$A88)-SUMIFS('Weekly Sales'!$F:$F,'Weekly Sales'!$H:$H,$A88,'Weekly Sales'!$I:$I,"JHB")+SUMIFS(Transfers!$F:$F,Transfers!$C:$C,$A88,Transfers!$J:$J,"JHB")-SUMIFS(Transfers!$F:$F,Transfers!$C:$C,$A88,Transfers!$I:$I,"JHB",Transfers!$H:$H,"&lt;&gt;Y")+SUMIFS('Stock Received'!$I:$I,'Stock Received'!$E:$E,$A88,'Stock Received'!$L:$L,"JHB")</f>
        <v>268</v>
      </c>
      <c r="G88" s="19" t="n">
        <f aca="false">SUMIFS('DBN Count'!$D:$D,'DBN Count'!$E:$E,$A88)-SUMIFS('Weekly Sales'!$F:$F,'Weekly Sales'!$H:$H,$A88,'Weekly Sales'!$I:$I,"DBN")+SUMIFS(Transfers!$F:$F,Transfers!$C:$C,$A88,Transfers!$J:$J,"DBN")-SUMIFS(Transfers!$F:$F,Transfers!$C:$C,$A88,Transfers!$I:$I,"DBN",Transfers!$H:$H,"&lt;&gt;Y")+SUMIFS('Stock Received'!$I:$I,'Stock Received'!$E:$E,$A88,'Stock Received'!$L:$L,"DBN")</f>
        <v>0</v>
      </c>
      <c r="H88" s="29" t="n">
        <f aca="false">E88+F88+G88</f>
        <v>268</v>
      </c>
      <c r="I88" s="19" t="n">
        <f aca="false">SUMIFS('Weekly Sales'!$F:$F,'Weekly Sales'!$H:$H,$A88)</f>
        <v>0</v>
      </c>
      <c r="J88" s="19" t="n">
        <f aca="false">SUMIFS(Orders!$L:$L,Orders!$D:$D,$A88,Orders!$F:$F,"&gt;="&amp;J$4,Orders!$F:$F,"&lt;"&amp;EDATE(J$4,1))</f>
        <v>300</v>
      </c>
      <c r="K88" s="19" t="n">
        <f aca="false">SUMIFS(Orders!$L:$L,Orders!$D:$D,$A88,Orders!$F:$F,"&gt;="&amp;K$4,Orders!$F:$F,"&lt;"&amp;EDATE(K$4,1))</f>
        <v>300</v>
      </c>
      <c r="L88" s="19" t="n">
        <f aca="false">SUMIFS(Orders!$L:$L,Orders!$D:$D,$A88,Orders!$F:$F,"&gt;="&amp;L$4,Orders!$F:$F,"&lt;"&amp;EDATE(L$4,1))</f>
        <v>0</v>
      </c>
      <c r="M88" s="19" t="n">
        <f aca="false">N88-J88-K88-L88</f>
        <v>0</v>
      </c>
      <c r="N88" s="19" t="n">
        <f aca="false">SUMIFS(Orders!$L:$L,Orders!$D:$D,$A88)</f>
        <v>600</v>
      </c>
      <c r="O88" s="19" t="n">
        <f aca="false">H88+N88</f>
        <v>868</v>
      </c>
      <c r="P88" s="30" t="n">
        <v>170</v>
      </c>
      <c r="Q88" s="19" t="n">
        <f aca="false">IF(SUMIFS('Sales History'!$E:$E,'Sales History'!$G:$G,$A88)&gt;0,SUMIFS('Sales History'!$E:$E,'Sales History'!$G:$G,$A88)/Settings!$B$4,N(P88))</f>
        <v>170</v>
      </c>
      <c r="R88" s="18" t="str">
        <f aca="false">IF(SUMIFS('Sales History'!$E:$E,'Sales History'!$G:$G,$A88)&gt;0,"6-month history",IF(N(P88)&gt;0,"Current sheet","No sales data"))</f>
        <v>Current sheet</v>
      </c>
      <c r="S88" s="31" t="n">
        <f aca="false">IF(Q88&gt;0,H88/Q88,"")</f>
        <v>1.57647058823529</v>
      </c>
      <c r="T88" s="30" t="n">
        <v>200</v>
      </c>
      <c r="U88" s="19" t="n">
        <f aca="false">IF(T88="","",MAX(0,T88-O88))</f>
        <v>0</v>
      </c>
      <c r="V88" s="32" t="str">
        <f aca="false">IF(D88="End of range","END OF RANGE",IF(T88="","NO BUFFER SET",IF(H88&lt;=0,IF(O88&lt;T88,"OUT - REORDER","OUT - ON ORDER"),IF(O88&lt;T88,"REORDER",IF(H88&lt;T88,"LOW - ON ORDER",IF(AND(S88&lt;&gt;"",N(S88)&gt;Settings!$B$5),"SLOW MOVER","OK"))))))</f>
        <v>OK</v>
      </c>
      <c r="W88" s="18"/>
      <c r="X88" s="33" t="n">
        <f aca="false">IF(OR(D88="End of range",U88=""),0,IF(N(U88)&gt;0,U88+ROW()/1000000,0))</f>
        <v>0</v>
      </c>
    </row>
    <row r="89" customFormat="false" ht="14.25" hidden="false" customHeight="true" outlineLevel="0" collapsed="false">
      <c r="A89" s="18" t="s">
        <v>248</v>
      </c>
      <c r="B89" s="18" t="s">
        <v>249</v>
      </c>
      <c r="C89" s="18" t="s">
        <v>79</v>
      </c>
      <c r="D89" s="18" t="s">
        <v>80</v>
      </c>
      <c r="E89" s="19" t="n">
        <f aca="false">SUMIFS('CPT Count'!$D:$D,'CPT Count'!$A:$A,$A89)-SUMIFS('Weekly Sales'!$F:$F,'Weekly Sales'!$H:$H,$A89,'Weekly Sales'!$I:$I,"CPT")+SUMIFS(Transfers!$F:$F,Transfers!$C:$C,$A89,Transfers!$J:$J,"CPT")-SUMIFS(Transfers!$F:$F,Transfers!$C:$C,$A89,Transfers!$I:$I,"CPT",Transfers!$H:$H,"&lt;&gt;Y")+SUMIFS('Stock Received'!$I:$I,'Stock Received'!$E:$E,$A89,'Stock Received'!$L:$L,"CPT")</f>
        <v>0</v>
      </c>
      <c r="F89" s="19" t="n">
        <f aca="false">SUMIFS('JHB Count'!$E:$E,'JHB Count'!$F:$F,$A89)-SUMIFS('Weekly Sales'!$F:$F,'Weekly Sales'!$H:$H,$A89,'Weekly Sales'!$I:$I,"JHB")+SUMIFS(Transfers!$F:$F,Transfers!$C:$C,$A89,Transfers!$J:$J,"JHB")-SUMIFS(Transfers!$F:$F,Transfers!$C:$C,$A89,Transfers!$I:$I,"JHB",Transfers!$H:$H,"&lt;&gt;Y")+SUMIFS('Stock Received'!$I:$I,'Stock Received'!$E:$E,$A89,'Stock Received'!$L:$L,"JHB")</f>
        <v>76</v>
      </c>
      <c r="G89" s="19" t="n">
        <f aca="false">SUMIFS('DBN Count'!$D:$D,'DBN Count'!$E:$E,$A89)-SUMIFS('Weekly Sales'!$F:$F,'Weekly Sales'!$H:$H,$A89,'Weekly Sales'!$I:$I,"DBN")+SUMIFS(Transfers!$F:$F,Transfers!$C:$C,$A89,Transfers!$J:$J,"DBN")-SUMIFS(Transfers!$F:$F,Transfers!$C:$C,$A89,Transfers!$I:$I,"DBN",Transfers!$H:$H,"&lt;&gt;Y")+SUMIFS('Stock Received'!$I:$I,'Stock Received'!$E:$E,$A89,'Stock Received'!$L:$L,"DBN")</f>
        <v>0</v>
      </c>
      <c r="H89" s="29" t="n">
        <f aca="false">E89+F89+G89</f>
        <v>76</v>
      </c>
      <c r="I89" s="19" t="n">
        <f aca="false">SUMIFS('Weekly Sales'!$F:$F,'Weekly Sales'!$H:$H,$A89)</f>
        <v>0</v>
      </c>
      <c r="J89" s="19" t="n">
        <f aca="false">SUMIFS(Orders!$L:$L,Orders!$D:$D,$A89,Orders!$F:$F,"&gt;="&amp;J$4,Orders!$F:$F,"&lt;"&amp;EDATE(J$4,1))</f>
        <v>500</v>
      </c>
      <c r="K89" s="19" t="n">
        <f aca="false">SUMIFS(Orders!$L:$L,Orders!$D:$D,$A89,Orders!$F:$F,"&gt;="&amp;K$4,Orders!$F:$F,"&lt;"&amp;EDATE(K$4,1))</f>
        <v>500</v>
      </c>
      <c r="L89" s="19" t="n">
        <f aca="false">SUMIFS(Orders!$L:$L,Orders!$D:$D,$A89,Orders!$F:$F,"&gt;="&amp;L$4,Orders!$F:$F,"&lt;"&amp;EDATE(L$4,1))</f>
        <v>0</v>
      </c>
      <c r="M89" s="19" t="n">
        <f aca="false">N89-J89-K89-L89</f>
        <v>0</v>
      </c>
      <c r="N89" s="19" t="n">
        <f aca="false">SUMIFS(Orders!$L:$L,Orders!$D:$D,$A89)</f>
        <v>1000</v>
      </c>
      <c r="O89" s="19" t="n">
        <f aca="false">H89+N89</f>
        <v>1076</v>
      </c>
      <c r="P89" s="30" t="n">
        <v>330</v>
      </c>
      <c r="Q89" s="19" t="n">
        <f aca="false">IF(SUMIFS('Sales History'!$E:$E,'Sales History'!$G:$G,$A89)&gt;0,SUMIFS('Sales History'!$E:$E,'Sales History'!$G:$G,$A89)/Settings!$B$4,N(P89))</f>
        <v>330</v>
      </c>
      <c r="R89" s="18" t="str">
        <f aca="false">IF(SUMIFS('Sales History'!$E:$E,'Sales History'!$G:$G,$A89)&gt;0,"6-month history",IF(N(P89)&gt;0,"Current sheet","No sales data"))</f>
        <v>Current sheet</v>
      </c>
      <c r="S89" s="31" t="n">
        <f aca="false">IF(Q89&gt;0,H89/Q89,"")</f>
        <v>0.23030303030303</v>
      </c>
      <c r="T89" s="30" t="n">
        <v>200</v>
      </c>
      <c r="U89" s="19" t="n">
        <f aca="false">IF(T89="","",MAX(0,T89-O89))</f>
        <v>0</v>
      </c>
      <c r="V89" s="32" t="str">
        <f aca="false">IF(D89="End of range","END OF RANGE",IF(T89="","NO BUFFER SET",IF(H89&lt;=0,IF(O89&lt;T89,"OUT - REORDER","OUT - ON ORDER"),IF(O89&lt;T89,"REORDER",IF(H89&lt;T89,"LOW - ON ORDER",IF(AND(S89&lt;&gt;"",N(S89)&gt;Settings!$B$5),"SLOW MOVER","OK"))))))</f>
        <v>LOW - ON ORDER</v>
      </c>
      <c r="W89" s="18"/>
      <c r="X89" s="33" t="n">
        <f aca="false">IF(OR(D89="End of range",U89=""),0,IF(N(U89)&gt;0,U89+ROW()/1000000,0))</f>
        <v>0</v>
      </c>
    </row>
    <row r="90" customFormat="false" ht="14.25" hidden="false" customHeight="true" outlineLevel="0" collapsed="false">
      <c r="A90" s="18" t="s">
        <v>250</v>
      </c>
      <c r="B90" s="18" t="s">
        <v>251</v>
      </c>
      <c r="C90" s="18" t="s">
        <v>79</v>
      </c>
      <c r="D90" s="18" t="s">
        <v>80</v>
      </c>
      <c r="E90" s="19" t="n">
        <f aca="false">SUMIFS('CPT Count'!$D:$D,'CPT Count'!$A:$A,$A90)-SUMIFS('Weekly Sales'!$F:$F,'Weekly Sales'!$H:$H,$A90,'Weekly Sales'!$I:$I,"CPT")+SUMIFS(Transfers!$F:$F,Transfers!$C:$C,$A90,Transfers!$J:$J,"CPT")-SUMIFS(Transfers!$F:$F,Transfers!$C:$C,$A90,Transfers!$I:$I,"CPT",Transfers!$H:$H,"&lt;&gt;Y")+SUMIFS('Stock Received'!$I:$I,'Stock Received'!$E:$E,$A90,'Stock Received'!$L:$L,"CPT")</f>
        <v>0</v>
      </c>
      <c r="F90" s="19" t="n">
        <f aca="false">SUMIFS('JHB Count'!$E:$E,'JHB Count'!$F:$F,$A90)-SUMIFS('Weekly Sales'!$F:$F,'Weekly Sales'!$H:$H,$A90,'Weekly Sales'!$I:$I,"JHB")+SUMIFS(Transfers!$F:$F,Transfers!$C:$C,$A90,Transfers!$J:$J,"JHB")-SUMIFS(Transfers!$F:$F,Transfers!$C:$C,$A90,Transfers!$I:$I,"JHB",Transfers!$H:$H,"&lt;&gt;Y")+SUMIFS('Stock Received'!$I:$I,'Stock Received'!$E:$E,$A90,'Stock Received'!$L:$L,"JHB")</f>
        <v>668</v>
      </c>
      <c r="G90" s="19" t="n">
        <f aca="false">SUMIFS('DBN Count'!$D:$D,'DBN Count'!$E:$E,$A90)-SUMIFS('Weekly Sales'!$F:$F,'Weekly Sales'!$H:$H,$A90,'Weekly Sales'!$I:$I,"DBN")+SUMIFS(Transfers!$F:$F,Transfers!$C:$C,$A90,Transfers!$J:$J,"DBN")-SUMIFS(Transfers!$F:$F,Transfers!$C:$C,$A90,Transfers!$I:$I,"DBN",Transfers!$H:$H,"&lt;&gt;Y")+SUMIFS('Stock Received'!$I:$I,'Stock Received'!$E:$E,$A90,'Stock Received'!$L:$L,"DBN")</f>
        <v>0</v>
      </c>
      <c r="H90" s="29" t="n">
        <f aca="false">E90+F90+G90</f>
        <v>668</v>
      </c>
      <c r="I90" s="19" t="n">
        <f aca="false">SUMIFS('Weekly Sales'!$F:$F,'Weekly Sales'!$H:$H,$A90)</f>
        <v>0</v>
      </c>
      <c r="J90" s="19" t="n">
        <f aca="false">SUMIFS(Orders!$L:$L,Orders!$D:$D,$A90,Orders!$F:$F,"&gt;="&amp;J$4,Orders!$F:$F,"&lt;"&amp;EDATE(J$4,1))</f>
        <v>300</v>
      </c>
      <c r="K90" s="19" t="n">
        <f aca="false">SUMIFS(Orders!$L:$L,Orders!$D:$D,$A90,Orders!$F:$F,"&gt;="&amp;K$4,Orders!$F:$F,"&lt;"&amp;EDATE(K$4,1))</f>
        <v>300</v>
      </c>
      <c r="L90" s="19" t="n">
        <f aca="false">SUMIFS(Orders!$L:$L,Orders!$D:$D,$A90,Orders!$F:$F,"&gt;="&amp;L$4,Orders!$F:$F,"&lt;"&amp;EDATE(L$4,1))</f>
        <v>0</v>
      </c>
      <c r="M90" s="19" t="n">
        <f aca="false">N90-J90-K90-L90</f>
        <v>0</v>
      </c>
      <c r="N90" s="19" t="n">
        <f aca="false">SUMIFS(Orders!$L:$L,Orders!$D:$D,$A90)</f>
        <v>600</v>
      </c>
      <c r="O90" s="19" t="n">
        <f aca="false">H90+N90</f>
        <v>1268</v>
      </c>
      <c r="P90" s="30" t="n">
        <v>120</v>
      </c>
      <c r="Q90" s="19" t="n">
        <f aca="false">IF(SUMIFS('Sales History'!$E:$E,'Sales History'!$G:$G,$A90)&gt;0,SUMIFS('Sales History'!$E:$E,'Sales History'!$G:$G,$A90)/Settings!$B$4,N(P90))</f>
        <v>120</v>
      </c>
      <c r="R90" s="18" t="str">
        <f aca="false">IF(SUMIFS('Sales History'!$E:$E,'Sales History'!$G:$G,$A90)&gt;0,"6-month history",IF(N(P90)&gt;0,"Current sheet","No sales data"))</f>
        <v>Current sheet</v>
      </c>
      <c r="S90" s="31" t="n">
        <f aca="false">IF(Q90&gt;0,H90/Q90,"")</f>
        <v>5.56666666666667</v>
      </c>
      <c r="T90" s="30" t="n">
        <v>200</v>
      </c>
      <c r="U90" s="19" t="n">
        <f aca="false">IF(T90="","",MAX(0,T90-O90))</f>
        <v>0</v>
      </c>
      <c r="V90" s="32" t="str">
        <f aca="false">IF(D90="End of range","END OF RANGE",IF(T90="","NO BUFFER SET",IF(H90&lt;=0,IF(O90&lt;T90,"OUT - REORDER","OUT - ON ORDER"),IF(O90&lt;T90,"REORDER",IF(H90&lt;T90,"LOW - ON ORDER",IF(AND(S90&lt;&gt;"",N(S90)&gt;Settings!$B$5),"SLOW MOVER","OK"))))))</f>
        <v>OK</v>
      </c>
      <c r="W90" s="18"/>
      <c r="X90" s="33" t="n">
        <f aca="false">IF(OR(D90="End of range",U90=""),0,IF(N(U90)&gt;0,U90+ROW()/1000000,0))</f>
        <v>0</v>
      </c>
    </row>
    <row r="91" customFormat="false" ht="14.25" hidden="false" customHeight="true" outlineLevel="0" collapsed="false">
      <c r="A91" s="18" t="s">
        <v>252</v>
      </c>
      <c r="B91" s="18" t="s">
        <v>253</v>
      </c>
      <c r="C91" s="18" t="s">
        <v>79</v>
      </c>
      <c r="D91" s="18" t="s">
        <v>181</v>
      </c>
      <c r="E91" s="19" t="n">
        <f aca="false">SUMIFS('CPT Count'!$D:$D,'CPT Count'!$A:$A,$A91)-SUMIFS('Weekly Sales'!$F:$F,'Weekly Sales'!$H:$H,$A91,'Weekly Sales'!$I:$I,"CPT")+SUMIFS(Transfers!$F:$F,Transfers!$C:$C,$A91,Transfers!$J:$J,"CPT")-SUMIFS(Transfers!$F:$F,Transfers!$C:$C,$A91,Transfers!$I:$I,"CPT",Transfers!$H:$H,"&lt;&gt;Y")+SUMIFS('Stock Received'!$I:$I,'Stock Received'!$E:$E,$A91,'Stock Received'!$L:$L,"CPT")</f>
        <v>220</v>
      </c>
      <c r="F91" s="19" t="n">
        <f aca="false">SUMIFS('JHB Count'!$E:$E,'JHB Count'!$F:$F,$A91)-SUMIFS('Weekly Sales'!$F:$F,'Weekly Sales'!$H:$H,$A91,'Weekly Sales'!$I:$I,"JHB")+SUMIFS(Transfers!$F:$F,Transfers!$C:$C,$A91,Transfers!$J:$J,"JHB")-SUMIFS(Transfers!$F:$F,Transfers!$C:$C,$A91,Transfers!$I:$I,"JHB",Transfers!$H:$H,"&lt;&gt;Y")+SUMIFS('Stock Received'!$I:$I,'Stock Received'!$E:$E,$A91,'Stock Received'!$L:$L,"JHB")</f>
        <v>0</v>
      </c>
      <c r="G91" s="19" t="n">
        <f aca="false">SUMIFS('DBN Count'!$D:$D,'DBN Count'!$E:$E,$A91)-SUMIFS('Weekly Sales'!$F:$F,'Weekly Sales'!$H:$H,$A91,'Weekly Sales'!$I:$I,"DBN")+SUMIFS(Transfers!$F:$F,Transfers!$C:$C,$A91,Transfers!$J:$J,"DBN")-SUMIFS(Transfers!$F:$F,Transfers!$C:$C,$A91,Transfers!$I:$I,"DBN",Transfers!$H:$H,"&lt;&gt;Y")+SUMIFS('Stock Received'!$I:$I,'Stock Received'!$E:$E,$A91,'Stock Received'!$L:$L,"DBN")</f>
        <v>0</v>
      </c>
      <c r="H91" s="29" t="n">
        <f aca="false">E91+F91+G91</f>
        <v>220</v>
      </c>
      <c r="I91" s="19" t="n">
        <f aca="false">SUMIFS('Weekly Sales'!$F:$F,'Weekly Sales'!$H:$H,$A91)</f>
        <v>0</v>
      </c>
      <c r="J91" s="19" t="n">
        <f aca="false">SUMIFS(Orders!$L:$L,Orders!$D:$D,$A91,Orders!$F:$F,"&gt;="&amp;J$4,Orders!$F:$F,"&lt;"&amp;EDATE(J$4,1))</f>
        <v>0</v>
      </c>
      <c r="K91" s="19" t="n">
        <f aca="false">SUMIFS(Orders!$L:$L,Orders!$D:$D,$A91,Orders!$F:$F,"&gt;="&amp;K$4,Orders!$F:$F,"&lt;"&amp;EDATE(K$4,1))</f>
        <v>0</v>
      </c>
      <c r="L91" s="19" t="n">
        <f aca="false">SUMIFS(Orders!$L:$L,Orders!$D:$D,$A91,Orders!$F:$F,"&gt;="&amp;L$4,Orders!$F:$F,"&lt;"&amp;EDATE(L$4,1))</f>
        <v>0</v>
      </c>
      <c r="M91" s="19" t="n">
        <f aca="false">N91-J91-K91-L91</f>
        <v>0</v>
      </c>
      <c r="N91" s="19" t="n">
        <f aca="false">SUMIFS(Orders!$L:$L,Orders!$D:$D,$A91)</f>
        <v>0</v>
      </c>
      <c r="O91" s="19" t="n">
        <f aca="false">H91+N91</f>
        <v>220</v>
      </c>
      <c r="P91" s="30"/>
      <c r="Q91" s="19" t="n">
        <f aca="false">IF(SUMIFS('Sales History'!$E:$E,'Sales History'!$G:$G,$A91)&gt;0,SUMIFS('Sales History'!$E:$E,'Sales History'!$G:$G,$A91)/Settings!$B$4,N(P91))</f>
        <v>0</v>
      </c>
      <c r="R91" s="18" t="str">
        <f aca="false">IF(SUMIFS('Sales History'!$E:$E,'Sales History'!$G:$G,$A91)&gt;0,"6-month history",IF(N(P91)&gt;0,"Current sheet","No sales data"))</f>
        <v>No sales data</v>
      </c>
      <c r="S91" s="31" t="str">
        <f aca="false">IF(Q91&gt;0,H91/Q91,"")</f>
        <v/>
      </c>
      <c r="T91" s="30"/>
      <c r="U91" s="19" t="str">
        <f aca="false">IF(T91="","",MAX(0,T91-O91))</f>
        <v/>
      </c>
      <c r="V91" s="32" t="str">
        <f aca="false">IF(D91="End of range","END OF RANGE",IF(T91="","NO BUFFER SET",IF(H91&lt;=0,IF(O91&lt;T91,"OUT - REORDER","OUT - ON ORDER"),IF(O91&lt;T91,"REORDER",IF(H91&lt;T91,"LOW - ON ORDER",IF(AND(S91&lt;&gt;"",N(S91)&gt;Settings!$B$5),"SLOW MOVER","OK"))))))</f>
        <v>END OF RANGE</v>
      </c>
      <c r="W91" s="18"/>
      <c r="X91" s="33" t="n">
        <f aca="false">IF(OR(D91="End of range",U91=""),0,IF(N(U91)&gt;0,U91+ROW()/1000000,0))</f>
        <v>0</v>
      </c>
    </row>
    <row r="92" customFormat="false" ht="14.25" hidden="false" customHeight="true" outlineLevel="0" collapsed="false">
      <c r="A92" s="18" t="s">
        <v>254</v>
      </c>
      <c r="B92" s="18" t="s">
        <v>255</v>
      </c>
      <c r="C92" s="18" t="s">
        <v>79</v>
      </c>
      <c r="D92" s="18" t="s">
        <v>80</v>
      </c>
      <c r="E92" s="19" t="n">
        <f aca="false">SUMIFS('CPT Count'!$D:$D,'CPT Count'!$A:$A,$A92)-SUMIFS('Weekly Sales'!$F:$F,'Weekly Sales'!$H:$H,$A92,'Weekly Sales'!$I:$I,"CPT")+SUMIFS(Transfers!$F:$F,Transfers!$C:$C,$A92,Transfers!$J:$J,"CPT")-SUMIFS(Transfers!$F:$F,Transfers!$C:$C,$A92,Transfers!$I:$I,"CPT",Transfers!$H:$H,"&lt;&gt;Y")+SUMIFS('Stock Received'!$I:$I,'Stock Received'!$E:$E,$A92,'Stock Received'!$L:$L,"CPT")</f>
        <v>326.54</v>
      </c>
      <c r="F92" s="19" t="n">
        <f aca="false">SUMIFS('JHB Count'!$E:$E,'JHB Count'!$F:$F,$A92)-SUMIFS('Weekly Sales'!$F:$F,'Weekly Sales'!$H:$H,$A92,'Weekly Sales'!$I:$I,"JHB")+SUMIFS(Transfers!$F:$F,Transfers!$C:$C,$A92,Transfers!$J:$J,"JHB")-SUMIFS(Transfers!$F:$F,Transfers!$C:$C,$A92,Transfers!$I:$I,"JHB",Transfers!$H:$H,"&lt;&gt;Y")+SUMIFS('Stock Received'!$I:$I,'Stock Received'!$E:$E,$A92,'Stock Received'!$L:$L,"JHB")</f>
        <v>20</v>
      </c>
      <c r="G92" s="19" t="n">
        <f aca="false">SUMIFS('DBN Count'!$D:$D,'DBN Count'!$E:$E,$A92)-SUMIFS('Weekly Sales'!$F:$F,'Weekly Sales'!$H:$H,$A92,'Weekly Sales'!$I:$I,"DBN")+SUMIFS(Transfers!$F:$F,Transfers!$C:$C,$A92,Transfers!$J:$J,"DBN")-SUMIFS(Transfers!$F:$F,Transfers!$C:$C,$A92,Transfers!$I:$I,"DBN",Transfers!$H:$H,"&lt;&gt;Y")+SUMIFS('Stock Received'!$I:$I,'Stock Received'!$E:$E,$A92,'Stock Received'!$L:$L,"DBN")</f>
        <v>0</v>
      </c>
      <c r="H92" s="29" t="n">
        <f aca="false">E92+F92+G92</f>
        <v>346.54</v>
      </c>
      <c r="I92" s="19" t="n">
        <f aca="false">SUMIFS('Weekly Sales'!$F:$F,'Weekly Sales'!$H:$H,$A92)</f>
        <v>0</v>
      </c>
      <c r="J92" s="19" t="n">
        <f aca="false">SUMIFS(Orders!$L:$L,Orders!$D:$D,$A92,Orders!$F:$F,"&gt;="&amp;J$4,Orders!$F:$F,"&lt;"&amp;EDATE(J$4,1))</f>
        <v>0</v>
      </c>
      <c r="K92" s="19" t="n">
        <f aca="false">SUMIFS(Orders!$L:$L,Orders!$D:$D,$A92,Orders!$F:$F,"&gt;="&amp;K$4,Orders!$F:$F,"&lt;"&amp;EDATE(K$4,1))</f>
        <v>0</v>
      </c>
      <c r="L92" s="19" t="n">
        <f aca="false">SUMIFS(Orders!$L:$L,Orders!$D:$D,$A92,Orders!$F:$F,"&gt;="&amp;L$4,Orders!$F:$F,"&lt;"&amp;EDATE(L$4,1))</f>
        <v>0</v>
      </c>
      <c r="M92" s="19" t="n">
        <f aca="false">N92-J92-K92-L92</f>
        <v>0</v>
      </c>
      <c r="N92" s="19" t="n">
        <f aca="false">SUMIFS(Orders!$L:$L,Orders!$D:$D,$A92)</f>
        <v>0</v>
      </c>
      <c r="O92" s="19" t="n">
        <f aca="false">H92+N92</f>
        <v>346.54</v>
      </c>
      <c r="P92" s="30"/>
      <c r="Q92" s="19" t="n">
        <f aca="false">IF(SUMIFS('Sales History'!$E:$E,'Sales History'!$G:$G,$A92)&gt;0,SUMIFS('Sales History'!$E:$E,'Sales History'!$G:$G,$A92)/Settings!$B$4,N(P92))</f>
        <v>0</v>
      </c>
      <c r="R92" s="18" t="str">
        <f aca="false">IF(SUMIFS('Sales History'!$E:$E,'Sales History'!$G:$G,$A92)&gt;0,"6-month history",IF(N(P92)&gt;0,"Current sheet","No sales data"))</f>
        <v>No sales data</v>
      </c>
      <c r="S92" s="31" t="str">
        <f aca="false">IF(Q92&gt;0,H92/Q92,"")</f>
        <v/>
      </c>
      <c r="T92" s="30" t="n">
        <v>200</v>
      </c>
      <c r="U92" s="19" t="n">
        <f aca="false">IF(T92="","",MAX(0,T92-O92))</f>
        <v>0</v>
      </c>
      <c r="V92" s="32" t="str">
        <f aca="false">IF(D92="End of range","END OF RANGE",IF(T92="","NO BUFFER SET",IF(H92&lt;=0,IF(O92&lt;T92,"OUT - REORDER","OUT - ON ORDER"),IF(O92&lt;T92,"REORDER",IF(H92&lt;T92,"LOW - ON ORDER",IF(AND(S92&lt;&gt;"",N(S92)&gt;Settings!$B$5),"SLOW MOVER","OK"))))))</f>
        <v>OK</v>
      </c>
      <c r="W92" s="18"/>
      <c r="X92" s="33" t="n">
        <f aca="false">IF(OR(D92="End of range",U92=""),0,IF(N(U92)&gt;0,U92+ROW()/1000000,0))</f>
        <v>0</v>
      </c>
    </row>
    <row r="93" customFormat="false" ht="14.25" hidden="false" customHeight="true" outlineLevel="0" collapsed="false">
      <c r="A93" s="18" t="s">
        <v>256</v>
      </c>
      <c r="B93" s="18" t="s">
        <v>257</v>
      </c>
      <c r="C93" s="18" t="s">
        <v>79</v>
      </c>
      <c r="D93" s="18" t="s">
        <v>80</v>
      </c>
      <c r="E93" s="19" t="n">
        <f aca="false">SUMIFS('CPT Count'!$D:$D,'CPT Count'!$A:$A,$A93)-SUMIFS('Weekly Sales'!$F:$F,'Weekly Sales'!$H:$H,$A93,'Weekly Sales'!$I:$I,"CPT")+SUMIFS(Transfers!$F:$F,Transfers!$C:$C,$A93,Transfers!$J:$J,"CPT")-SUMIFS(Transfers!$F:$F,Transfers!$C:$C,$A93,Transfers!$I:$I,"CPT",Transfers!$H:$H,"&lt;&gt;Y")+SUMIFS('Stock Received'!$I:$I,'Stock Received'!$E:$E,$A93,'Stock Received'!$L:$L,"CPT")</f>
        <v>432</v>
      </c>
      <c r="F93" s="19" t="n">
        <f aca="false">SUMIFS('JHB Count'!$E:$E,'JHB Count'!$F:$F,$A93)-SUMIFS('Weekly Sales'!$F:$F,'Weekly Sales'!$H:$H,$A93,'Weekly Sales'!$I:$I,"JHB")+SUMIFS(Transfers!$F:$F,Transfers!$C:$C,$A93,Transfers!$J:$J,"JHB")-SUMIFS(Transfers!$F:$F,Transfers!$C:$C,$A93,Transfers!$I:$I,"JHB",Transfers!$H:$H,"&lt;&gt;Y")+SUMIFS('Stock Received'!$I:$I,'Stock Received'!$E:$E,$A93,'Stock Received'!$L:$L,"JHB")</f>
        <v>20</v>
      </c>
      <c r="G93" s="19" t="n">
        <f aca="false">SUMIFS('DBN Count'!$D:$D,'DBN Count'!$E:$E,$A93)-SUMIFS('Weekly Sales'!$F:$F,'Weekly Sales'!$H:$H,$A93,'Weekly Sales'!$I:$I,"DBN")+SUMIFS(Transfers!$F:$F,Transfers!$C:$C,$A93,Transfers!$J:$J,"DBN")-SUMIFS(Transfers!$F:$F,Transfers!$C:$C,$A93,Transfers!$I:$I,"DBN",Transfers!$H:$H,"&lt;&gt;Y")+SUMIFS('Stock Received'!$I:$I,'Stock Received'!$E:$E,$A93,'Stock Received'!$L:$L,"DBN")</f>
        <v>0</v>
      </c>
      <c r="H93" s="29" t="n">
        <f aca="false">E93+F93+G93</f>
        <v>452</v>
      </c>
      <c r="I93" s="19" t="n">
        <f aca="false">SUMIFS('Weekly Sales'!$F:$F,'Weekly Sales'!$H:$H,$A93)</f>
        <v>0</v>
      </c>
      <c r="J93" s="19" t="n">
        <f aca="false">SUMIFS(Orders!$L:$L,Orders!$D:$D,$A93,Orders!$F:$F,"&gt;="&amp;J$4,Orders!$F:$F,"&lt;"&amp;EDATE(J$4,1))</f>
        <v>0</v>
      </c>
      <c r="K93" s="19" t="n">
        <f aca="false">SUMIFS(Orders!$L:$L,Orders!$D:$D,$A93,Orders!$F:$F,"&gt;="&amp;K$4,Orders!$F:$F,"&lt;"&amp;EDATE(K$4,1))</f>
        <v>0</v>
      </c>
      <c r="L93" s="19" t="n">
        <f aca="false">SUMIFS(Orders!$L:$L,Orders!$D:$D,$A93,Orders!$F:$F,"&gt;="&amp;L$4,Orders!$F:$F,"&lt;"&amp;EDATE(L$4,1))</f>
        <v>0</v>
      </c>
      <c r="M93" s="19" t="n">
        <f aca="false">N93-J93-K93-L93</f>
        <v>0</v>
      </c>
      <c r="N93" s="19" t="n">
        <f aca="false">SUMIFS(Orders!$L:$L,Orders!$D:$D,$A93)</f>
        <v>0</v>
      </c>
      <c r="O93" s="19" t="n">
        <f aca="false">H93+N93</f>
        <v>452</v>
      </c>
      <c r="P93" s="30"/>
      <c r="Q93" s="19" t="n">
        <f aca="false">IF(SUMIFS('Sales History'!$E:$E,'Sales History'!$G:$G,$A93)&gt;0,SUMIFS('Sales History'!$E:$E,'Sales History'!$G:$G,$A93)/Settings!$B$4,N(P93))</f>
        <v>0</v>
      </c>
      <c r="R93" s="18" t="str">
        <f aca="false">IF(SUMIFS('Sales History'!$E:$E,'Sales History'!$G:$G,$A93)&gt;0,"6-month history",IF(N(P93)&gt;0,"Current sheet","No sales data"))</f>
        <v>No sales data</v>
      </c>
      <c r="S93" s="31" t="str">
        <f aca="false">IF(Q93&gt;0,H93/Q93,"")</f>
        <v/>
      </c>
      <c r="T93" s="30" t="n">
        <v>200</v>
      </c>
      <c r="U93" s="19" t="n">
        <f aca="false">IF(T93="","",MAX(0,T93-O93))</f>
        <v>0</v>
      </c>
      <c r="V93" s="32" t="str">
        <f aca="false">IF(D93="End of range","END OF RANGE",IF(T93="","NO BUFFER SET",IF(H93&lt;=0,IF(O93&lt;T93,"OUT - REORDER","OUT - ON ORDER"),IF(O93&lt;T93,"REORDER",IF(H93&lt;T93,"LOW - ON ORDER",IF(AND(S93&lt;&gt;"",N(S93)&gt;Settings!$B$5),"SLOW MOVER","OK"))))))</f>
        <v>OK</v>
      </c>
      <c r="W93" s="18"/>
      <c r="X93" s="33" t="n">
        <f aca="false">IF(OR(D93="End of range",U93=""),0,IF(N(U93)&gt;0,U93+ROW()/1000000,0))</f>
        <v>0</v>
      </c>
    </row>
    <row r="94" customFormat="false" ht="14.25" hidden="false" customHeight="true" outlineLevel="0" collapsed="false">
      <c r="A94" s="18" t="s">
        <v>258</v>
      </c>
      <c r="B94" s="18" t="s">
        <v>259</v>
      </c>
      <c r="C94" s="18" t="s">
        <v>79</v>
      </c>
      <c r="D94" s="18" t="s">
        <v>80</v>
      </c>
      <c r="E94" s="19" t="n">
        <f aca="false">SUMIFS('CPT Count'!$D:$D,'CPT Count'!$A:$A,$A94)-SUMIFS('Weekly Sales'!$F:$F,'Weekly Sales'!$H:$H,$A94,'Weekly Sales'!$I:$I,"CPT")+SUMIFS(Transfers!$F:$F,Transfers!$C:$C,$A94,Transfers!$J:$J,"CPT")-SUMIFS(Transfers!$F:$F,Transfers!$C:$C,$A94,Transfers!$I:$I,"CPT",Transfers!$H:$H,"&lt;&gt;Y")+SUMIFS('Stock Received'!$I:$I,'Stock Received'!$E:$E,$A94,'Stock Received'!$L:$L,"CPT")</f>
        <v>0</v>
      </c>
      <c r="F94" s="19" t="n">
        <f aca="false">SUMIFS('JHB Count'!$E:$E,'JHB Count'!$F:$F,$A94)-SUMIFS('Weekly Sales'!$F:$F,'Weekly Sales'!$H:$H,$A94,'Weekly Sales'!$I:$I,"JHB")+SUMIFS(Transfers!$F:$F,Transfers!$C:$C,$A94,Transfers!$J:$J,"JHB")-SUMIFS(Transfers!$F:$F,Transfers!$C:$C,$A94,Transfers!$I:$I,"JHB",Transfers!$H:$H,"&lt;&gt;Y")+SUMIFS('Stock Received'!$I:$I,'Stock Received'!$E:$E,$A94,'Stock Received'!$L:$L,"JHB")</f>
        <v>0</v>
      </c>
      <c r="G94" s="19" t="n">
        <f aca="false">SUMIFS('DBN Count'!$D:$D,'DBN Count'!$E:$E,$A94)-SUMIFS('Weekly Sales'!$F:$F,'Weekly Sales'!$H:$H,$A94,'Weekly Sales'!$I:$I,"DBN")+SUMIFS(Transfers!$F:$F,Transfers!$C:$C,$A94,Transfers!$J:$J,"DBN")-SUMIFS(Transfers!$F:$F,Transfers!$C:$C,$A94,Transfers!$I:$I,"DBN",Transfers!$H:$H,"&lt;&gt;Y")+SUMIFS('Stock Received'!$I:$I,'Stock Received'!$E:$E,$A94,'Stock Received'!$L:$L,"DBN")</f>
        <v>0</v>
      </c>
      <c r="H94" s="29" t="n">
        <f aca="false">E94+F94+G94</f>
        <v>0</v>
      </c>
      <c r="I94" s="19" t="n">
        <f aca="false">SUMIFS('Weekly Sales'!$F:$F,'Weekly Sales'!$H:$H,$A94)</f>
        <v>0</v>
      </c>
      <c r="J94" s="19" t="n">
        <f aca="false">SUMIFS(Orders!$L:$L,Orders!$D:$D,$A94,Orders!$F:$F,"&gt;="&amp;J$4,Orders!$F:$F,"&lt;"&amp;EDATE(J$4,1))</f>
        <v>200</v>
      </c>
      <c r="K94" s="19" t="n">
        <f aca="false">SUMIFS(Orders!$L:$L,Orders!$D:$D,$A94,Orders!$F:$F,"&gt;="&amp;K$4,Orders!$F:$F,"&lt;"&amp;EDATE(K$4,1))</f>
        <v>0</v>
      </c>
      <c r="L94" s="19" t="n">
        <f aca="false">SUMIFS(Orders!$L:$L,Orders!$D:$D,$A94,Orders!$F:$F,"&gt;="&amp;L$4,Orders!$F:$F,"&lt;"&amp;EDATE(L$4,1))</f>
        <v>0</v>
      </c>
      <c r="M94" s="19" t="n">
        <f aca="false">N94-J94-K94-L94</f>
        <v>0</v>
      </c>
      <c r="N94" s="19" t="n">
        <f aca="false">SUMIFS(Orders!$L:$L,Orders!$D:$D,$A94)</f>
        <v>200</v>
      </c>
      <c r="O94" s="19" t="n">
        <f aca="false">H94+N94</f>
        <v>200</v>
      </c>
      <c r="P94" s="30"/>
      <c r="Q94" s="19" t="n">
        <f aca="false">IF(SUMIFS('Sales History'!$E:$E,'Sales History'!$G:$G,$A94)&gt;0,SUMIFS('Sales History'!$E:$E,'Sales History'!$G:$G,$A94)/Settings!$B$4,N(P94))</f>
        <v>0</v>
      </c>
      <c r="R94" s="18" t="str">
        <f aca="false">IF(SUMIFS('Sales History'!$E:$E,'Sales History'!$G:$G,$A94)&gt;0,"6-month history",IF(N(P94)&gt;0,"Current sheet","No sales data"))</f>
        <v>No sales data</v>
      </c>
      <c r="S94" s="31" t="str">
        <f aca="false">IF(Q94&gt;0,H94/Q94,"")</f>
        <v/>
      </c>
      <c r="T94" s="30" t="n">
        <v>50</v>
      </c>
      <c r="U94" s="19" t="n">
        <f aca="false">IF(T94="","",MAX(0,T94-O94))</f>
        <v>0</v>
      </c>
      <c r="V94" s="32" t="str">
        <f aca="false">IF(D94="End of range","END OF RANGE",IF(T94="","NO BUFFER SET",IF(H94&lt;=0,IF(O94&lt;T94,"OUT - REORDER","OUT - ON ORDER"),IF(O94&lt;T94,"REORDER",IF(H94&lt;T94,"LOW - ON ORDER",IF(AND(S94&lt;&gt;"",N(S94)&gt;Settings!$B$5),"SLOW MOVER","OK"))))))</f>
        <v>OUT - ON ORDER</v>
      </c>
      <c r="W94" s="18"/>
      <c r="X94" s="33" t="n">
        <f aca="false">IF(OR(D94="End of range",U94=""),0,IF(N(U94)&gt;0,U94+ROW()/1000000,0))</f>
        <v>0</v>
      </c>
    </row>
    <row r="95" customFormat="false" ht="14.25" hidden="false" customHeight="true" outlineLevel="0" collapsed="false">
      <c r="A95" s="18" t="s">
        <v>260</v>
      </c>
      <c r="B95" s="18" t="s">
        <v>261</v>
      </c>
      <c r="C95" s="18" t="s">
        <v>79</v>
      </c>
      <c r="D95" s="18" t="s">
        <v>80</v>
      </c>
      <c r="E95" s="19" t="n">
        <f aca="false">SUMIFS('CPT Count'!$D:$D,'CPT Count'!$A:$A,$A95)-SUMIFS('Weekly Sales'!$F:$F,'Weekly Sales'!$H:$H,$A95,'Weekly Sales'!$I:$I,"CPT")+SUMIFS(Transfers!$F:$F,Transfers!$C:$C,$A95,Transfers!$J:$J,"CPT")-SUMIFS(Transfers!$F:$F,Transfers!$C:$C,$A95,Transfers!$I:$I,"CPT",Transfers!$H:$H,"&lt;&gt;Y")+SUMIFS('Stock Received'!$I:$I,'Stock Received'!$E:$E,$A95,'Stock Received'!$L:$L,"CPT")</f>
        <v>0</v>
      </c>
      <c r="F95" s="19" t="n">
        <f aca="false">SUMIFS('JHB Count'!$E:$E,'JHB Count'!$F:$F,$A95)-SUMIFS('Weekly Sales'!$F:$F,'Weekly Sales'!$H:$H,$A95,'Weekly Sales'!$I:$I,"JHB")+SUMIFS(Transfers!$F:$F,Transfers!$C:$C,$A95,Transfers!$J:$J,"JHB")-SUMIFS(Transfers!$F:$F,Transfers!$C:$C,$A95,Transfers!$I:$I,"JHB",Transfers!$H:$H,"&lt;&gt;Y")+SUMIFS('Stock Received'!$I:$I,'Stock Received'!$E:$E,$A95,'Stock Received'!$L:$L,"JHB")</f>
        <v>0</v>
      </c>
      <c r="G95" s="19" t="n">
        <f aca="false">SUMIFS('DBN Count'!$D:$D,'DBN Count'!$E:$E,$A95)-SUMIFS('Weekly Sales'!$F:$F,'Weekly Sales'!$H:$H,$A95,'Weekly Sales'!$I:$I,"DBN")+SUMIFS(Transfers!$F:$F,Transfers!$C:$C,$A95,Transfers!$J:$J,"DBN")-SUMIFS(Transfers!$F:$F,Transfers!$C:$C,$A95,Transfers!$I:$I,"DBN",Transfers!$H:$H,"&lt;&gt;Y")+SUMIFS('Stock Received'!$I:$I,'Stock Received'!$E:$E,$A95,'Stock Received'!$L:$L,"DBN")</f>
        <v>0</v>
      </c>
      <c r="H95" s="29" t="n">
        <f aca="false">E95+F95+G95</f>
        <v>0</v>
      </c>
      <c r="I95" s="19" t="n">
        <f aca="false">SUMIFS('Weekly Sales'!$F:$F,'Weekly Sales'!$H:$H,$A95)</f>
        <v>0</v>
      </c>
      <c r="J95" s="19" t="n">
        <f aca="false">SUMIFS(Orders!$L:$L,Orders!$D:$D,$A95,Orders!$F:$F,"&gt;="&amp;J$4,Orders!$F:$F,"&lt;"&amp;EDATE(J$4,1))</f>
        <v>200</v>
      </c>
      <c r="K95" s="19" t="n">
        <f aca="false">SUMIFS(Orders!$L:$L,Orders!$D:$D,$A95,Orders!$F:$F,"&gt;="&amp;K$4,Orders!$F:$F,"&lt;"&amp;EDATE(K$4,1))</f>
        <v>0</v>
      </c>
      <c r="L95" s="19" t="n">
        <f aca="false">SUMIFS(Orders!$L:$L,Orders!$D:$D,$A95,Orders!$F:$F,"&gt;="&amp;L$4,Orders!$F:$F,"&lt;"&amp;EDATE(L$4,1))</f>
        <v>0</v>
      </c>
      <c r="M95" s="19" t="n">
        <f aca="false">N95-J95-K95-L95</f>
        <v>0</v>
      </c>
      <c r="N95" s="19" t="n">
        <f aca="false">SUMIFS(Orders!$L:$L,Orders!$D:$D,$A95)</f>
        <v>200</v>
      </c>
      <c r="O95" s="19" t="n">
        <f aca="false">H95+N95</f>
        <v>200</v>
      </c>
      <c r="P95" s="30"/>
      <c r="Q95" s="19" t="n">
        <f aca="false">IF(SUMIFS('Sales History'!$E:$E,'Sales History'!$G:$G,$A95)&gt;0,SUMIFS('Sales History'!$E:$E,'Sales History'!$G:$G,$A95)/Settings!$B$4,N(P95))</f>
        <v>0</v>
      </c>
      <c r="R95" s="18" t="str">
        <f aca="false">IF(SUMIFS('Sales History'!$E:$E,'Sales History'!$G:$G,$A95)&gt;0,"6-month history",IF(N(P95)&gt;0,"Current sheet","No sales data"))</f>
        <v>No sales data</v>
      </c>
      <c r="S95" s="31" t="str">
        <f aca="false">IF(Q95&gt;0,H95/Q95,"")</f>
        <v/>
      </c>
      <c r="T95" s="30" t="n">
        <v>50</v>
      </c>
      <c r="U95" s="19" t="n">
        <f aca="false">IF(T95="","",MAX(0,T95-O95))</f>
        <v>0</v>
      </c>
      <c r="V95" s="32" t="str">
        <f aca="false">IF(D95="End of range","END OF RANGE",IF(T95="","NO BUFFER SET",IF(H95&lt;=0,IF(O95&lt;T95,"OUT - REORDER","OUT - ON ORDER"),IF(O95&lt;T95,"REORDER",IF(H95&lt;T95,"LOW - ON ORDER",IF(AND(S95&lt;&gt;"",N(S95)&gt;Settings!$B$5),"SLOW MOVER","OK"))))))</f>
        <v>OUT - ON ORDER</v>
      </c>
      <c r="W95" s="18"/>
      <c r="X95" s="33" t="n">
        <f aca="false">IF(OR(D95="End of range",U95=""),0,IF(N(U95)&gt;0,U95+ROW()/1000000,0))</f>
        <v>0</v>
      </c>
    </row>
    <row r="96" customFormat="false" ht="14.25" hidden="false" customHeight="true" outlineLevel="0" collapsed="false">
      <c r="A96" s="18" t="s">
        <v>262</v>
      </c>
      <c r="B96" s="18" t="s">
        <v>263</v>
      </c>
      <c r="C96" s="18" t="s">
        <v>79</v>
      </c>
      <c r="D96" s="18" t="s">
        <v>80</v>
      </c>
      <c r="E96" s="19" t="n">
        <f aca="false">SUMIFS('CPT Count'!$D:$D,'CPT Count'!$A:$A,$A96)-SUMIFS('Weekly Sales'!$F:$F,'Weekly Sales'!$H:$H,$A96,'Weekly Sales'!$I:$I,"CPT")+SUMIFS(Transfers!$F:$F,Transfers!$C:$C,$A96,Transfers!$J:$J,"CPT")-SUMIFS(Transfers!$F:$F,Transfers!$C:$C,$A96,Transfers!$I:$I,"CPT",Transfers!$H:$H,"&lt;&gt;Y")+SUMIFS('Stock Received'!$I:$I,'Stock Received'!$E:$E,$A96,'Stock Received'!$L:$L,"CPT")</f>
        <v>0</v>
      </c>
      <c r="F96" s="19" t="n">
        <f aca="false">SUMIFS('JHB Count'!$E:$E,'JHB Count'!$F:$F,$A96)-SUMIFS('Weekly Sales'!$F:$F,'Weekly Sales'!$H:$H,$A96,'Weekly Sales'!$I:$I,"JHB")+SUMIFS(Transfers!$F:$F,Transfers!$C:$C,$A96,Transfers!$J:$J,"JHB")-SUMIFS(Transfers!$F:$F,Transfers!$C:$C,$A96,Transfers!$I:$I,"JHB",Transfers!$H:$H,"&lt;&gt;Y")+SUMIFS('Stock Received'!$I:$I,'Stock Received'!$E:$E,$A96,'Stock Received'!$L:$L,"JHB")</f>
        <v>0</v>
      </c>
      <c r="G96" s="19" t="n">
        <f aca="false">SUMIFS('DBN Count'!$D:$D,'DBN Count'!$E:$E,$A96)-SUMIFS('Weekly Sales'!$F:$F,'Weekly Sales'!$H:$H,$A96,'Weekly Sales'!$I:$I,"DBN")+SUMIFS(Transfers!$F:$F,Transfers!$C:$C,$A96,Transfers!$J:$J,"DBN")-SUMIFS(Transfers!$F:$F,Transfers!$C:$C,$A96,Transfers!$I:$I,"DBN",Transfers!$H:$H,"&lt;&gt;Y")+SUMIFS('Stock Received'!$I:$I,'Stock Received'!$E:$E,$A96,'Stock Received'!$L:$L,"DBN")</f>
        <v>0</v>
      </c>
      <c r="H96" s="29" t="n">
        <f aca="false">E96+F96+G96</f>
        <v>0</v>
      </c>
      <c r="I96" s="19" t="n">
        <f aca="false">SUMIFS('Weekly Sales'!$F:$F,'Weekly Sales'!$H:$H,$A96)</f>
        <v>0</v>
      </c>
      <c r="J96" s="19" t="n">
        <f aca="false">SUMIFS(Orders!$L:$L,Orders!$D:$D,$A96,Orders!$F:$F,"&gt;="&amp;J$4,Orders!$F:$F,"&lt;"&amp;EDATE(J$4,1))</f>
        <v>200</v>
      </c>
      <c r="K96" s="19" t="n">
        <f aca="false">SUMIFS(Orders!$L:$L,Orders!$D:$D,$A96,Orders!$F:$F,"&gt;="&amp;K$4,Orders!$F:$F,"&lt;"&amp;EDATE(K$4,1))</f>
        <v>0</v>
      </c>
      <c r="L96" s="19" t="n">
        <f aca="false">SUMIFS(Orders!$L:$L,Orders!$D:$D,$A96,Orders!$F:$F,"&gt;="&amp;L$4,Orders!$F:$F,"&lt;"&amp;EDATE(L$4,1))</f>
        <v>0</v>
      </c>
      <c r="M96" s="19" t="n">
        <f aca="false">N96-J96-K96-L96</f>
        <v>0</v>
      </c>
      <c r="N96" s="19" t="n">
        <f aca="false">SUMIFS(Orders!$L:$L,Orders!$D:$D,$A96)</f>
        <v>200</v>
      </c>
      <c r="O96" s="19" t="n">
        <f aca="false">H96+N96</f>
        <v>200</v>
      </c>
      <c r="P96" s="30"/>
      <c r="Q96" s="19" t="n">
        <f aca="false">IF(SUMIFS('Sales History'!$E:$E,'Sales History'!$G:$G,$A96)&gt;0,SUMIFS('Sales History'!$E:$E,'Sales History'!$G:$G,$A96)/Settings!$B$4,N(P96))</f>
        <v>0</v>
      </c>
      <c r="R96" s="18" t="str">
        <f aca="false">IF(SUMIFS('Sales History'!$E:$E,'Sales History'!$G:$G,$A96)&gt;0,"6-month history",IF(N(P96)&gt;0,"Current sheet","No sales data"))</f>
        <v>No sales data</v>
      </c>
      <c r="S96" s="31" t="str">
        <f aca="false">IF(Q96&gt;0,H96/Q96,"")</f>
        <v/>
      </c>
      <c r="T96" s="30" t="n">
        <v>50</v>
      </c>
      <c r="U96" s="19" t="n">
        <f aca="false">IF(T96="","",MAX(0,T96-O96))</f>
        <v>0</v>
      </c>
      <c r="V96" s="32" t="str">
        <f aca="false">IF(D96="End of range","END OF RANGE",IF(T96="","NO BUFFER SET",IF(H96&lt;=0,IF(O96&lt;T96,"OUT - REORDER","OUT - ON ORDER"),IF(O96&lt;T96,"REORDER",IF(H96&lt;T96,"LOW - ON ORDER",IF(AND(S96&lt;&gt;"",N(S96)&gt;Settings!$B$5),"SLOW MOVER","OK"))))))</f>
        <v>OUT - ON ORDER</v>
      </c>
      <c r="W96" s="18"/>
      <c r="X96" s="33" t="n">
        <f aca="false">IF(OR(D96="End of range",U96=""),0,IF(N(U96)&gt;0,U96+ROW()/1000000,0))</f>
        <v>0</v>
      </c>
    </row>
    <row r="97" customFormat="false" ht="14.25" hidden="false" customHeight="true" outlineLevel="0" collapsed="false">
      <c r="A97" s="18" t="s">
        <v>264</v>
      </c>
      <c r="B97" s="18" t="s">
        <v>265</v>
      </c>
      <c r="C97" s="18" t="s">
        <v>79</v>
      </c>
      <c r="D97" s="18" t="s">
        <v>80</v>
      </c>
      <c r="E97" s="19" t="n">
        <f aca="false">SUMIFS('CPT Count'!$D:$D,'CPT Count'!$A:$A,$A97)-SUMIFS('Weekly Sales'!$F:$F,'Weekly Sales'!$H:$H,$A97,'Weekly Sales'!$I:$I,"CPT")+SUMIFS(Transfers!$F:$F,Transfers!$C:$C,$A97,Transfers!$J:$J,"CPT")-SUMIFS(Transfers!$F:$F,Transfers!$C:$C,$A97,Transfers!$I:$I,"CPT",Transfers!$H:$H,"&lt;&gt;Y")+SUMIFS('Stock Received'!$I:$I,'Stock Received'!$E:$E,$A97,'Stock Received'!$L:$L,"CPT")</f>
        <v>0</v>
      </c>
      <c r="F97" s="19" t="n">
        <f aca="false">SUMIFS('JHB Count'!$E:$E,'JHB Count'!$F:$F,$A97)-SUMIFS('Weekly Sales'!$F:$F,'Weekly Sales'!$H:$H,$A97,'Weekly Sales'!$I:$I,"JHB")+SUMIFS(Transfers!$F:$F,Transfers!$C:$C,$A97,Transfers!$J:$J,"JHB")-SUMIFS(Transfers!$F:$F,Transfers!$C:$C,$A97,Transfers!$I:$I,"JHB",Transfers!$H:$H,"&lt;&gt;Y")+SUMIFS('Stock Received'!$I:$I,'Stock Received'!$E:$E,$A97,'Stock Received'!$L:$L,"JHB")</f>
        <v>0</v>
      </c>
      <c r="G97" s="19" t="n">
        <f aca="false">SUMIFS('DBN Count'!$D:$D,'DBN Count'!$E:$E,$A97)-SUMIFS('Weekly Sales'!$F:$F,'Weekly Sales'!$H:$H,$A97,'Weekly Sales'!$I:$I,"DBN")+SUMIFS(Transfers!$F:$F,Transfers!$C:$C,$A97,Transfers!$J:$J,"DBN")-SUMIFS(Transfers!$F:$F,Transfers!$C:$C,$A97,Transfers!$I:$I,"DBN",Transfers!$H:$H,"&lt;&gt;Y")+SUMIFS('Stock Received'!$I:$I,'Stock Received'!$E:$E,$A97,'Stock Received'!$L:$L,"DBN")</f>
        <v>0</v>
      </c>
      <c r="H97" s="29" t="n">
        <f aca="false">E97+F97+G97</f>
        <v>0</v>
      </c>
      <c r="I97" s="19" t="n">
        <f aca="false">SUMIFS('Weekly Sales'!$F:$F,'Weekly Sales'!$H:$H,$A97)</f>
        <v>0</v>
      </c>
      <c r="J97" s="19" t="n">
        <f aca="false">SUMIFS(Orders!$L:$L,Orders!$D:$D,$A97,Orders!$F:$F,"&gt;="&amp;J$4,Orders!$F:$F,"&lt;"&amp;EDATE(J$4,1))</f>
        <v>40</v>
      </c>
      <c r="K97" s="19" t="n">
        <f aca="false">SUMIFS(Orders!$L:$L,Orders!$D:$D,$A97,Orders!$F:$F,"&gt;="&amp;K$4,Orders!$F:$F,"&lt;"&amp;EDATE(K$4,1))</f>
        <v>0</v>
      </c>
      <c r="L97" s="19" t="n">
        <f aca="false">SUMIFS(Orders!$L:$L,Orders!$D:$D,$A97,Orders!$F:$F,"&gt;="&amp;L$4,Orders!$F:$F,"&lt;"&amp;EDATE(L$4,1))</f>
        <v>0</v>
      </c>
      <c r="M97" s="19" t="n">
        <f aca="false">N97-J97-K97-L97</f>
        <v>0</v>
      </c>
      <c r="N97" s="19" t="n">
        <f aca="false">SUMIFS(Orders!$L:$L,Orders!$D:$D,$A97)</f>
        <v>40</v>
      </c>
      <c r="O97" s="19" t="n">
        <f aca="false">H97+N97</f>
        <v>40</v>
      </c>
      <c r="P97" s="30"/>
      <c r="Q97" s="19" t="n">
        <f aca="false">IF(SUMIFS('Sales History'!$E:$E,'Sales History'!$G:$G,$A97)&gt;0,SUMIFS('Sales History'!$E:$E,'Sales History'!$G:$G,$A97)/Settings!$B$4,N(P97))</f>
        <v>0</v>
      </c>
      <c r="R97" s="18" t="str">
        <f aca="false">IF(SUMIFS('Sales History'!$E:$E,'Sales History'!$G:$G,$A97)&gt;0,"6-month history",IF(N(P97)&gt;0,"Current sheet","No sales data"))</f>
        <v>No sales data</v>
      </c>
      <c r="S97" s="31" t="str">
        <f aca="false">IF(Q97&gt;0,H97/Q97,"")</f>
        <v/>
      </c>
      <c r="T97" s="30" t="n">
        <v>10</v>
      </c>
      <c r="U97" s="19" t="n">
        <f aca="false">IF(T97="","",MAX(0,T97-O97))</f>
        <v>0</v>
      </c>
      <c r="V97" s="32" t="str">
        <f aca="false">IF(D97="End of range","END OF RANGE",IF(T97="","NO BUFFER SET",IF(H97&lt;=0,IF(O97&lt;T97,"OUT - REORDER","OUT - ON ORDER"),IF(O97&lt;T97,"REORDER",IF(H97&lt;T97,"LOW - ON ORDER",IF(AND(S97&lt;&gt;"",N(S97)&gt;Settings!$B$5),"SLOW MOVER","OK"))))))</f>
        <v>OUT - ON ORDER</v>
      </c>
      <c r="W97" s="18"/>
      <c r="X97" s="33" t="n">
        <f aca="false">IF(OR(D97="End of range",U97=""),0,IF(N(U97)&gt;0,U97+ROW()/1000000,0))</f>
        <v>0</v>
      </c>
    </row>
    <row r="98" customFormat="false" ht="14.25" hidden="false" customHeight="true" outlineLevel="0" collapsed="false">
      <c r="A98" s="18" t="s">
        <v>266</v>
      </c>
      <c r="B98" s="18" t="s">
        <v>267</v>
      </c>
      <c r="C98" s="18" t="s">
        <v>79</v>
      </c>
      <c r="D98" s="18" t="s">
        <v>80</v>
      </c>
      <c r="E98" s="19" t="n">
        <f aca="false">SUMIFS('CPT Count'!$D:$D,'CPT Count'!$A:$A,$A98)-SUMIFS('Weekly Sales'!$F:$F,'Weekly Sales'!$H:$H,$A98,'Weekly Sales'!$I:$I,"CPT")+SUMIFS(Transfers!$F:$F,Transfers!$C:$C,$A98,Transfers!$J:$J,"CPT")-SUMIFS(Transfers!$F:$F,Transfers!$C:$C,$A98,Transfers!$I:$I,"CPT",Transfers!$H:$H,"&lt;&gt;Y")+SUMIFS('Stock Received'!$I:$I,'Stock Received'!$E:$E,$A98,'Stock Received'!$L:$L,"CPT")</f>
        <v>0</v>
      </c>
      <c r="F98" s="19" t="n">
        <f aca="false">SUMIFS('JHB Count'!$E:$E,'JHB Count'!$F:$F,$A98)-SUMIFS('Weekly Sales'!$F:$F,'Weekly Sales'!$H:$H,$A98,'Weekly Sales'!$I:$I,"JHB")+SUMIFS(Transfers!$F:$F,Transfers!$C:$C,$A98,Transfers!$J:$J,"JHB")-SUMIFS(Transfers!$F:$F,Transfers!$C:$C,$A98,Transfers!$I:$I,"JHB",Transfers!$H:$H,"&lt;&gt;Y")+SUMIFS('Stock Received'!$I:$I,'Stock Received'!$E:$E,$A98,'Stock Received'!$L:$L,"JHB")</f>
        <v>0</v>
      </c>
      <c r="G98" s="19" t="n">
        <f aca="false">SUMIFS('DBN Count'!$D:$D,'DBN Count'!$E:$E,$A98)-SUMIFS('Weekly Sales'!$F:$F,'Weekly Sales'!$H:$H,$A98,'Weekly Sales'!$I:$I,"DBN")+SUMIFS(Transfers!$F:$F,Transfers!$C:$C,$A98,Transfers!$J:$J,"DBN")-SUMIFS(Transfers!$F:$F,Transfers!$C:$C,$A98,Transfers!$I:$I,"DBN",Transfers!$H:$H,"&lt;&gt;Y")+SUMIFS('Stock Received'!$I:$I,'Stock Received'!$E:$E,$A98,'Stock Received'!$L:$L,"DBN")</f>
        <v>0</v>
      </c>
      <c r="H98" s="29" t="n">
        <f aca="false">E98+F98+G98</f>
        <v>0</v>
      </c>
      <c r="I98" s="19" t="n">
        <f aca="false">SUMIFS('Weekly Sales'!$F:$F,'Weekly Sales'!$H:$H,$A98)</f>
        <v>0</v>
      </c>
      <c r="J98" s="19" t="n">
        <f aca="false">SUMIFS(Orders!$L:$L,Orders!$D:$D,$A98,Orders!$F:$F,"&gt;="&amp;J$4,Orders!$F:$F,"&lt;"&amp;EDATE(J$4,1))</f>
        <v>40</v>
      </c>
      <c r="K98" s="19" t="n">
        <f aca="false">SUMIFS(Orders!$L:$L,Orders!$D:$D,$A98,Orders!$F:$F,"&gt;="&amp;K$4,Orders!$F:$F,"&lt;"&amp;EDATE(K$4,1))</f>
        <v>0</v>
      </c>
      <c r="L98" s="19" t="n">
        <f aca="false">SUMIFS(Orders!$L:$L,Orders!$D:$D,$A98,Orders!$F:$F,"&gt;="&amp;L$4,Orders!$F:$F,"&lt;"&amp;EDATE(L$4,1))</f>
        <v>0</v>
      </c>
      <c r="M98" s="19" t="n">
        <f aca="false">N98-J98-K98-L98</f>
        <v>0</v>
      </c>
      <c r="N98" s="19" t="n">
        <f aca="false">SUMIFS(Orders!$L:$L,Orders!$D:$D,$A98)</f>
        <v>40</v>
      </c>
      <c r="O98" s="19" t="n">
        <f aca="false">H98+N98</f>
        <v>40</v>
      </c>
      <c r="P98" s="30"/>
      <c r="Q98" s="19" t="n">
        <f aca="false">IF(SUMIFS('Sales History'!$E:$E,'Sales History'!$G:$G,$A98)&gt;0,SUMIFS('Sales History'!$E:$E,'Sales History'!$G:$G,$A98)/Settings!$B$4,N(P98))</f>
        <v>0</v>
      </c>
      <c r="R98" s="18" t="str">
        <f aca="false">IF(SUMIFS('Sales History'!$E:$E,'Sales History'!$G:$G,$A98)&gt;0,"6-month history",IF(N(P98)&gt;0,"Current sheet","No sales data"))</f>
        <v>No sales data</v>
      </c>
      <c r="S98" s="31" t="str">
        <f aca="false">IF(Q98&gt;0,H98/Q98,"")</f>
        <v/>
      </c>
      <c r="T98" s="30" t="n">
        <v>10</v>
      </c>
      <c r="U98" s="19" t="n">
        <f aca="false">IF(T98="","",MAX(0,T98-O98))</f>
        <v>0</v>
      </c>
      <c r="V98" s="32" t="str">
        <f aca="false">IF(D98="End of range","END OF RANGE",IF(T98="","NO BUFFER SET",IF(H98&lt;=0,IF(O98&lt;T98,"OUT - REORDER","OUT - ON ORDER"),IF(O98&lt;T98,"REORDER",IF(H98&lt;T98,"LOW - ON ORDER",IF(AND(S98&lt;&gt;"",N(S98)&gt;Settings!$B$5),"SLOW MOVER","OK"))))))</f>
        <v>OUT - ON ORDER</v>
      </c>
      <c r="W98" s="18"/>
      <c r="X98" s="33" t="n">
        <f aca="false">IF(OR(D98="End of range",U98=""),0,IF(N(U98)&gt;0,U98+ROW()/1000000,0))</f>
        <v>0</v>
      </c>
    </row>
    <row r="99" customFormat="false" ht="14.25" hidden="false" customHeight="true" outlineLevel="0" collapsed="false">
      <c r="A99" s="18" t="s">
        <v>268</v>
      </c>
      <c r="B99" s="18" t="s">
        <v>269</v>
      </c>
      <c r="C99" s="18" t="s">
        <v>79</v>
      </c>
      <c r="D99" s="18" t="s">
        <v>181</v>
      </c>
      <c r="E99" s="19" t="n">
        <f aca="false">SUMIFS('CPT Count'!$D:$D,'CPT Count'!$A:$A,$A99)-SUMIFS('Weekly Sales'!$F:$F,'Weekly Sales'!$H:$H,$A99,'Weekly Sales'!$I:$I,"CPT")+SUMIFS(Transfers!$F:$F,Transfers!$C:$C,$A99,Transfers!$J:$J,"CPT")-SUMIFS(Transfers!$F:$F,Transfers!$C:$C,$A99,Transfers!$I:$I,"CPT",Transfers!$H:$H,"&lt;&gt;Y")+SUMIFS('Stock Received'!$I:$I,'Stock Received'!$E:$E,$A99,'Stock Received'!$L:$L,"CPT")</f>
        <v>24</v>
      </c>
      <c r="F99" s="19" t="n">
        <f aca="false">SUMIFS('JHB Count'!$E:$E,'JHB Count'!$F:$F,$A99)-SUMIFS('Weekly Sales'!$F:$F,'Weekly Sales'!$H:$H,$A99,'Weekly Sales'!$I:$I,"JHB")+SUMIFS(Transfers!$F:$F,Transfers!$C:$C,$A99,Transfers!$J:$J,"JHB")-SUMIFS(Transfers!$F:$F,Transfers!$C:$C,$A99,Transfers!$I:$I,"JHB",Transfers!$H:$H,"&lt;&gt;Y")+SUMIFS('Stock Received'!$I:$I,'Stock Received'!$E:$E,$A99,'Stock Received'!$L:$L,"JHB")</f>
        <v>0</v>
      </c>
      <c r="G99" s="19" t="n">
        <f aca="false">SUMIFS('DBN Count'!$D:$D,'DBN Count'!$E:$E,$A99)-SUMIFS('Weekly Sales'!$F:$F,'Weekly Sales'!$H:$H,$A99,'Weekly Sales'!$I:$I,"DBN")+SUMIFS(Transfers!$F:$F,Transfers!$C:$C,$A99,Transfers!$J:$J,"DBN")-SUMIFS(Transfers!$F:$F,Transfers!$C:$C,$A99,Transfers!$I:$I,"DBN",Transfers!$H:$H,"&lt;&gt;Y")+SUMIFS('Stock Received'!$I:$I,'Stock Received'!$E:$E,$A99,'Stock Received'!$L:$L,"DBN")</f>
        <v>0</v>
      </c>
      <c r="H99" s="29" t="n">
        <f aca="false">E99+F99+G99</f>
        <v>24</v>
      </c>
      <c r="I99" s="19" t="n">
        <f aca="false">SUMIFS('Weekly Sales'!$F:$F,'Weekly Sales'!$H:$H,$A99)</f>
        <v>0</v>
      </c>
      <c r="J99" s="19" t="n">
        <f aca="false">SUMIFS(Orders!$L:$L,Orders!$D:$D,$A99,Orders!$F:$F,"&gt;="&amp;J$4,Orders!$F:$F,"&lt;"&amp;EDATE(J$4,1))</f>
        <v>0</v>
      </c>
      <c r="K99" s="19" t="n">
        <f aca="false">SUMIFS(Orders!$L:$L,Orders!$D:$D,$A99,Orders!$F:$F,"&gt;="&amp;K$4,Orders!$F:$F,"&lt;"&amp;EDATE(K$4,1))</f>
        <v>0</v>
      </c>
      <c r="L99" s="19" t="n">
        <f aca="false">SUMIFS(Orders!$L:$L,Orders!$D:$D,$A99,Orders!$F:$F,"&gt;="&amp;L$4,Orders!$F:$F,"&lt;"&amp;EDATE(L$4,1))</f>
        <v>0</v>
      </c>
      <c r="M99" s="19" t="n">
        <f aca="false">N99-J99-K99-L99</f>
        <v>0</v>
      </c>
      <c r="N99" s="19" t="n">
        <f aca="false">SUMIFS(Orders!$L:$L,Orders!$D:$D,$A99)</f>
        <v>0</v>
      </c>
      <c r="O99" s="19" t="n">
        <f aca="false">H99+N99</f>
        <v>24</v>
      </c>
      <c r="P99" s="30" t="n">
        <v>35</v>
      </c>
      <c r="Q99" s="19" t="n">
        <f aca="false">IF(SUMIFS('Sales History'!$E:$E,'Sales History'!$G:$G,$A99)&gt;0,SUMIFS('Sales History'!$E:$E,'Sales History'!$G:$G,$A99)/Settings!$B$4,N(P99))</f>
        <v>35</v>
      </c>
      <c r="R99" s="18" t="str">
        <f aca="false">IF(SUMIFS('Sales History'!$E:$E,'Sales History'!$G:$G,$A99)&gt;0,"6-month history",IF(N(P99)&gt;0,"Current sheet","No sales data"))</f>
        <v>Current sheet</v>
      </c>
      <c r="S99" s="31" t="n">
        <f aca="false">IF(Q99&gt;0,H99/Q99,"")</f>
        <v>0.685714285714286</v>
      </c>
      <c r="T99" s="30"/>
      <c r="U99" s="19" t="str">
        <f aca="false">IF(T99="","",MAX(0,T99-O99))</f>
        <v/>
      </c>
      <c r="V99" s="32" t="str">
        <f aca="false">IF(D99="End of range","END OF RANGE",IF(T99="","NO BUFFER SET",IF(H99&lt;=0,IF(O99&lt;T99,"OUT - REORDER","OUT - ON ORDER"),IF(O99&lt;T99,"REORDER",IF(H99&lt;T99,"LOW - ON ORDER",IF(AND(S99&lt;&gt;"",N(S99)&gt;Settings!$B$5),"SLOW MOVER","OK"))))))</f>
        <v>END OF RANGE</v>
      </c>
      <c r="W99" s="18"/>
      <c r="X99" s="33" t="n">
        <f aca="false">IF(OR(D99="End of range",U99=""),0,IF(N(U99)&gt;0,U99+ROW()/1000000,0))</f>
        <v>0</v>
      </c>
    </row>
    <row r="100" customFormat="false" ht="14.25" hidden="false" customHeight="true" outlineLevel="0" collapsed="false">
      <c r="A100" s="18" t="s">
        <v>270</v>
      </c>
      <c r="B100" s="18" t="s">
        <v>271</v>
      </c>
      <c r="C100" s="18" t="s">
        <v>79</v>
      </c>
      <c r="D100" s="18" t="s">
        <v>181</v>
      </c>
      <c r="E100" s="19" t="n">
        <f aca="false">SUMIFS('CPT Count'!$D:$D,'CPT Count'!$A:$A,$A100)-SUMIFS('Weekly Sales'!$F:$F,'Weekly Sales'!$H:$H,$A100,'Weekly Sales'!$I:$I,"CPT")+SUMIFS(Transfers!$F:$F,Transfers!$C:$C,$A100,Transfers!$J:$J,"CPT")-SUMIFS(Transfers!$F:$F,Transfers!$C:$C,$A100,Transfers!$I:$I,"CPT",Transfers!$H:$H,"&lt;&gt;Y")+SUMIFS('Stock Received'!$I:$I,'Stock Received'!$E:$E,$A100,'Stock Received'!$L:$L,"CPT")</f>
        <v>240</v>
      </c>
      <c r="F100" s="19" t="n">
        <f aca="false">SUMIFS('JHB Count'!$E:$E,'JHB Count'!$F:$F,$A100)-SUMIFS('Weekly Sales'!$F:$F,'Weekly Sales'!$H:$H,$A100,'Weekly Sales'!$I:$I,"JHB")+SUMIFS(Transfers!$F:$F,Transfers!$C:$C,$A100,Transfers!$J:$J,"JHB")-SUMIFS(Transfers!$F:$F,Transfers!$C:$C,$A100,Transfers!$I:$I,"JHB",Transfers!$H:$H,"&lt;&gt;Y")+SUMIFS('Stock Received'!$I:$I,'Stock Received'!$E:$E,$A100,'Stock Received'!$L:$L,"JHB")</f>
        <v>52</v>
      </c>
      <c r="G100" s="19" t="n">
        <f aca="false">SUMIFS('DBN Count'!$D:$D,'DBN Count'!$E:$E,$A100)-SUMIFS('Weekly Sales'!$F:$F,'Weekly Sales'!$H:$H,$A100,'Weekly Sales'!$I:$I,"DBN")+SUMIFS(Transfers!$F:$F,Transfers!$C:$C,$A100,Transfers!$J:$J,"DBN")-SUMIFS(Transfers!$F:$F,Transfers!$C:$C,$A100,Transfers!$I:$I,"DBN",Transfers!$H:$H,"&lt;&gt;Y")+SUMIFS('Stock Received'!$I:$I,'Stock Received'!$E:$E,$A100,'Stock Received'!$L:$L,"DBN")</f>
        <v>0</v>
      </c>
      <c r="H100" s="29" t="n">
        <f aca="false">E100+F100+G100</f>
        <v>292</v>
      </c>
      <c r="I100" s="19" t="n">
        <f aca="false">SUMIFS('Weekly Sales'!$F:$F,'Weekly Sales'!$H:$H,$A100)</f>
        <v>0</v>
      </c>
      <c r="J100" s="19" t="n">
        <f aca="false">SUMIFS(Orders!$L:$L,Orders!$D:$D,$A100,Orders!$F:$F,"&gt;="&amp;J$4,Orders!$F:$F,"&lt;"&amp;EDATE(J$4,1))</f>
        <v>0</v>
      </c>
      <c r="K100" s="19" t="n">
        <f aca="false">SUMIFS(Orders!$L:$L,Orders!$D:$D,$A100,Orders!$F:$F,"&gt;="&amp;K$4,Orders!$F:$F,"&lt;"&amp;EDATE(K$4,1))</f>
        <v>0</v>
      </c>
      <c r="L100" s="19" t="n">
        <f aca="false">SUMIFS(Orders!$L:$L,Orders!$D:$D,$A100,Orders!$F:$F,"&gt;="&amp;L$4,Orders!$F:$F,"&lt;"&amp;EDATE(L$4,1))</f>
        <v>0</v>
      </c>
      <c r="M100" s="19" t="n">
        <f aca="false">N100-J100-K100-L100</f>
        <v>0</v>
      </c>
      <c r="N100" s="19" t="n">
        <f aca="false">SUMIFS(Orders!$L:$L,Orders!$D:$D,$A100)</f>
        <v>0</v>
      </c>
      <c r="O100" s="19" t="n">
        <f aca="false">H100+N100</f>
        <v>292</v>
      </c>
      <c r="P100" s="30" t="n">
        <v>10</v>
      </c>
      <c r="Q100" s="19" t="n">
        <f aca="false">IF(SUMIFS('Sales History'!$E:$E,'Sales History'!$G:$G,$A100)&gt;0,SUMIFS('Sales History'!$E:$E,'Sales History'!$G:$G,$A100)/Settings!$B$4,N(P100))</f>
        <v>10</v>
      </c>
      <c r="R100" s="18" t="str">
        <f aca="false">IF(SUMIFS('Sales History'!$E:$E,'Sales History'!$G:$G,$A100)&gt;0,"6-month history",IF(N(P100)&gt;0,"Current sheet","No sales data"))</f>
        <v>Current sheet</v>
      </c>
      <c r="S100" s="31" t="n">
        <f aca="false">IF(Q100&gt;0,H100/Q100,"")</f>
        <v>29.2</v>
      </c>
      <c r="T100" s="30"/>
      <c r="U100" s="19" t="str">
        <f aca="false">IF(T100="","",MAX(0,T100-O100))</f>
        <v/>
      </c>
      <c r="V100" s="32" t="str">
        <f aca="false">IF(D100="End of range","END OF RANGE",IF(T100="","NO BUFFER SET",IF(H100&lt;=0,IF(O100&lt;T100,"OUT - REORDER","OUT - ON ORDER"),IF(O100&lt;T100,"REORDER",IF(H100&lt;T100,"LOW - ON ORDER",IF(AND(S100&lt;&gt;"",N(S100)&gt;Settings!$B$5),"SLOW MOVER","OK"))))))</f>
        <v>END OF RANGE</v>
      </c>
      <c r="W100" s="18"/>
      <c r="X100" s="33" t="n">
        <f aca="false">IF(OR(D100="End of range",U100=""),0,IF(N(U100)&gt;0,U100+ROW()/1000000,0))</f>
        <v>0</v>
      </c>
    </row>
    <row r="101" customFormat="false" ht="14.25" hidden="false" customHeight="true" outlineLevel="0" collapsed="false">
      <c r="A101" s="18" t="s">
        <v>272</v>
      </c>
      <c r="B101" s="18" t="s">
        <v>273</v>
      </c>
      <c r="C101" s="18" t="s">
        <v>79</v>
      </c>
      <c r="D101" s="18" t="s">
        <v>181</v>
      </c>
      <c r="E101" s="19" t="n">
        <f aca="false">SUMIFS('CPT Count'!$D:$D,'CPT Count'!$A:$A,$A101)-SUMIFS('Weekly Sales'!$F:$F,'Weekly Sales'!$H:$H,$A101,'Weekly Sales'!$I:$I,"CPT")+SUMIFS(Transfers!$F:$F,Transfers!$C:$C,$A101,Transfers!$J:$J,"CPT")-SUMIFS(Transfers!$F:$F,Transfers!$C:$C,$A101,Transfers!$I:$I,"CPT",Transfers!$H:$H,"&lt;&gt;Y")+SUMIFS('Stock Received'!$I:$I,'Stock Received'!$E:$E,$A101,'Stock Received'!$L:$L,"CPT")</f>
        <v>160</v>
      </c>
      <c r="F101" s="19" t="n">
        <f aca="false">SUMIFS('JHB Count'!$E:$E,'JHB Count'!$F:$F,$A101)-SUMIFS('Weekly Sales'!$F:$F,'Weekly Sales'!$H:$H,$A101,'Weekly Sales'!$I:$I,"JHB")+SUMIFS(Transfers!$F:$F,Transfers!$C:$C,$A101,Transfers!$J:$J,"JHB")-SUMIFS(Transfers!$F:$F,Transfers!$C:$C,$A101,Transfers!$I:$I,"JHB",Transfers!$H:$H,"&lt;&gt;Y")+SUMIFS('Stock Received'!$I:$I,'Stock Received'!$E:$E,$A101,'Stock Received'!$L:$L,"JHB")</f>
        <v>32</v>
      </c>
      <c r="G101" s="19" t="n">
        <f aca="false">SUMIFS('DBN Count'!$D:$D,'DBN Count'!$E:$E,$A101)-SUMIFS('Weekly Sales'!$F:$F,'Weekly Sales'!$H:$H,$A101,'Weekly Sales'!$I:$I,"DBN")+SUMIFS(Transfers!$F:$F,Transfers!$C:$C,$A101,Transfers!$J:$J,"DBN")-SUMIFS(Transfers!$F:$F,Transfers!$C:$C,$A101,Transfers!$I:$I,"DBN",Transfers!$H:$H,"&lt;&gt;Y")+SUMIFS('Stock Received'!$I:$I,'Stock Received'!$E:$E,$A101,'Stock Received'!$L:$L,"DBN")</f>
        <v>27.47</v>
      </c>
      <c r="H101" s="29" t="n">
        <f aca="false">E101+F101+G101</f>
        <v>219.47</v>
      </c>
      <c r="I101" s="19" t="n">
        <f aca="false">SUMIFS('Weekly Sales'!$F:$F,'Weekly Sales'!$H:$H,$A101)</f>
        <v>0</v>
      </c>
      <c r="J101" s="19" t="n">
        <f aca="false">SUMIFS(Orders!$L:$L,Orders!$D:$D,$A101,Orders!$F:$F,"&gt;="&amp;J$4,Orders!$F:$F,"&lt;"&amp;EDATE(J$4,1))</f>
        <v>0</v>
      </c>
      <c r="K101" s="19" t="n">
        <f aca="false">SUMIFS(Orders!$L:$L,Orders!$D:$D,$A101,Orders!$F:$F,"&gt;="&amp;K$4,Orders!$F:$F,"&lt;"&amp;EDATE(K$4,1))</f>
        <v>0</v>
      </c>
      <c r="L101" s="19" t="n">
        <f aca="false">SUMIFS(Orders!$L:$L,Orders!$D:$D,$A101,Orders!$F:$F,"&gt;="&amp;L$4,Orders!$F:$F,"&lt;"&amp;EDATE(L$4,1))</f>
        <v>0</v>
      </c>
      <c r="M101" s="19" t="n">
        <f aca="false">N101-J101-K101-L101</f>
        <v>0</v>
      </c>
      <c r="N101" s="19" t="n">
        <f aca="false">SUMIFS(Orders!$L:$L,Orders!$D:$D,$A101)</f>
        <v>0</v>
      </c>
      <c r="O101" s="19" t="n">
        <f aca="false">H101+N101</f>
        <v>219.47</v>
      </c>
      <c r="P101" s="30" t="n">
        <v>35</v>
      </c>
      <c r="Q101" s="19" t="n">
        <f aca="false">IF(SUMIFS('Sales History'!$E:$E,'Sales History'!$G:$G,$A101)&gt;0,SUMIFS('Sales History'!$E:$E,'Sales History'!$G:$G,$A101)/Settings!$B$4,N(P101))</f>
        <v>35</v>
      </c>
      <c r="R101" s="18" t="str">
        <f aca="false">IF(SUMIFS('Sales History'!$E:$E,'Sales History'!$G:$G,$A101)&gt;0,"6-month history",IF(N(P101)&gt;0,"Current sheet","No sales data"))</f>
        <v>Current sheet</v>
      </c>
      <c r="S101" s="31" t="n">
        <f aca="false">IF(Q101&gt;0,H101/Q101,"")</f>
        <v>6.27057142857143</v>
      </c>
      <c r="T101" s="30"/>
      <c r="U101" s="19" t="str">
        <f aca="false">IF(T101="","",MAX(0,T101-O101))</f>
        <v/>
      </c>
      <c r="V101" s="32" t="str">
        <f aca="false">IF(D101="End of range","END OF RANGE",IF(T101="","NO BUFFER SET",IF(H101&lt;=0,IF(O101&lt;T101,"OUT - REORDER","OUT - ON ORDER"),IF(O101&lt;T101,"REORDER",IF(H101&lt;T101,"LOW - ON ORDER",IF(AND(S101&lt;&gt;"",N(S101)&gt;Settings!$B$5),"SLOW MOVER","OK"))))))</f>
        <v>END OF RANGE</v>
      </c>
      <c r="W101" s="18"/>
      <c r="X101" s="33" t="n">
        <f aca="false">IF(OR(D101="End of range",U101=""),0,IF(N(U101)&gt;0,U101+ROW()/1000000,0))</f>
        <v>0</v>
      </c>
    </row>
    <row r="102" customFormat="false" ht="14.25" hidden="false" customHeight="true" outlineLevel="0" collapsed="false">
      <c r="A102" s="18" t="s">
        <v>274</v>
      </c>
      <c r="B102" s="18" t="s">
        <v>275</v>
      </c>
      <c r="C102" s="18" t="s">
        <v>79</v>
      </c>
      <c r="D102" s="18" t="s">
        <v>181</v>
      </c>
      <c r="E102" s="19" t="n">
        <f aca="false">SUMIFS('CPT Count'!$D:$D,'CPT Count'!$A:$A,$A102)-SUMIFS('Weekly Sales'!$F:$F,'Weekly Sales'!$H:$H,$A102,'Weekly Sales'!$I:$I,"CPT")+SUMIFS(Transfers!$F:$F,Transfers!$C:$C,$A102,Transfers!$J:$J,"CPT")-SUMIFS(Transfers!$F:$F,Transfers!$C:$C,$A102,Transfers!$I:$I,"CPT",Transfers!$H:$H,"&lt;&gt;Y")+SUMIFS('Stock Received'!$I:$I,'Stock Received'!$E:$E,$A102,'Stock Received'!$L:$L,"CPT")</f>
        <v>4</v>
      </c>
      <c r="F102" s="19" t="n">
        <f aca="false">SUMIFS('JHB Count'!$E:$E,'JHB Count'!$F:$F,$A102)-SUMIFS('Weekly Sales'!$F:$F,'Weekly Sales'!$H:$H,$A102,'Weekly Sales'!$I:$I,"JHB")+SUMIFS(Transfers!$F:$F,Transfers!$C:$C,$A102,Transfers!$J:$J,"JHB")-SUMIFS(Transfers!$F:$F,Transfers!$C:$C,$A102,Transfers!$I:$I,"JHB",Transfers!$H:$H,"&lt;&gt;Y")+SUMIFS('Stock Received'!$I:$I,'Stock Received'!$E:$E,$A102,'Stock Received'!$L:$L,"JHB")</f>
        <v>4</v>
      </c>
      <c r="G102" s="19" t="n">
        <f aca="false">SUMIFS('DBN Count'!$D:$D,'DBN Count'!$E:$E,$A102)-SUMIFS('Weekly Sales'!$F:$F,'Weekly Sales'!$H:$H,$A102,'Weekly Sales'!$I:$I,"DBN")+SUMIFS(Transfers!$F:$F,Transfers!$C:$C,$A102,Transfers!$J:$J,"DBN")-SUMIFS(Transfers!$F:$F,Transfers!$C:$C,$A102,Transfers!$I:$I,"DBN",Transfers!$H:$H,"&lt;&gt;Y")+SUMIFS('Stock Received'!$I:$I,'Stock Received'!$E:$E,$A102,'Stock Received'!$L:$L,"DBN")</f>
        <v>0</v>
      </c>
      <c r="H102" s="29" t="n">
        <f aca="false">E102+F102+G102</f>
        <v>8</v>
      </c>
      <c r="I102" s="19" t="n">
        <f aca="false">SUMIFS('Weekly Sales'!$F:$F,'Weekly Sales'!$H:$H,$A102)</f>
        <v>0</v>
      </c>
      <c r="J102" s="19" t="n">
        <f aca="false">SUMIFS(Orders!$L:$L,Orders!$D:$D,$A102,Orders!$F:$F,"&gt;="&amp;J$4,Orders!$F:$F,"&lt;"&amp;EDATE(J$4,1))</f>
        <v>300</v>
      </c>
      <c r="K102" s="19" t="n">
        <f aca="false">SUMIFS(Orders!$L:$L,Orders!$D:$D,$A102,Orders!$F:$F,"&gt;="&amp;K$4,Orders!$F:$F,"&lt;"&amp;EDATE(K$4,1))</f>
        <v>0</v>
      </c>
      <c r="L102" s="19" t="n">
        <f aca="false">SUMIFS(Orders!$L:$L,Orders!$D:$D,$A102,Orders!$F:$F,"&gt;="&amp;L$4,Orders!$F:$F,"&lt;"&amp;EDATE(L$4,1))</f>
        <v>0</v>
      </c>
      <c r="M102" s="19" t="n">
        <f aca="false">N102-J102-K102-L102</f>
        <v>0</v>
      </c>
      <c r="N102" s="19" t="n">
        <f aca="false">SUMIFS(Orders!$L:$L,Orders!$D:$D,$A102)</f>
        <v>300</v>
      </c>
      <c r="O102" s="19" t="n">
        <f aca="false">H102+N102</f>
        <v>308</v>
      </c>
      <c r="P102" s="30" t="n">
        <v>130</v>
      </c>
      <c r="Q102" s="19" t="n">
        <f aca="false">IF(SUMIFS('Sales History'!$E:$E,'Sales History'!$G:$G,$A102)&gt;0,SUMIFS('Sales History'!$E:$E,'Sales History'!$G:$G,$A102)/Settings!$B$4,N(P102))</f>
        <v>130</v>
      </c>
      <c r="R102" s="18" t="str">
        <f aca="false">IF(SUMIFS('Sales History'!$E:$E,'Sales History'!$G:$G,$A102)&gt;0,"6-month history",IF(N(P102)&gt;0,"Current sheet","No sales data"))</f>
        <v>Current sheet</v>
      </c>
      <c r="S102" s="31" t="n">
        <f aca="false">IF(Q102&gt;0,H102/Q102,"")</f>
        <v>0.0615384615384615</v>
      </c>
      <c r="T102" s="30"/>
      <c r="U102" s="19" t="str">
        <f aca="false">IF(T102="","",MAX(0,T102-O102))</f>
        <v/>
      </c>
      <c r="V102" s="32" t="str">
        <f aca="false">IF(D102="End of range","END OF RANGE",IF(T102="","NO BUFFER SET",IF(H102&lt;=0,IF(O102&lt;T102,"OUT - REORDER","OUT - ON ORDER"),IF(O102&lt;T102,"REORDER",IF(H102&lt;T102,"LOW - ON ORDER",IF(AND(S102&lt;&gt;"",N(S102)&gt;Settings!$B$5),"SLOW MOVER","OK"))))))</f>
        <v>END OF RANGE</v>
      </c>
      <c r="W102" s="18"/>
      <c r="X102" s="33" t="n">
        <f aca="false">IF(OR(D102="End of range",U102=""),0,IF(N(U102)&gt;0,U102+ROW()/1000000,0))</f>
        <v>0</v>
      </c>
    </row>
    <row r="103" customFormat="false" ht="14.25" hidden="false" customHeight="true" outlineLevel="0" collapsed="false">
      <c r="A103" s="18" t="s">
        <v>276</v>
      </c>
      <c r="B103" s="18" t="s">
        <v>277</v>
      </c>
      <c r="C103" s="18" t="s">
        <v>79</v>
      </c>
      <c r="D103" s="18" t="s">
        <v>181</v>
      </c>
      <c r="E103" s="19" t="n">
        <f aca="false">SUMIFS('CPT Count'!$D:$D,'CPT Count'!$A:$A,$A103)-SUMIFS('Weekly Sales'!$F:$F,'Weekly Sales'!$H:$H,$A103,'Weekly Sales'!$I:$I,"CPT")+SUMIFS(Transfers!$F:$F,Transfers!$C:$C,$A103,Transfers!$J:$J,"CPT")-SUMIFS(Transfers!$F:$F,Transfers!$C:$C,$A103,Transfers!$I:$I,"CPT",Transfers!$H:$H,"&lt;&gt;Y")+SUMIFS('Stock Received'!$I:$I,'Stock Received'!$E:$E,$A103,'Stock Received'!$L:$L,"CPT")</f>
        <v>68</v>
      </c>
      <c r="F103" s="19" t="n">
        <f aca="false">SUMIFS('JHB Count'!$E:$E,'JHB Count'!$F:$F,$A103)-SUMIFS('Weekly Sales'!$F:$F,'Weekly Sales'!$H:$H,$A103,'Weekly Sales'!$I:$I,"JHB")+SUMIFS(Transfers!$F:$F,Transfers!$C:$C,$A103,Transfers!$J:$J,"JHB")-SUMIFS(Transfers!$F:$F,Transfers!$C:$C,$A103,Transfers!$I:$I,"JHB",Transfers!$H:$H,"&lt;&gt;Y")+SUMIFS('Stock Received'!$I:$I,'Stock Received'!$E:$E,$A103,'Stock Received'!$L:$L,"JHB")</f>
        <v>68</v>
      </c>
      <c r="G103" s="19" t="n">
        <f aca="false">SUMIFS('DBN Count'!$D:$D,'DBN Count'!$E:$E,$A103)-SUMIFS('Weekly Sales'!$F:$F,'Weekly Sales'!$H:$H,$A103,'Weekly Sales'!$I:$I,"DBN")+SUMIFS(Transfers!$F:$F,Transfers!$C:$C,$A103,Transfers!$J:$J,"DBN")-SUMIFS(Transfers!$F:$F,Transfers!$C:$C,$A103,Transfers!$I:$I,"DBN",Transfers!$H:$H,"&lt;&gt;Y")+SUMIFS('Stock Received'!$I:$I,'Stock Received'!$E:$E,$A103,'Stock Received'!$L:$L,"DBN")</f>
        <v>0</v>
      </c>
      <c r="H103" s="29" t="n">
        <f aca="false">E103+F103+G103</f>
        <v>136</v>
      </c>
      <c r="I103" s="19" t="n">
        <f aca="false">SUMIFS('Weekly Sales'!$F:$F,'Weekly Sales'!$H:$H,$A103)</f>
        <v>0</v>
      </c>
      <c r="J103" s="19" t="n">
        <f aca="false">SUMIFS(Orders!$L:$L,Orders!$D:$D,$A103,Orders!$F:$F,"&gt;="&amp;J$4,Orders!$F:$F,"&lt;"&amp;EDATE(J$4,1))</f>
        <v>0</v>
      </c>
      <c r="K103" s="19" t="n">
        <f aca="false">SUMIFS(Orders!$L:$L,Orders!$D:$D,$A103,Orders!$F:$F,"&gt;="&amp;K$4,Orders!$F:$F,"&lt;"&amp;EDATE(K$4,1))</f>
        <v>0</v>
      </c>
      <c r="L103" s="19" t="n">
        <f aca="false">SUMIFS(Orders!$L:$L,Orders!$D:$D,$A103,Orders!$F:$F,"&gt;="&amp;L$4,Orders!$F:$F,"&lt;"&amp;EDATE(L$4,1))</f>
        <v>0</v>
      </c>
      <c r="M103" s="19" t="n">
        <f aca="false">N103-J103-K103-L103</f>
        <v>0</v>
      </c>
      <c r="N103" s="19" t="n">
        <f aca="false">SUMIFS(Orders!$L:$L,Orders!$D:$D,$A103)</f>
        <v>0</v>
      </c>
      <c r="O103" s="19" t="n">
        <f aca="false">H103+N103</f>
        <v>136</v>
      </c>
      <c r="P103" s="30" t="n">
        <v>55</v>
      </c>
      <c r="Q103" s="19" t="n">
        <f aca="false">IF(SUMIFS('Sales History'!$E:$E,'Sales History'!$G:$G,$A103)&gt;0,SUMIFS('Sales History'!$E:$E,'Sales History'!$G:$G,$A103)/Settings!$B$4,N(P103))</f>
        <v>55</v>
      </c>
      <c r="R103" s="18" t="str">
        <f aca="false">IF(SUMIFS('Sales History'!$E:$E,'Sales History'!$G:$G,$A103)&gt;0,"6-month history",IF(N(P103)&gt;0,"Current sheet","No sales data"))</f>
        <v>Current sheet</v>
      </c>
      <c r="S103" s="31" t="n">
        <f aca="false">IF(Q103&gt;0,H103/Q103,"")</f>
        <v>2.47272727272727</v>
      </c>
      <c r="T103" s="30"/>
      <c r="U103" s="19" t="str">
        <f aca="false">IF(T103="","",MAX(0,T103-O103))</f>
        <v/>
      </c>
      <c r="V103" s="32" t="str">
        <f aca="false">IF(D103="End of range","END OF RANGE",IF(T103="","NO BUFFER SET",IF(H103&lt;=0,IF(O103&lt;T103,"OUT - REORDER","OUT - ON ORDER"),IF(O103&lt;T103,"REORDER",IF(H103&lt;T103,"LOW - ON ORDER",IF(AND(S103&lt;&gt;"",N(S103)&gt;Settings!$B$5),"SLOW MOVER","OK"))))))</f>
        <v>END OF RANGE</v>
      </c>
      <c r="W103" s="18"/>
      <c r="X103" s="33" t="n">
        <f aca="false">IF(OR(D103="End of range",U103=""),0,IF(N(U103)&gt;0,U103+ROW()/1000000,0))</f>
        <v>0</v>
      </c>
    </row>
    <row r="104" customFormat="false" ht="14.25" hidden="false" customHeight="true" outlineLevel="0" collapsed="false">
      <c r="A104" s="18" t="s">
        <v>278</v>
      </c>
      <c r="B104" s="18" t="s">
        <v>279</v>
      </c>
      <c r="C104" s="18" t="s">
        <v>79</v>
      </c>
      <c r="D104" s="18" t="s">
        <v>181</v>
      </c>
      <c r="E104" s="19" t="n">
        <f aca="false">SUMIFS('CPT Count'!$D:$D,'CPT Count'!$A:$A,$A104)-SUMIFS('Weekly Sales'!$F:$F,'Weekly Sales'!$H:$H,$A104,'Weekly Sales'!$I:$I,"CPT")+SUMIFS(Transfers!$F:$F,Transfers!$C:$C,$A104,Transfers!$J:$J,"CPT")-SUMIFS(Transfers!$F:$F,Transfers!$C:$C,$A104,Transfers!$I:$I,"CPT",Transfers!$H:$H,"&lt;&gt;Y")+SUMIFS('Stock Received'!$I:$I,'Stock Received'!$E:$E,$A104,'Stock Received'!$L:$L,"CPT")</f>
        <v>53.03</v>
      </c>
      <c r="F104" s="19" t="n">
        <f aca="false">SUMIFS('JHB Count'!$E:$E,'JHB Count'!$F:$F,$A104)-SUMIFS('Weekly Sales'!$F:$F,'Weekly Sales'!$H:$H,$A104,'Weekly Sales'!$I:$I,"JHB")+SUMIFS(Transfers!$F:$F,Transfers!$C:$C,$A104,Transfers!$J:$J,"JHB")-SUMIFS(Transfers!$F:$F,Transfers!$C:$C,$A104,Transfers!$I:$I,"JHB",Transfers!$H:$H,"&lt;&gt;Y")+SUMIFS('Stock Received'!$I:$I,'Stock Received'!$E:$E,$A104,'Stock Received'!$L:$L,"JHB")</f>
        <v>8</v>
      </c>
      <c r="G104" s="19" t="n">
        <f aca="false">SUMIFS('DBN Count'!$D:$D,'DBN Count'!$E:$E,$A104)-SUMIFS('Weekly Sales'!$F:$F,'Weekly Sales'!$H:$H,$A104,'Weekly Sales'!$I:$I,"DBN")+SUMIFS(Transfers!$F:$F,Transfers!$C:$C,$A104,Transfers!$J:$J,"DBN")-SUMIFS(Transfers!$F:$F,Transfers!$C:$C,$A104,Transfers!$I:$I,"DBN",Transfers!$H:$H,"&lt;&gt;Y")+SUMIFS('Stock Received'!$I:$I,'Stock Received'!$E:$E,$A104,'Stock Received'!$L:$L,"DBN")</f>
        <v>0</v>
      </c>
      <c r="H104" s="29" t="n">
        <f aca="false">E104+F104+G104</f>
        <v>61.03</v>
      </c>
      <c r="I104" s="19" t="n">
        <f aca="false">SUMIFS('Weekly Sales'!$F:$F,'Weekly Sales'!$H:$H,$A104)</f>
        <v>0</v>
      </c>
      <c r="J104" s="19" t="n">
        <f aca="false">SUMIFS(Orders!$L:$L,Orders!$D:$D,$A104,Orders!$F:$F,"&gt;="&amp;J$4,Orders!$F:$F,"&lt;"&amp;EDATE(J$4,1))</f>
        <v>0</v>
      </c>
      <c r="K104" s="19" t="n">
        <f aca="false">SUMIFS(Orders!$L:$L,Orders!$D:$D,$A104,Orders!$F:$F,"&gt;="&amp;K$4,Orders!$F:$F,"&lt;"&amp;EDATE(K$4,1))</f>
        <v>0</v>
      </c>
      <c r="L104" s="19" t="n">
        <f aca="false">SUMIFS(Orders!$L:$L,Orders!$D:$D,$A104,Orders!$F:$F,"&gt;="&amp;L$4,Orders!$F:$F,"&lt;"&amp;EDATE(L$4,1))</f>
        <v>0</v>
      </c>
      <c r="M104" s="19" t="n">
        <f aca="false">N104-J104-K104-L104</f>
        <v>0</v>
      </c>
      <c r="N104" s="19" t="n">
        <f aca="false">SUMIFS(Orders!$L:$L,Orders!$D:$D,$A104)</f>
        <v>0</v>
      </c>
      <c r="O104" s="19" t="n">
        <f aca="false">H104+N104</f>
        <v>61.03</v>
      </c>
      <c r="P104" s="30" t="n">
        <v>20</v>
      </c>
      <c r="Q104" s="19" t="n">
        <f aca="false">IF(SUMIFS('Sales History'!$E:$E,'Sales History'!$G:$G,$A104)&gt;0,SUMIFS('Sales History'!$E:$E,'Sales History'!$G:$G,$A104)/Settings!$B$4,N(P104))</f>
        <v>20</v>
      </c>
      <c r="R104" s="18" t="str">
        <f aca="false">IF(SUMIFS('Sales History'!$E:$E,'Sales History'!$G:$G,$A104)&gt;0,"6-month history",IF(N(P104)&gt;0,"Current sheet","No sales data"))</f>
        <v>Current sheet</v>
      </c>
      <c r="S104" s="31" t="n">
        <f aca="false">IF(Q104&gt;0,H104/Q104,"")</f>
        <v>3.0515</v>
      </c>
      <c r="T104" s="30"/>
      <c r="U104" s="19" t="str">
        <f aca="false">IF(T104="","",MAX(0,T104-O104))</f>
        <v/>
      </c>
      <c r="V104" s="32" t="str">
        <f aca="false">IF(D104="End of range","END OF RANGE",IF(T104="","NO BUFFER SET",IF(H104&lt;=0,IF(O104&lt;T104,"OUT - REORDER","OUT - ON ORDER"),IF(O104&lt;T104,"REORDER",IF(H104&lt;T104,"LOW - ON ORDER",IF(AND(S104&lt;&gt;"",N(S104)&gt;Settings!$B$5),"SLOW MOVER","OK"))))))</f>
        <v>END OF RANGE</v>
      </c>
      <c r="W104" s="18"/>
      <c r="X104" s="33" t="n">
        <f aca="false">IF(OR(D104="End of range",U104=""),0,IF(N(U104)&gt;0,U104+ROW()/1000000,0))</f>
        <v>0</v>
      </c>
    </row>
    <row r="105" customFormat="false" ht="14.25" hidden="false" customHeight="true" outlineLevel="0" collapsed="false">
      <c r="A105" s="18" t="s">
        <v>280</v>
      </c>
      <c r="B105" s="18" t="s">
        <v>281</v>
      </c>
      <c r="C105" s="18" t="s">
        <v>79</v>
      </c>
      <c r="D105" s="18" t="s">
        <v>181</v>
      </c>
      <c r="E105" s="19" t="n">
        <f aca="false">SUMIFS('CPT Count'!$D:$D,'CPT Count'!$A:$A,$A105)-SUMIFS('Weekly Sales'!$F:$F,'Weekly Sales'!$H:$H,$A105,'Weekly Sales'!$I:$I,"CPT")+SUMIFS(Transfers!$F:$F,Transfers!$C:$C,$A105,Transfers!$J:$J,"CPT")-SUMIFS(Transfers!$F:$F,Transfers!$C:$C,$A105,Transfers!$I:$I,"CPT",Transfers!$H:$H,"&lt;&gt;Y")+SUMIFS('Stock Received'!$I:$I,'Stock Received'!$E:$E,$A105,'Stock Received'!$L:$L,"CPT")</f>
        <v>127.3</v>
      </c>
      <c r="F105" s="19" t="n">
        <f aca="false">SUMIFS('JHB Count'!$E:$E,'JHB Count'!$F:$F,$A105)-SUMIFS('Weekly Sales'!$F:$F,'Weekly Sales'!$H:$H,$A105,'Weekly Sales'!$I:$I,"JHB")+SUMIFS(Transfers!$F:$F,Transfers!$C:$C,$A105,Transfers!$J:$J,"JHB")-SUMIFS(Transfers!$F:$F,Transfers!$C:$C,$A105,Transfers!$I:$I,"JHB",Transfers!$H:$H,"&lt;&gt;Y")+SUMIFS('Stock Received'!$I:$I,'Stock Received'!$E:$E,$A105,'Stock Received'!$L:$L,"JHB")</f>
        <v>31.28</v>
      </c>
      <c r="G105" s="19" t="n">
        <f aca="false">SUMIFS('DBN Count'!$D:$D,'DBN Count'!$E:$E,$A105)-SUMIFS('Weekly Sales'!$F:$F,'Weekly Sales'!$H:$H,$A105,'Weekly Sales'!$I:$I,"DBN")+SUMIFS(Transfers!$F:$F,Transfers!$C:$C,$A105,Transfers!$J:$J,"DBN")-SUMIFS(Transfers!$F:$F,Transfers!$C:$C,$A105,Transfers!$I:$I,"DBN",Transfers!$H:$H,"&lt;&gt;Y")+SUMIFS('Stock Received'!$I:$I,'Stock Received'!$E:$E,$A105,'Stock Received'!$L:$L,"DBN")</f>
        <v>12.8</v>
      </c>
      <c r="H105" s="29" t="n">
        <f aca="false">E105+F105+G105</f>
        <v>171.38</v>
      </c>
      <c r="I105" s="19" t="n">
        <f aca="false">SUMIFS('Weekly Sales'!$F:$F,'Weekly Sales'!$H:$H,$A105)</f>
        <v>17.42</v>
      </c>
      <c r="J105" s="19" t="n">
        <f aca="false">SUMIFS(Orders!$L:$L,Orders!$D:$D,$A105,Orders!$F:$F,"&gt;="&amp;J$4,Orders!$F:$F,"&lt;"&amp;EDATE(J$4,1))</f>
        <v>0</v>
      </c>
      <c r="K105" s="19" t="n">
        <f aca="false">SUMIFS(Orders!$L:$L,Orders!$D:$D,$A105,Orders!$F:$F,"&gt;="&amp;K$4,Orders!$F:$F,"&lt;"&amp;EDATE(K$4,1))</f>
        <v>0</v>
      </c>
      <c r="L105" s="19" t="n">
        <f aca="false">SUMIFS(Orders!$L:$L,Orders!$D:$D,$A105,Orders!$F:$F,"&gt;="&amp;L$4,Orders!$F:$F,"&lt;"&amp;EDATE(L$4,1))</f>
        <v>0</v>
      </c>
      <c r="M105" s="19" t="n">
        <f aca="false">N105-J105-K105-L105</f>
        <v>0</v>
      </c>
      <c r="N105" s="19" t="n">
        <f aca="false">SUMIFS(Orders!$L:$L,Orders!$D:$D,$A105)</f>
        <v>0</v>
      </c>
      <c r="O105" s="19" t="n">
        <f aca="false">H105+N105</f>
        <v>171.38</v>
      </c>
      <c r="P105" s="30" t="n">
        <v>30</v>
      </c>
      <c r="Q105" s="19" t="n">
        <f aca="false">IF(SUMIFS('Sales History'!$E:$E,'Sales History'!$G:$G,$A105)&gt;0,SUMIFS('Sales History'!$E:$E,'Sales History'!$G:$G,$A105)/Settings!$B$4,N(P105))</f>
        <v>30</v>
      </c>
      <c r="R105" s="18" t="str">
        <f aca="false">IF(SUMIFS('Sales History'!$E:$E,'Sales History'!$G:$G,$A105)&gt;0,"6-month history",IF(N(P105)&gt;0,"Current sheet","No sales data"))</f>
        <v>Current sheet</v>
      </c>
      <c r="S105" s="31" t="n">
        <f aca="false">IF(Q105&gt;0,H105/Q105,"")</f>
        <v>5.71266666666667</v>
      </c>
      <c r="T105" s="30"/>
      <c r="U105" s="19" t="str">
        <f aca="false">IF(T105="","",MAX(0,T105-O105))</f>
        <v/>
      </c>
      <c r="V105" s="32" t="str">
        <f aca="false">IF(D105="End of range","END OF RANGE",IF(T105="","NO BUFFER SET",IF(H105&lt;=0,IF(O105&lt;T105,"OUT - REORDER","OUT - ON ORDER"),IF(O105&lt;T105,"REORDER",IF(H105&lt;T105,"LOW - ON ORDER",IF(AND(S105&lt;&gt;"",N(S105)&gt;Settings!$B$5),"SLOW MOVER","OK"))))))</f>
        <v>END OF RANGE</v>
      </c>
      <c r="W105" s="18"/>
      <c r="X105" s="33" t="n">
        <f aca="false">IF(OR(D105="End of range",U105=""),0,IF(N(U105)&gt;0,U105+ROW()/1000000,0))</f>
        <v>0</v>
      </c>
    </row>
    <row r="106" customFormat="false" ht="14.25" hidden="false" customHeight="true" outlineLevel="0" collapsed="false">
      <c r="A106" s="18" t="s">
        <v>282</v>
      </c>
      <c r="B106" s="18" t="s">
        <v>283</v>
      </c>
      <c r="C106" s="18" t="s">
        <v>79</v>
      </c>
      <c r="D106" s="18" t="s">
        <v>181</v>
      </c>
      <c r="E106" s="19" t="n">
        <f aca="false">SUMIFS('CPT Count'!$D:$D,'CPT Count'!$A:$A,$A106)-SUMIFS('Weekly Sales'!$F:$F,'Weekly Sales'!$H:$H,$A106,'Weekly Sales'!$I:$I,"CPT")+SUMIFS(Transfers!$F:$F,Transfers!$C:$C,$A106,Transfers!$J:$J,"CPT")-SUMIFS(Transfers!$F:$F,Transfers!$C:$C,$A106,Transfers!$I:$I,"CPT",Transfers!$H:$H,"&lt;&gt;Y")+SUMIFS('Stock Received'!$I:$I,'Stock Received'!$E:$E,$A106,'Stock Received'!$L:$L,"CPT")</f>
        <v>48.02</v>
      </c>
      <c r="F106" s="19" t="n">
        <f aca="false">SUMIFS('JHB Count'!$E:$E,'JHB Count'!$F:$F,$A106)-SUMIFS('Weekly Sales'!$F:$F,'Weekly Sales'!$H:$H,$A106,'Weekly Sales'!$I:$I,"JHB")+SUMIFS(Transfers!$F:$F,Transfers!$C:$C,$A106,Transfers!$J:$J,"JHB")-SUMIFS(Transfers!$F:$F,Transfers!$C:$C,$A106,Transfers!$I:$I,"JHB",Transfers!$H:$H,"&lt;&gt;Y")+SUMIFS('Stock Received'!$I:$I,'Stock Received'!$E:$E,$A106,'Stock Received'!$L:$L,"JHB")</f>
        <v>24</v>
      </c>
      <c r="G106" s="19" t="n">
        <f aca="false">SUMIFS('DBN Count'!$D:$D,'DBN Count'!$E:$E,$A106)-SUMIFS('Weekly Sales'!$F:$F,'Weekly Sales'!$H:$H,$A106,'Weekly Sales'!$I:$I,"DBN")+SUMIFS(Transfers!$F:$F,Transfers!$C:$C,$A106,Transfers!$J:$J,"DBN")-SUMIFS(Transfers!$F:$F,Transfers!$C:$C,$A106,Transfers!$I:$I,"DBN",Transfers!$H:$H,"&lt;&gt;Y")+SUMIFS('Stock Received'!$I:$I,'Stock Received'!$E:$E,$A106,'Stock Received'!$L:$L,"DBN")</f>
        <v>0</v>
      </c>
      <c r="H106" s="29" t="n">
        <f aca="false">E106+F106+G106</f>
        <v>72.02</v>
      </c>
      <c r="I106" s="19" t="n">
        <f aca="false">SUMIFS('Weekly Sales'!$F:$F,'Weekly Sales'!$H:$H,$A106)</f>
        <v>3.98</v>
      </c>
      <c r="J106" s="19" t="n">
        <f aca="false">SUMIFS(Orders!$L:$L,Orders!$D:$D,$A106,Orders!$F:$F,"&gt;="&amp;J$4,Orders!$F:$F,"&lt;"&amp;EDATE(J$4,1))</f>
        <v>0</v>
      </c>
      <c r="K106" s="19" t="n">
        <f aca="false">SUMIFS(Orders!$L:$L,Orders!$D:$D,$A106,Orders!$F:$F,"&gt;="&amp;K$4,Orders!$F:$F,"&lt;"&amp;EDATE(K$4,1))</f>
        <v>0</v>
      </c>
      <c r="L106" s="19" t="n">
        <f aca="false">SUMIFS(Orders!$L:$L,Orders!$D:$D,$A106,Orders!$F:$F,"&gt;="&amp;L$4,Orders!$F:$F,"&lt;"&amp;EDATE(L$4,1))</f>
        <v>0</v>
      </c>
      <c r="M106" s="19" t="n">
        <f aca="false">N106-J106-K106-L106</f>
        <v>0</v>
      </c>
      <c r="N106" s="19" t="n">
        <f aca="false">SUMIFS(Orders!$L:$L,Orders!$D:$D,$A106)</f>
        <v>0</v>
      </c>
      <c r="O106" s="19" t="n">
        <f aca="false">H106+N106</f>
        <v>72.02</v>
      </c>
      <c r="P106" s="30" t="n">
        <v>40</v>
      </c>
      <c r="Q106" s="19" t="n">
        <f aca="false">IF(SUMIFS('Sales History'!$E:$E,'Sales History'!$G:$G,$A106)&gt;0,SUMIFS('Sales History'!$E:$E,'Sales History'!$G:$G,$A106)/Settings!$B$4,N(P106))</f>
        <v>40</v>
      </c>
      <c r="R106" s="18" t="str">
        <f aca="false">IF(SUMIFS('Sales History'!$E:$E,'Sales History'!$G:$G,$A106)&gt;0,"6-month history",IF(N(P106)&gt;0,"Current sheet","No sales data"))</f>
        <v>Current sheet</v>
      </c>
      <c r="S106" s="31" t="n">
        <f aca="false">IF(Q106&gt;0,H106/Q106,"")</f>
        <v>1.8005</v>
      </c>
      <c r="T106" s="30"/>
      <c r="U106" s="19" t="str">
        <f aca="false">IF(T106="","",MAX(0,T106-O106))</f>
        <v/>
      </c>
      <c r="V106" s="32" t="str">
        <f aca="false">IF(D106="End of range","END OF RANGE",IF(T106="","NO BUFFER SET",IF(H106&lt;=0,IF(O106&lt;T106,"OUT - REORDER","OUT - ON ORDER"),IF(O106&lt;T106,"REORDER",IF(H106&lt;T106,"LOW - ON ORDER",IF(AND(S106&lt;&gt;"",N(S106)&gt;Settings!$B$5),"SLOW MOVER","OK"))))))</f>
        <v>END OF RANGE</v>
      </c>
      <c r="W106" s="18"/>
      <c r="X106" s="33" t="n">
        <f aca="false">IF(OR(D106="End of range",U106=""),0,IF(N(U106)&gt;0,U106+ROW()/1000000,0))</f>
        <v>0</v>
      </c>
    </row>
    <row r="107" customFormat="false" ht="14.25" hidden="false" customHeight="true" outlineLevel="0" collapsed="false">
      <c r="A107" s="18" t="s">
        <v>284</v>
      </c>
      <c r="B107" s="18" t="s">
        <v>285</v>
      </c>
      <c r="C107" s="18" t="s">
        <v>79</v>
      </c>
      <c r="D107" s="18" t="s">
        <v>181</v>
      </c>
      <c r="E107" s="19" t="n">
        <f aca="false">SUMIFS('CPT Count'!$D:$D,'CPT Count'!$A:$A,$A107)-SUMIFS('Weekly Sales'!$F:$F,'Weekly Sales'!$H:$H,$A107,'Weekly Sales'!$I:$I,"CPT")+SUMIFS(Transfers!$F:$F,Transfers!$C:$C,$A107,Transfers!$J:$J,"CPT")-SUMIFS(Transfers!$F:$F,Transfers!$C:$C,$A107,Transfers!$I:$I,"CPT",Transfers!$H:$H,"&lt;&gt;Y")+SUMIFS('Stock Received'!$I:$I,'Stock Received'!$E:$E,$A107,'Stock Received'!$L:$L,"CPT")</f>
        <v>208</v>
      </c>
      <c r="F107" s="19" t="n">
        <f aca="false">SUMIFS('JHB Count'!$E:$E,'JHB Count'!$F:$F,$A107)-SUMIFS('Weekly Sales'!$F:$F,'Weekly Sales'!$H:$H,$A107,'Weekly Sales'!$I:$I,"JHB")+SUMIFS(Transfers!$F:$F,Transfers!$C:$C,$A107,Transfers!$J:$J,"JHB")-SUMIFS(Transfers!$F:$F,Transfers!$C:$C,$A107,Transfers!$I:$I,"JHB",Transfers!$H:$H,"&lt;&gt;Y")+SUMIFS('Stock Received'!$I:$I,'Stock Received'!$E:$E,$A107,'Stock Received'!$L:$L,"JHB")</f>
        <v>59.14</v>
      </c>
      <c r="G107" s="19" t="n">
        <f aca="false">SUMIFS('DBN Count'!$D:$D,'DBN Count'!$E:$E,$A107)-SUMIFS('Weekly Sales'!$F:$F,'Weekly Sales'!$H:$H,$A107,'Weekly Sales'!$I:$I,"DBN")+SUMIFS(Transfers!$F:$F,Transfers!$C:$C,$A107,Transfers!$J:$J,"DBN")-SUMIFS(Transfers!$F:$F,Transfers!$C:$C,$A107,Transfers!$I:$I,"DBN",Transfers!$H:$H,"&lt;&gt;Y")+SUMIFS('Stock Received'!$I:$I,'Stock Received'!$E:$E,$A107,'Stock Received'!$L:$L,"DBN")</f>
        <v>3.3</v>
      </c>
      <c r="H107" s="29" t="n">
        <f aca="false">E107+F107+G107</f>
        <v>270.44</v>
      </c>
      <c r="I107" s="19" t="n">
        <f aca="false">SUMIFS('Weekly Sales'!$F:$F,'Weekly Sales'!$H:$H,$A107)</f>
        <v>4.86</v>
      </c>
      <c r="J107" s="19" t="n">
        <f aca="false">SUMIFS(Orders!$L:$L,Orders!$D:$D,$A107,Orders!$F:$F,"&gt;="&amp;J$4,Orders!$F:$F,"&lt;"&amp;EDATE(J$4,1))</f>
        <v>0</v>
      </c>
      <c r="K107" s="19" t="n">
        <f aca="false">SUMIFS(Orders!$L:$L,Orders!$D:$D,$A107,Orders!$F:$F,"&gt;="&amp;K$4,Orders!$F:$F,"&lt;"&amp;EDATE(K$4,1))</f>
        <v>0</v>
      </c>
      <c r="L107" s="19" t="n">
        <f aca="false">SUMIFS(Orders!$L:$L,Orders!$D:$D,$A107,Orders!$F:$F,"&gt;="&amp;L$4,Orders!$F:$F,"&lt;"&amp;EDATE(L$4,1))</f>
        <v>0</v>
      </c>
      <c r="M107" s="19" t="n">
        <f aca="false">N107-J107-K107-L107</f>
        <v>0</v>
      </c>
      <c r="N107" s="19" t="n">
        <f aca="false">SUMIFS(Orders!$L:$L,Orders!$D:$D,$A107)</f>
        <v>0</v>
      </c>
      <c r="O107" s="19" t="n">
        <f aca="false">H107+N107</f>
        <v>270.44</v>
      </c>
      <c r="P107" s="30" t="n">
        <v>40</v>
      </c>
      <c r="Q107" s="19" t="n">
        <f aca="false">IF(SUMIFS('Sales History'!$E:$E,'Sales History'!$G:$G,$A107)&gt;0,SUMIFS('Sales History'!$E:$E,'Sales History'!$G:$G,$A107)/Settings!$B$4,N(P107))</f>
        <v>40</v>
      </c>
      <c r="R107" s="18" t="str">
        <f aca="false">IF(SUMIFS('Sales History'!$E:$E,'Sales History'!$G:$G,$A107)&gt;0,"6-month history",IF(N(P107)&gt;0,"Current sheet","No sales data"))</f>
        <v>Current sheet</v>
      </c>
      <c r="S107" s="31" t="n">
        <f aca="false">IF(Q107&gt;0,H107/Q107,"")</f>
        <v>6.761</v>
      </c>
      <c r="T107" s="30"/>
      <c r="U107" s="19" t="str">
        <f aca="false">IF(T107="","",MAX(0,T107-O107))</f>
        <v/>
      </c>
      <c r="V107" s="32" t="str">
        <f aca="false">IF(D107="End of range","END OF RANGE",IF(T107="","NO BUFFER SET",IF(H107&lt;=0,IF(O107&lt;T107,"OUT - REORDER","OUT - ON ORDER"),IF(O107&lt;T107,"REORDER",IF(H107&lt;T107,"LOW - ON ORDER",IF(AND(S107&lt;&gt;"",N(S107)&gt;Settings!$B$5),"SLOW MOVER","OK"))))))</f>
        <v>END OF RANGE</v>
      </c>
      <c r="W107" s="18"/>
      <c r="X107" s="33" t="n">
        <f aca="false">IF(OR(D107="End of range",U107=""),0,IF(N(U107)&gt;0,U107+ROW()/1000000,0))</f>
        <v>0</v>
      </c>
    </row>
    <row r="108" customFormat="false" ht="14.25" hidden="false" customHeight="true" outlineLevel="0" collapsed="false">
      <c r="A108" s="18" t="s">
        <v>286</v>
      </c>
      <c r="B108" s="18" t="s">
        <v>287</v>
      </c>
      <c r="C108" s="18" t="s">
        <v>79</v>
      </c>
      <c r="D108" s="18" t="s">
        <v>181</v>
      </c>
      <c r="E108" s="19" t="n">
        <f aca="false">SUMIFS('CPT Count'!$D:$D,'CPT Count'!$A:$A,$A108)-SUMIFS('Weekly Sales'!$F:$F,'Weekly Sales'!$H:$H,$A108,'Weekly Sales'!$I:$I,"CPT")+SUMIFS(Transfers!$F:$F,Transfers!$C:$C,$A108,Transfers!$J:$J,"CPT")-SUMIFS(Transfers!$F:$F,Transfers!$C:$C,$A108,Transfers!$I:$I,"CPT",Transfers!$H:$H,"&lt;&gt;Y")+SUMIFS('Stock Received'!$I:$I,'Stock Received'!$E:$E,$A108,'Stock Received'!$L:$L,"CPT")</f>
        <v>520</v>
      </c>
      <c r="F108" s="19" t="n">
        <f aca="false">SUMIFS('JHB Count'!$E:$E,'JHB Count'!$F:$F,$A108)-SUMIFS('Weekly Sales'!$F:$F,'Weekly Sales'!$H:$H,$A108,'Weekly Sales'!$I:$I,"JHB")+SUMIFS(Transfers!$F:$F,Transfers!$C:$C,$A108,Transfers!$J:$J,"JHB")-SUMIFS(Transfers!$F:$F,Transfers!$C:$C,$A108,Transfers!$I:$I,"JHB",Transfers!$H:$H,"&lt;&gt;Y")+SUMIFS('Stock Received'!$I:$I,'Stock Received'!$E:$E,$A108,'Stock Received'!$L:$L,"JHB")</f>
        <v>40.02</v>
      </c>
      <c r="G108" s="19" t="n">
        <f aca="false">SUMIFS('DBN Count'!$D:$D,'DBN Count'!$E:$E,$A108)-SUMIFS('Weekly Sales'!$F:$F,'Weekly Sales'!$H:$H,$A108,'Weekly Sales'!$I:$I,"DBN")+SUMIFS(Transfers!$F:$F,Transfers!$C:$C,$A108,Transfers!$J:$J,"DBN")-SUMIFS(Transfers!$F:$F,Transfers!$C:$C,$A108,Transfers!$I:$I,"DBN",Transfers!$H:$H,"&lt;&gt;Y")+SUMIFS('Stock Received'!$I:$I,'Stock Received'!$E:$E,$A108,'Stock Received'!$L:$L,"DBN")</f>
        <v>7.36</v>
      </c>
      <c r="H108" s="29" t="n">
        <f aca="false">E108+F108+G108</f>
        <v>567.38</v>
      </c>
      <c r="I108" s="19" t="n">
        <f aca="false">SUMIFS('Weekly Sales'!$F:$F,'Weekly Sales'!$H:$H,$A108)</f>
        <v>7.98</v>
      </c>
      <c r="J108" s="19" t="n">
        <f aca="false">SUMIFS(Orders!$L:$L,Orders!$D:$D,$A108,Orders!$F:$F,"&gt;="&amp;J$4,Orders!$F:$F,"&lt;"&amp;EDATE(J$4,1))</f>
        <v>0</v>
      </c>
      <c r="K108" s="19" t="n">
        <f aca="false">SUMIFS(Orders!$L:$L,Orders!$D:$D,$A108,Orders!$F:$F,"&gt;="&amp;K$4,Orders!$F:$F,"&lt;"&amp;EDATE(K$4,1))</f>
        <v>0</v>
      </c>
      <c r="L108" s="19" t="n">
        <f aca="false">SUMIFS(Orders!$L:$L,Orders!$D:$D,$A108,Orders!$F:$F,"&gt;="&amp;L$4,Orders!$F:$F,"&lt;"&amp;EDATE(L$4,1))</f>
        <v>0</v>
      </c>
      <c r="M108" s="19" t="n">
        <f aca="false">N108-J108-K108-L108</f>
        <v>0</v>
      </c>
      <c r="N108" s="19" t="n">
        <f aca="false">SUMIFS(Orders!$L:$L,Orders!$D:$D,$A108)</f>
        <v>0</v>
      </c>
      <c r="O108" s="19" t="n">
        <f aca="false">H108+N108</f>
        <v>567.38</v>
      </c>
      <c r="P108" s="30" t="n">
        <v>25</v>
      </c>
      <c r="Q108" s="19" t="n">
        <f aca="false">IF(SUMIFS('Sales History'!$E:$E,'Sales History'!$G:$G,$A108)&gt;0,SUMIFS('Sales History'!$E:$E,'Sales History'!$G:$G,$A108)/Settings!$B$4,N(P108))</f>
        <v>25</v>
      </c>
      <c r="R108" s="18" t="str">
        <f aca="false">IF(SUMIFS('Sales History'!$E:$E,'Sales History'!$G:$G,$A108)&gt;0,"6-month history",IF(N(P108)&gt;0,"Current sheet","No sales data"))</f>
        <v>Current sheet</v>
      </c>
      <c r="S108" s="31" t="n">
        <f aca="false">IF(Q108&gt;0,H108/Q108,"")</f>
        <v>22.6952</v>
      </c>
      <c r="T108" s="30"/>
      <c r="U108" s="19" t="str">
        <f aca="false">IF(T108="","",MAX(0,T108-O108))</f>
        <v/>
      </c>
      <c r="V108" s="32" t="str">
        <f aca="false">IF(D108="End of range","END OF RANGE",IF(T108="","NO BUFFER SET",IF(H108&lt;=0,IF(O108&lt;T108,"OUT - REORDER","OUT - ON ORDER"),IF(O108&lt;T108,"REORDER",IF(H108&lt;T108,"LOW - ON ORDER",IF(AND(S108&lt;&gt;"",N(S108)&gt;Settings!$B$5),"SLOW MOVER","OK"))))))</f>
        <v>END OF RANGE</v>
      </c>
      <c r="W108" s="18"/>
      <c r="X108" s="33" t="n">
        <f aca="false">IF(OR(D108="End of range",U108=""),0,IF(N(U108)&gt;0,U108+ROW()/1000000,0))</f>
        <v>0</v>
      </c>
    </row>
    <row r="109" customFormat="false" ht="14.25" hidden="false" customHeight="true" outlineLevel="0" collapsed="false">
      <c r="A109" s="18" t="s">
        <v>288</v>
      </c>
      <c r="B109" s="18" t="s">
        <v>289</v>
      </c>
      <c r="C109" s="18" t="s">
        <v>79</v>
      </c>
      <c r="D109" s="18" t="s">
        <v>181</v>
      </c>
      <c r="E109" s="19" t="n">
        <f aca="false">SUMIFS('CPT Count'!$D:$D,'CPT Count'!$A:$A,$A109)-SUMIFS('Weekly Sales'!$F:$F,'Weekly Sales'!$H:$H,$A109,'Weekly Sales'!$I:$I,"CPT")+SUMIFS(Transfers!$F:$F,Transfers!$C:$C,$A109,Transfers!$J:$J,"CPT")-SUMIFS(Transfers!$F:$F,Transfers!$C:$C,$A109,Transfers!$I:$I,"CPT",Transfers!$H:$H,"&lt;&gt;Y")+SUMIFS('Stock Received'!$I:$I,'Stock Received'!$E:$E,$A109,'Stock Received'!$L:$L,"CPT")</f>
        <v>168</v>
      </c>
      <c r="F109" s="19" t="n">
        <f aca="false">SUMIFS('JHB Count'!$E:$E,'JHB Count'!$F:$F,$A109)-SUMIFS('Weekly Sales'!$F:$F,'Weekly Sales'!$H:$H,$A109,'Weekly Sales'!$I:$I,"JHB")+SUMIFS(Transfers!$F:$F,Transfers!$C:$C,$A109,Transfers!$J:$J,"JHB")-SUMIFS(Transfers!$F:$F,Transfers!$C:$C,$A109,Transfers!$I:$I,"JHB",Transfers!$H:$H,"&lt;&gt;Y")+SUMIFS('Stock Received'!$I:$I,'Stock Received'!$E:$E,$A109,'Stock Received'!$L:$L,"JHB")</f>
        <v>35.57</v>
      </c>
      <c r="G109" s="19" t="n">
        <f aca="false">SUMIFS('DBN Count'!$D:$D,'DBN Count'!$E:$E,$A109)-SUMIFS('Weekly Sales'!$F:$F,'Weekly Sales'!$H:$H,$A109,'Weekly Sales'!$I:$I,"DBN")+SUMIFS(Transfers!$F:$F,Transfers!$C:$C,$A109,Transfers!$J:$J,"DBN")-SUMIFS(Transfers!$F:$F,Transfers!$C:$C,$A109,Transfers!$I:$I,"DBN",Transfers!$H:$H,"&lt;&gt;Y")+SUMIFS('Stock Received'!$I:$I,'Stock Received'!$E:$E,$A109,'Stock Received'!$L:$L,"DBN")</f>
        <v>4.74</v>
      </c>
      <c r="H109" s="29" t="n">
        <f aca="false">E109+F109+G109</f>
        <v>208.31</v>
      </c>
      <c r="I109" s="19" t="n">
        <f aca="false">SUMIFS('Weekly Sales'!$F:$F,'Weekly Sales'!$H:$H,$A109)</f>
        <v>4.43</v>
      </c>
      <c r="J109" s="19" t="n">
        <f aca="false">SUMIFS(Orders!$L:$L,Orders!$D:$D,$A109,Orders!$F:$F,"&gt;="&amp;J$4,Orders!$F:$F,"&lt;"&amp;EDATE(J$4,1))</f>
        <v>0</v>
      </c>
      <c r="K109" s="19" t="n">
        <f aca="false">SUMIFS(Orders!$L:$L,Orders!$D:$D,$A109,Orders!$F:$F,"&gt;="&amp;K$4,Orders!$F:$F,"&lt;"&amp;EDATE(K$4,1))</f>
        <v>0</v>
      </c>
      <c r="L109" s="19" t="n">
        <f aca="false">SUMIFS(Orders!$L:$L,Orders!$D:$D,$A109,Orders!$F:$F,"&gt;="&amp;L$4,Orders!$F:$F,"&lt;"&amp;EDATE(L$4,1))</f>
        <v>0</v>
      </c>
      <c r="M109" s="19" t="n">
        <f aca="false">N109-J109-K109-L109</f>
        <v>0</v>
      </c>
      <c r="N109" s="19" t="n">
        <f aca="false">SUMIFS(Orders!$L:$L,Orders!$D:$D,$A109)</f>
        <v>0</v>
      </c>
      <c r="O109" s="19" t="n">
        <f aca="false">H109+N109</f>
        <v>208.31</v>
      </c>
      <c r="P109" s="30" t="n">
        <v>30</v>
      </c>
      <c r="Q109" s="19" t="n">
        <f aca="false">IF(SUMIFS('Sales History'!$E:$E,'Sales History'!$G:$G,$A109)&gt;0,SUMIFS('Sales History'!$E:$E,'Sales History'!$G:$G,$A109)/Settings!$B$4,N(P109))</f>
        <v>30</v>
      </c>
      <c r="R109" s="18" t="str">
        <f aca="false">IF(SUMIFS('Sales History'!$E:$E,'Sales History'!$G:$G,$A109)&gt;0,"6-month history",IF(N(P109)&gt;0,"Current sheet","No sales data"))</f>
        <v>Current sheet</v>
      </c>
      <c r="S109" s="31" t="n">
        <f aca="false">IF(Q109&gt;0,H109/Q109,"")</f>
        <v>6.94366666666667</v>
      </c>
      <c r="T109" s="30"/>
      <c r="U109" s="19" t="str">
        <f aca="false">IF(T109="","",MAX(0,T109-O109))</f>
        <v/>
      </c>
      <c r="V109" s="32" t="str">
        <f aca="false">IF(D109="End of range","END OF RANGE",IF(T109="","NO BUFFER SET",IF(H109&lt;=0,IF(O109&lt;T109,"OUT - REORDER","OUT - ON ORDER"),IF(O109&lt;T109,"REORDER",IF(H109&lt;T109,"LOW - ON ORDER",IF(AND(S109&lt;&gt;"",N(S109)&gt;Settings!$B$5),"SLOW MOVER","OK"))))))</f>
        <v>END OF RANGE</v>
      </c>
      <c r="W109" s="18"/>
      <c r="X109" s="33" t="n">
        <f aca="false">IF(OR(D109="End of range",U109=""),0,IF(N(U109)&gt;0,U109+ROW()/1000000,0))</f>
        <v>0</v>
      </c>
    </row>
    <row r="110" customFormat="false" ht="14.25" hidden="false" customHeight="true" outlineLevel="0" collapsed="false">
      <c r="A110" s="18" t="s">
        <v>290</v>
      </c>
      <c r="B110" s="18" t="s">
        <v>291</v>
      </c>
      <c r="C110" s="18" t="s">
        <v>79</v>
      </c>
      <c r="D110" s="18" t="s">
        <v>181</v>
      </c>
      <c r="E110" s="19" t="n">
        <f aca="false">SUMIFS('CPT Count'!$D:$D,'CPT Count'!$A:$A,$A110)-SUMIFS('Weekly Sales'!$F:$F,'Weekly Sales'!$H:$H,$A110,'Weekly Sales'!$I:$I,"CPT")+SUMIFS(Transfers!$F:$F,Transfers!$C:$C,$A110,Transfers!$J:$J,"CPT")-SUMIFS(Transfers!$F:$F,Transfers!$C:$C,$A110,Transfers!$I:$I,"CPT",Transfers!$H:$H,"&lt;&gt;Y")+SUMIFS('Stock Received'!$I:$I,'Stock Received'!$E:$E,$A110,'Stock Received'!$L:$L,"CPT")</f>
        <v>124</v>
      </c>
      <c r="F110" s="19" t="n">
        <f aca="false">SUMIFS('JHB Count'!$E:$E,'JHB Count'!$F:$F,$A110)-SUMIFS('Weekly Sales'!$F:$F,'Weekly Sales'!$H:$H,$A110,'Weekly Sales'!$I:$I,"JHB")+SUMIFS(Transfers!$F:$F,Transfers!$C:$C,$A110,Transfers!$J:$J,"JHB")-SUMIFS(Transfers!$F:$F,Transfers!$C:$C,$A110,Transfers!$I:$I,"JHB",Transfers!$H:$H,"&lt;&gt;Y")+SUMIFS('Stock Received'!$I:$I,'Stock Received'!$E:$E,$A110,'Stock Received'!$L:$L,"JHB")</f>
        <v>44</v>
      </c>
      <c r="G110" s="19" t="n">
        <f aca="false">SUMIFS('DBN Count'!$D:$D,'DBN Count'!$E:$E,$A110)-SUMIFS('Weekly Sales'!$F:$F,'Weekly Sales'!$H:$H,$A110,'Weekly Sales'!$I:$I,"DBN")+SUMIFS(Transfers!$F:$F,Transfers!$C:$C,$A110,Transfers!$J:$J,"DBN")-SUMIFS(Transfers!$F:$F,Transfers!$C:$C,$A110,Transfers!$I:$I,"DBN",Transfers!$H:$H,"&lt;&gt;Y")+SUMIFS('Stock Received'!$I:$I,'Stock Received'!$E:$E,$A110,'Stock Received'!$L:$L,"DBN")</f>
        <v>0</v>
      </c>
      <c r="H110" s="29" t="n">
        <f aca="false">E110+F110+G110</f>
        <v>168</v>
      </c>
      <c r="I110" s="19" t="n">
        <f aca="false">SUMIFS('Weekly Sales'!$F:$F,'Weekly Sales'!$H:$H,$A110)</f>
        <v>0</v>
      </c>
      <c r="J110" s="19" t="n">
        <f aca="false">SUMIFS(Orders!$L:$L,Orders!$D:$D,$A110,Orders!$F:$F,"&gt;="&amp;J$4,Orders!$F:$F,"&lt;"&amp;EDATE(J$4,1))</f>
        <v>0</v>
      </c>
      <c r="K110" s="19" t="n">
        <f aca="false">SUMIFS(Orders!$L:$L,Orders!$D:$D,$A110,Orders!$F:$F,"&gt;="&amp;K$4,Orders!$F:$F,"&lt;"&amp;EDATE(K$4,1))</f>
        <v>0</v>
      </c>
      <c r="L110" s="19" t="n">
        <f aca="false">SUMIFS(Orders!$L:$L,Orders!$D:$D,$A110,Orders!$F:$F,"&gt;="&amp;L$4,Orders!$F:$F,"&lt;"&amp;EDATE(L$4,1))</f>
        <v>0</v>
      </c>
      <c r="M110" s="19" t="n">
        <f aca="false">N110-J110-K110-L110</f>
        <v>0</v>
      </c>
      <c r="N110" s="19" t="n">
        <f aca="false">SUMIFS(Orders!$L:$L,Orders!$D:$D,$A110)</f>
        <v>0</v>
      </c>
      <c r="O110" s="19" t="n">
        <f aca="false">H110+N110</f>
        <v>168</v>
      </c>
      <c r="P110" s="30" t="n">
        <v>20</v>
      </c>
      <c r="Q110" s="19" t="n">
        <f aca="false">IF(SUMIFS('Sales History'!$E:$E,'Sales History'!$G:$G,$A110)&gt;0,SUMIFS('Sales History'!$E:$E,'Sales History'!$G:$G,$A110)/Settings!$B$4,N(P110))</f>
        <v>20</v>
      </c>
      <c r="R110" s="18" t="str">
        <f aca="false">IF(SUMIFS('Sales History'!$E:$E,'Sales History'!$G:$G,$A110)&gt;0,"6-month history",IF(N(P110)&gt;0,"Current sheet","No sales data"))</f>
        <v>Current sheet</v>
      </c>
      <c r="S110" s="31" t="n">
        <f aca="false">IF(Q110&gt;0,H110/Q110,"")</f>
        <v>8.4</v>
      </c>
      <c r="T110" s="30"/>
      <c r="U110" s="19" t="str">
        <f aca="false">IF(T110="","",MAX(0,T110-O110))</f>
        <v/>
      </c>
      <c r="V110" s="32" t="str">
        <f aca="false">IF(D110="End of range","END OF RANGE",IF(T110="","NO BUFFER SET",IF(H110&lt;=0,IF(O110&lt;T110,"OUT - REORDER","OUT - ON ORDER"),IF(O110&lt;T110,"REORDER",IF(H110&lt;T110,"LOW - ON ORDER",IF(AND(S110&lt;&gt;"",N(S110)&gt;Settings!$B$5),"SLOW MOVER","OK"))))))</f>
        <v>END OF RANGE</v>
      </c>
      <c r="W110" s="18"/>
      <c r="X110" s="33" t="n">
        <f aca="false">IF(OR(D110="End of range",U110=""),0,IF(N(U110)&gt;0,U110+ROW()/1000000,0))</f>
        <v>0</v>
      </c>
    </row>
    <row r="111" customFormat="false" ht="14.25" hidden="false" customHeight="true" outlineLevel="0" collapsed="false">
      <c r="A111" s="18" t="s">
        <v>292</v>
      </c>
      <c r="B111" s="18" t="s">
        <v>293</v>
      </c>
      <c r="C111" s="18" t="s">
        <v>79</v>
      </c>
      <c r="D111" s="18" t="s">
        <v>294</v>
      </c>
      <c r="E111" s="19" t="n">
        <f aca="false">SUMIFS('CPT Count'!$D:$D,'CPT Count'!$A:$A,$A111)-SUMIFS('Weekly Sales'!$F:$F,'Weekly Sales'!$H:$H,$A111,'Weekly Sales'!$I:$I,"CPT")+SUMIFS(Transfers!$F:$F,Transfers!$C:$C,$A111,Transfers!$J:$J,"CPT")-SUMIFS(Transfers!$F:$F,Transfers!$C:$C,$A111,Transfers!$I:$I,"CPT",Transfers!$H:$H,"&lt;&gt;Y")+SUMIFS('Stock Received'!$I:$I,'Stock Received'!$E:$E,$A111,'Stock Received'!$L:$L,"CPT")</f>
        <v>0</v>
      </c>
      <c r="F111" s="19" t="n">
        <f aca="false">SUMIFS('JHB Count'!$E:$E,'JHB Count'!$F:$F,$A111)-SUMIFS('Weekly Sales'!$F:$F,'Weekly Sales'!$H:$H,$A111,'Weekly Sales'!$I:$I,"JHB")+SUMIFS(Transfers!$F:$F,Transfers!$C:$C,$A111,Transfers!$J:$J,"JHB")-SUMIFS(Transfers!$F:$F,Transfers!$C:$C,$A111,Transfers!$I:$I,"JHB",Transfers!$H:$H,"&lt;&gt;Y")+SUMIFS('Stock Received'!$I:$I,'Stock Received'!$E:$E,$A111,'Stock Received'!$L:$L,"JHB")</f>
        <v>47.96</v>
      </c>
      <c r="G111" s="19" t="n">
        <f aca="false">SUMIFS('DBN Count'!$D:$D,'DBN Count'!$E:$E,$A111)-SUMIFS('Weekly Sales'!$F:$F,'Weekly Sales'!$H:$H,$A111,'Weekly Sales'!$I:$I,"DBN")+SUMIFS(Transfers!$F:$F,Transfers!$C:$C,$A111,Transfers!$J:$J,"DBN")-SUMIFS(Transfers!$F:$F,Transfers!$C:$C,$A111,Transfers!$I:$I,"DBN",Transfers!$H:$H,"&lt;&gt;Y")+SUMIFS('Stock Received'!$I:$I,'Stock Received'!$E:$E,$A111,'Stock Received'!$L:$L,"DBN")</f>
        <v>49.05</v>
      </c>
      <c r="H111" s="29" t="n">
        <f aca="false">E111+F111+G111</f>
        <v>97.01</v>
      </c>
      <c r="I111" s="19" t="n">
        <f aca="false">SUMIFS('Weekly Sales'!$F:$F,'Weekly Sales'!$H:$H,$A111)</f>
        <v>12.04</v>
      </c>
      <c r="J111" s="19" t="n">
        <f aca="false">SUMIFS(Orders!$L:$L,Orders!$D:$D,$A111,Orders!$F:$F,"&gt;="&amp;J$4,Orders!$F:$F,"&lt;"&amp;EDATE(J$4,1))</f>
        <v>0</v>
      </c>
      <c r="K111" s="19" t="n">
        <f aca="false">SUMIFS(Orders!$L:$L,Orders!$D:$D,$A111,Orders!$F:$F,"&gt;="&amp;K$4,Orders!$F:$F,"&lt;"&amp;EDATE(K$4,1))</f>
        <v>0</v>
      </c>
      <c r="L111" s="19" t="n">
        <f aca="false">SUMIFS(Orders!$L:$L,Orders!$D:$D,$A111,Orders!$F:$F,"&gt;="&amp;L$4,Orders!$F:$F,"&lt;"&amp;EDATE(L$4,1))</f>
        <v>0</v>
      </c>
      <c r="M111" s="19" t="n">
        <f aca="false">N111-J111-K111-L111</f>
        <v>0</v>
      </c>
      <c r="N111" s="19" t="n">
        <f aca="false">SUMIFS(Orders!$L:$L,Orders!$D:$D,$A111)</f>
        <v>0</v>
      </c>
      <c r="O111" s="19" t="n">
        <f aca="false">H111+N111</f>
        <v>97.01</v>
      </c>
      <c r="P111" s="30"/>
      <c r="Q111" s="19" t="n">
        <f aca="false">IF(SUMIFS('Sales History'!$E:$E,'Sales History'!$G:$G,$A111)&gt;0,SUMIFS('Sales History'!$E:$E,'Sales History'!$G:$G,$A111)/Settings!$B$4,N(P111))</f>
        <v>0</v>
      </c>
      <c r="R111" s="18" t="str">
        <f aca="false">IF(SUMIFS('Sales History'!$E:$E,'Sales History'!$G:$G,$A111)&gt;0,"6-month history",IF(N(P111)&gt;0,"Current sheet","No sales data"))</f>
        <v>No sales data</v>
      </c>
      <c r="S111" s="31" t="str">
        <f aca="false">IF(Q111&gt;0,H111/Q111,"")</f>
        <v/>
      </c>
      <c r="T111" s="30" t="n">
        <v>100</v>
      </c>
      <c r="U111" s="19" t="n">
        <f aca="false">IF(T111="","",MAX(0,T111-O111))</f>
        <v>2.99000000000001</v>
      </c>
      <c r="V111" s="32" t="str">
        <f aca="false">IF(D111="End of range","END OF RANGE",IF(T111="","NO BUFFER SET",IF(H111&lt;=0,IF(O111&lt;T111,"OUT - REORDER","OUT - ON ORDER"),IF(O111&lt;T111,"REORDER",IF(H111&lt;T111,"LOW - ON ORDER",IF(AND(S111&lt;&gt;"",N(S111)&gt;Settings!$B$5),"SLOW MOVER","OK"))))))</f>
        <v>REORDER</v>
      </c>
      <c r="W111" s="18" t="s">
        <v>295</v>
      </c>
      <c r="X111" s="33" t="n">
        <f aca="false">IF(OR(D111="End of range",U111=""),0,IF(N(U111)&gt;0,U111+ROW()/1000000,0))</f>
        <v>2.99011100000001</v>
      </c>
    </row>
    <row r="112" customFormat="false" ht="14.25" hidden="false" customHeight="true" outlineLevel="0" collapsed="false">
      <c r="A112" s="18" t="s">
        <v>296</v>
      </c>
      <c r="B112" s="18" t="s">
        <v>297</v>
      </c>
      <c r="C112" s="18" t="s">
        <v>79</v>
      </c>
      <c r="D112" s="18" t="s">
        <v>294</v>
      </c>
      <c r="E112" s="19" t="n">
        <f aca="false">SUMIFS('CPT Count'!$D:$D,'CPT Count'!$A:$A,$A112)-SUMIFS('Weekly Sales'!$F:$F,'Weekly Sales'!$H:$H,$A112,'Weekly Sales'!$I:$I,"CPT")+SUMIFS(Transfers!$F:$F,Transfers!$C:$C,$A112,Transfers!$J:$J,"CPT")-SUMIFS(Transfers!$F:$F,Transfers!$C:$C,$A112,Transfers!$I:$I,"CPT",Transfers!$H:$H,"&lt;&gt;Y")+SUMIFS('Stock Received'!$I:$I,'Stock Received'!$E:$E,$A112,'Stock Received'!$L:$L,"CPT")</f>
        <v>0</v>
      </c>
      <c r="F112" s="19" t="n">
        <f aca="false">SUMIFS('JHB Count'!$E:$E,'JHB Count'!$F:$F,$A112)-SUMIFS('Weekly Sales'!$F:$F,'Weekly Sales'!$H:$H,$A112,'Weekly Sales'!$I:$I,"JHB")+SUMIFS(Transfers!$F:$F,Transfers!$C:$C,$A112,Transfers!$J:$J,"JHB")-SUMIFS(Transfers!$F:$F,Transfers!$C:$C,$A112,Transfers!$I:$I,"JHB",Transfers!$H:$H,"&lt;&gt;Y")+SUMIFS('Stock Received'!$I:$I,'Stock Received'!$E:$E,$A112,'Stock Received'!$L:$L,"JHB")</f>
        <v>448</v>
      </c>
      <c r="G112" s="19" t="n">
        <f aca="false">SUMIFS('DBN Count'!$D:$D,'DBN Count'!$E:$E,$A112)-SUMIFS('Weekly Sales'!$F:$F,'Weekly Sales'!$H:$H,$A112,'Weekly Sales'!$I:$I,"DBN")+SUMIFS(Transfers!$F:$F,Transfers!$C:$C,$A112,Transfers!$J:$J,"DBN")-SUMIFS(Transfers!$F:$F,Transfers!$C:$C,$A112,Transfers!$I:$I,"DBN",Transfers!$H:$H,"&lt;&gt;Y")+SUMIFS('Stock Received'!$I:$I,'Stock Received'!$E:$E,$A112,'Stock Received'!$L:$L,"DBN")</f>
        <v>41.97</v>
      </c>
      <c r="H112" s="29" t="n">
        <f aca="false">E112+F112+G112</f>
        <v>489.97</v>
      </c>
      <c r="I112" s="19" t="n">
        <f aca="false">SUMIFS('Weekly Sales'!$F:$F,'Weekly Sales'!$H:$H,$A112)</f>
        <v>0</v>
      </c>
      <c r="J112" s="19" t="n">
        <f aca="false">SUMIFS(Orders!$L:$L,Orders!$D:$D,$A112,Orders!$F:$F,"&gt;="&amp;J$4,Orders!$F:$F,"&lt;"&amp;EDATE(J$4,1))</f>
        <v>0</v>
      </c>
      <c r="K112" s="19" t="n">
        <f aca="false">SUMIFS(Orders!$L:$L,Orders!$D:$D,$A112,Orders!$F:$F,"&gt;="&amp;K$4,Orders!$F:$F,"&lt;"&amp;EDATE(K$4,1))</f>
        <v>0</v>
      </c>
      <c r="L112" s="19" t="n">
        <f aca="false">SUMIFS(Orders!$L:$L,Orders!$D:$D,$A112,Orders!$F:$F,"&gt;="&amp;L$4,Orders!$F:$F,"&lt;"&amp;EDATE(L$4,1))</f>
        <v>0</v>
      </c>
      <c r="M112" s="19" t="n">
        <f aca="false">N112-J112-K112-L112</f>
        <v>0</v>
      </c>
      <c r="N112" s="19" t="n">
        <f aca="false">SUMIFS(Orders!$L:$L,Orders!$D:$D,$A112)</f>
        <v>0</v>
      </c>
      <c r="O112" s="19" t="n">
        <f aca="false">H112+N112</f>
        <v>489.97</v>
      </c>
      <c r="P112" s="30"/>
      <c r="Q112" s="19" t="n">
        <f aca="false">IF(SUMIFS('Sales History'!$E:$E,'Sales History'!$G:$G,$A112)&gt;0,SUMIFS('Sales History'!$E:$E,'Sales History'!$G:$G,$A112)/Settings!$B$4,N(P112))</f>
        <v>0</v>
      </c>
      <c r="R112" s="18" t="str">
        <f aca="false">IF(SUMIFS('Sales History'!$E:$E,'Sales History'!$G:$G,$A112)&gt;0,"6-month history",IF(N(P112)&gt;0,"Current sheet","No sales data"))</f>
        <v>No sales data</v>
      </c>
      <c r="S112" s="31" t="str">
        <f aca="false">IF(Q112&gt;0,H112/Q112,"")</f>
        <v/>
      </c>
      <c r="T112" s="30" t="n">
        <v>100</v>
      </c>
      <c r="U112" s="19" t="n">
        <f aca="false">IF(T112="","",MAX(0,T112-O112))</f>
        <v>0</v>
      </c>
      <c r="V112" s="32" t="str">
        <f aca="false">IF(D112="End of range","END OF RANGE",IF(T112="","NO BUFFER SET",IF(H112&lt;=0,IF(O112&lt;T112,"OUT - REORDER","OUT - ON ORDER"),IF(O112&lt;T112,"REORDER",IF(H112&lt;T112,"LOW - ON ORDER",IF(AND(S112&lt;&gt;"",N(S112)&gt;Settings!$B$5),"SLOW MOVER","OK"))))))</f>
        <v>OK</v>
      </c>
      <c r="W112" s="18" t="s">
        <v>295</v>
      </c>
      <c r="X112" s="33" t="n">
        <f aca="false">IF(OR(D112="End of range",U112=""),0,IF(N(U112)&gt;0,U112+ROW()/1000000,0))</f>
        <v>0</v>
      </c>
    </row>
    <row r="113" customFormat="false" ht="14.25" hidden="false" customHeight="true" outlineLevel="0" collapsed="false">
      <c r="A113" s="18" t="s">
        <v>298</v>
      </c>
      <c r="B113" s="18" t="s">
        <v>299</v>
      </c>
      <c r="C113" s="18" t="s">
        <v>79</v>
      </c>
      <c r="D113" s="18" t="s">
        <v>294</v>
      </c>
      <c r="E113" s="19" t="n">
        <f aca="false">SUMIFS('CPT Count'!$D:$D,'CPT Count'!$A:$A,$A113)-SUMIFS('Weekly Sales'!$F:$F,'Weekly Sales'!$H:$H,$A113,'Weekly Sales'!$I:$I,"CPT")+SUMIFS(Transfers!$F:$F,Transfers!$C:$C,$A113,Transfers!$J:$J,"CPT")-SUMIFS(Transfers!$F:$F,Transfers!$C:$C,$A113,Transfers!$I:$I,"CPT",Transfers!$H:$H,"&lt;&gt;Y")+SUMIFS('Stock Received'!$I:$I,'Stock Received'!$E:$E,$A113,'Stock Received'!$L:$L,"CPT")</f>
        <v>0</v>
      </c>
      <c r="F113" s="19" t="n">
        <f aca="false">SUMIFS('JHB Count'!$E:$E,'JHB Count'!$F:$F,$A113)-SUMIFS('Weekly Sales'!$F:$F,'Weekly Sales'!$H:$H,$A113,'Weekly Sales'!$I:$I,"JHB")+SUMIFS(Transfers!$F:$F,Transfers!$C:$C,$A113,Transfers!$J:$J,"JHB")-SUMIFS(Transfers!$F:$F,Transfers!$C:$C,$A113,Transfers!$I:$I,"JHB",Transfers!$H:$H,"&lt;&gt;Y")+SUMIFS('Stock Received'!$I:$I,'Stock Received'!$E:$E,$A113,'Stock Received'!$L:$L,"JHB")</f>
        <v>216.57</v>
      </c>
      <c r="G113" s="19" t="n">
        <f aca="false">SUMIFS('DBN Count'!$D:$D,'DBN Count'!$E:$E,$A113)-SUMIFS('Weekly Sales'!$F:$F,'Weekly Sales'!$H:$H,$A113,'Weekly Sales'!$I:$I,"DBN")+SUMIFS(Transfers!$F:$F,Transfers!$C:$C,$A113,Transfers!$J:$J,"DBN")-SUMIFS(Transfers!$F:$F,Transfers!$C:$C,$A113,Transfers!$I:$I,"DBN",Transfers!$H:$H,"&lt;&gt;Y")+SUMIFS('Stock Received'!$I:$I,'Stock Received'!$E:$E,$A113,'Stock Received'!$L:$L,"DBN")</f>
        <v>76.56</v>
      </c>
      <c r="H113" s="29" t="n">
        <f aca="false">E113+F113+G113</f>
        <v>293.13</v>
      </c>
      <c r="I113" s="19" t="n">
        <f aca="false">SUMIFS('Weekly Sales'!$F:$F,'Weekly Sales'!$H:$H,$A113)</f>
        <v>11.43</v>
      </c>
      <c r="J113" s="19" t="n">
        <f aca="false">SUMIFS(Orders!$L:$L,Orders!$D:$D,$A113,Orders!$F:$F,"&gt;="&amp;J$4,Orders!$F:$F,"&lt;"&amp;EDATE(J$4,1))</f>
        <v>0</v>
      </c>
      <c r="K113" s="19" t="n">
        <f aca="false">SUMIFS(Orders!$L:$L,Orders!$D:$D,$A113,Orders!$F:$F,"&gt;="&amp;K$4,Orders!$F:$F,"&lt;"&amp;EDATE(K$4,1))</f>
        <v>0</v>
      </c>
      <c r="L113" s="19" t="n">
        <f aca="false">SUMIFS(Orders!$L:$L,Orders!$D:$D,$A113,Orders!$F:$F,"&gt;="&amp;L$4,Orders!$F:$F,"&lt;"&amp;EDATE(L$4,1))</f>
        <v>0</v>
      </c>
      <c r="M113" s="19" t="n">
        <f aca="false">N113-J113-K113-L113</f>
        <v>0</v>
      </c>
      <c r="N113" s="19" t="n">
        <f aca="false">SUMIFS(Orders!$L:$L,Orders!$D:$D,$A113)</f>
        <v>0</v>
      </c>
      <c r="O113" s="19" t="n">
        <f aca="false">H113+N113</f>
        <v>293.13</v>
      </c>
      <c r="P113" s="30"/>
      <c r="Q113" s="19" t="n">
        <f aca="false">IF(SUMIFS('Sales History'!$E:$E,'Sales History'!$G:$G,$A113)&gt;0,SUMIFS('Sales History'!$E:$E,'Sales History'!$G:$G,$A113)/Settings!$B$4,N(P113))</f>
        <v>0</v>
      </c>
      <c r="R113" s="18" t="str">
        <f aca="false">IF(SUMIFS('Sales History'!$E:$E,'Sales History'!$G:$G,$A113)&gt;0,"6-month history",IF(N(P113)&gt;0,"Current sheet","No sales data"))</f>
        <v>No sales data</v>
      </c>
      <c r="S113" s="31" t="str">
        <f aca="false">IF(Q113&gt;0,H113/Q113,"")</f>
        <v/>
      </c>
      <c r="T113" s="30" t="n">
        <v>100</v>
      </c>
      <c r="U113" s="19" t="n">
        <f aca="false">IF(T113="","",MAX(0,T113-O113))</f>
        <v>0</v>
      </c>
      <c r="V113" s="32" t="str">
        <f aca="false">IF(D113="End of range","END OF RANGE",IF(T113="","NO BUFFER SET",IF(H113&lt;=0,IF(O113&lt;T113,"OUT - REORDER","OUT - ON ORDER"),IF(O113&lt;T113,"REORDER",IF(H113&lt;T113,"LOW - ON ORDER",IF(AND(S113&lt;&gt;"",N(S113)&gt;Settings!$B$5),"SLOW MOVER","OK"))))))</f>
        <v>OK</v>
      </c>
      <c r="W113" s="18" t="s">
        <v>295</v>
      </c>
      <c r="X113" s="33" t="n">
        <f aca="false">IF(OR(D113="End of range",U113=""),0,IF(N(U113)&gt;0,U113+ROW()/1000000,0))</f>
        <v>0</v>
      </c>
    </row>
    <row r="114" customFormat="false" ht="14.25" hidden="false" customHeight="true" outlineLevel="0" collapsed="false">
      <c r="A114" s="18" t="s">
        <v>300</v>
      </c>
      <c r="B114" s="18" t="s">
        <v>301</v>
      </c>
      <c r="C114" s="18" t="s">
        <v>79</v>
      </c>
      <c r="D114" s="18" t="s">
        <v>294</v>
      </c>
      <c r="E114" s="19" t="n">
        <f aca="false">SUMIFS('CPT Count'!$D:$D,'CPT Count'!$A:$A,$A114)-SUMIFS('Weekly Sales'!$F:$F,'Weekly Sales'!$H:$H,$A114,'Weekly Sales'!$I:$I,"CPT")+SUMIFS(Transfers!$F:$F,Transfers!$C:$C,$A114,Transfers!$J:$J,"CPT")-SUMIFS(Transfers!$F:$F,Transfers!$C:$C,$A114,Transfers!$I:$I,"CPT",Transfers!$H:$H,"&lt;&gt;Y")+SUMIFS('Stock Received'!$I:$I,'Stock Received'!$E:$E,$A114,'Stock Received'!$L:$L,"CPT")</f>
        <v>0</v>
      </c>
      <c r="F114" s="19" t="n">
        <f aca="false">SUMIFS('JHB Count'!$E:$E,'JHB Count'!$F:$F,$A114)-SUMIFS('Weekly Sales'!$F:$F,'Weekly Sales'!$H:$H,$A114,'Weekly Sales'!$I:$I,"JHB")+SUMIFS(Transfers!$F:$F,Transfers!$C:$C,$A114,Transfers!$J:$J,"JHB")-SUMIFS(Transfers!$F:$F,Transfers!$C:$C,$A114,Transfers!$I:$I,"JHB",Transfers!$H:$H,"&lt;&gt;Y")+SUMIFS('Stock Received'!$I:$I,'Stock Received'!$E:$E,$A114,'Stock Received'!$L:$L,"JHB")</f>
        <v>56</v>
      </c>
      <c r="G114" s="19" t="n">
        <f aca="false">SUMIFS('DBN Count'!$D:$D,'DBN Count'!$E:$E,$A114)-SUMIFS('Weekly Sales'!$F:$F,'Weekly Sales'!$H:$H,$A114,'Weekly Sales'!$I:$I,"DBN")+SUMIFS(Transfers!$F:$F,Transfers!$C:$C,$A114,Transfers!$J:$J,"DBN")-SUMIFS(Transfers!$F:$F,Transfers!$C:$C,$A114,Transfers!$I:$I,"DBN",Transfers!$H:$H,"&lt;&gt;Y")+SUMIFS('Stock Received'!$I:$I,'Stock Received'!$E:$E,$A114,'Stock Received'!$L:$L,"DBN")</f>
        <v>56.34</v>
      </c>
      <c r="H114" s="29" t="n">
        <f aca="false">E114+F114+G114</f>
        <v>112.34</v>
      </c>
      <c r="I114" s="19" t="n">
        <f aca="false">SUMIFS('Weekly Sales'!$F:$F,'Weekly Sales'!$H:$H,$A114)</f>
        <v>0</v>
      </c>
      <c r="J114" s="19" t="n">
        <f aca="false">SUMIFS(Orders!$L:$L,Orders!$D:$D,$A114,Orders!$F:$F,"&gt;="&amp;J$4,Orders!$F:$F,"&lt;"&amp;EDATE(J$4,1))</f>
        <v>0</v>
      </c>
      <c r="K114" s="19" t="n">
        <f aca="false">SUMIFS(Orders!$L:$L,Orders!$D:$D,$A114,Orders!$F:$F,"&gt;="&amp;K$4,Orders!$F:$F,"&lt;"&amp;EDATE(K$4,1))</f>
        <v>0</v>
      </c>
      <c r="L114" s="19" t="n">
        <f aca="false">SUMIFS(Orders!$L:$L,Orders!$D:$D,$A114,Orders!$F:$F,"&gt;="&amp;L$4,Orders!$F:$F,"&lt;"&amp;EDATE(L$4,1))</f>
        <v>0</v>
      </c>
      <c r="M114" s="19" t="n">
        <f aca="false">N114-J114-K114-L114</f>
        <v>0</v>
      </c>
      <c r="N114" s="19" t="n">
        <f aca="false">SUMIFS(Orders!$L:$L,Orders!$D:$D,$A114)</f>
        <v>0</v>
      </c>
      <c r="O114" s="19" t="n">
        <f aca="false">H114+N114</f>
        <v>112.34</v>
      </c>
      <c r="P114" s="30"/>
      <c r="Q114" s="19" t="n">
        <f aca="false">IF(SUMIFS('Sales History'!$E:$E,'Sales History'!$G:$G,$A114)&gt;0,SUMIFS('Sales History'!$E:$E,'Sales History'!$G:$G,$A114)/Settings!$B$4,N(P114))</f>
        <v>0</v>
      </c>
      <c r="R114" s="18" t="str">
        <f aca="false">IF(SUMIFS('Sales History'!$E:$E,'Sales History'!$G:$G,$A114)&gt;0,"6-month history",IF(N(P114)&gt;0,"Current sheet","No sales data"))</f>
        <v>No sales data</v>
      </c>
      <c r="S114" s="31" t="str">
        <f aca="false">IF(Q114&gt;0,H114/Q114,"")</f>
        <v/>
      </c>
      <c r="T114" s="30" t="n">
        <v>100</v>
      </c>
      <c r="U114" s="19" t="n">
        <f aca="false">IF(T114="","",MAX(0,T114-O114))</f>
        <v>0</v>
      </c>
      <c r="V114" s="32" t="str">
        <f aca="false">IF(D114="End of range","END OF RANGE",IF(T114="","NO BUFFER SET",IF(H114&lt;=0,IF(O114&lt;T114,"OUT - REORDER","OUT - ON ORDER"),IF(O114&lt;T114,"REORDER",IF(H114&lt;T114,"LOW - ON ORDER",IF(AND(S114&lt;&gt;"",N(S114)&gt;Settings!$B$5),"SLOW MOVER","OK"))))))</f>
        <v>OK</v>
      </c>
      <c r="W114" s="18" t="s">
        <v>295</v>
      </c>
      <c r="X114" s="33" t="n">
        <f aca="false">IF(OR(D114="End of range",U114=""),0,IF(N(U114)&gt;0,U114+ROW()/1000000,0))</f>
        <v>0</v>
      </c>
    </row>
    <row r="115" customFormat="false" ht="14.25" hidden="false" customHeight="true" outlineLevel="0" collapsed="false">
      <c r="A115" s="18" t="s">
        <v>302</v>
      </c>
      <c r="B115" s="18" t="s">
        <v>303</v>
      </c>
      <c r="C115" s="18" t="s">
        <v>79</v>
      </c>
      <c r="D115" s="18" t="s">
        <v>294</v>
      </c>
      <c r="E115" s="19" t="n">
        <f aca="false">SUMIFS('CPT Count'!$D:$D,'CPT Count'!$A:$A,$A115)-SUMIFS('Weekly Sales'!$F:$F,'Weekly Sales'!$H:$H,$A115,'Weekly Sales'!$I:$I,"CPT")+SUMIFS(Transfers!$F:$F,Transfers!$C:$C,$A115,Transfers!$J:$J,"CPT")-SUMIFS(Transfers!$F:$F,Transfers!$C:$C,$A115,Transfers!$I:$I,"CPT",Transfers!$H:$H,"&lt;&gt;Y")+SUMIFS('Stock Received'!$I:$I,'Stock Received'!$E:$E,$A115,'Stock Received'!$L:$L,"CPT")</f>
        <v>0</v>
      </c>
      <c r="F115" s="19" t="n">
        <f aca="false">SUMIFS('JHB Count'!$E:$E,'JHB Count'!$F:$F,$A115)-SUMIFS('Weekly Sales'!$F:$F,'Weekly Sales'!$H:$H,$A115,'Weekly Sales'!$I:$I,"JHB")+SUMIFS(Transfers!$F:$F,Transfers!$C:$C,$A115,Transfers!$J:$J,"JHB")-SUMIFS(Transfers!$F:$F,Transfers!$C:$C,$A115,Transfers!$I:$I,"JHB",Transfers!$H:$H,"&lt;&gt;Y")+SUMIFS('Stock Received'!$I:$I,'Stock Received'!$E:$E,$A115,'Stock Received'!$L:$L,"JHB")</f>
        <v>828</v>
      </c>
      <c r="G115" s="19" t="n">
        <f aca="false">SUMIFS('DBN Count'!$D:$D,'DBN Count'!$E:$E,$A115)-SUMIFS('Weekly Sales'!$F:$F,'Weekly Sales'!$H:$H,$A115,'Weekly Sales'!$I:$I,"DBN")+SUMIFS(Transfers!$F:$F,Transfers!$C:$C,$A115,Transfers!$J:$J,"DBN")-SUMIFS(Transfers!$F:$F,Transfers!$C:$C,$A115,Transfers!$I:$I,"DBN",Transfers!$H:$H,"&lt;&gt;Y")+SUMIFS('Stock Received'!$I:$I,'Stock Received'!$E:$E,$A115,'Stock Received'!$L:$L,"DBN")</f>
        <v>56.54</v>
      </c>
      <c r="H115" s="29" t="n">
        <f aca="false">E115+F115+G115</f>
        <v>884.54</v>
      </c>
      <c r="I115" s="19" t="n">
        <f aca="false">SUMIFS('Weekly Sales'!$F:$F,'Weekly Sales'!$H:$H,$A115)</f>
        <v>0</v>
      </c>
      <c r="J115" s="19" t="n">
        <f aca="false">SUMIFS(Orders!$L:$L,Orders!$D:$D,$A115,Orders!$F:$F,"&gt;="&amp;J$4,Orders!$F:$F,"&lt;"&amp;EDATE(J$4,1))</f>
        <v>0</v>
      </c>
      <c r="K115" s="19" t="n">
        <f aca="false">SUMIFS(Orders!$L:$L,Orders!$D:$D,$A115,Orders!$F:$F,"&gt;="&amp;K$4,Orders!$F:$F,"&lt;"&amp;EDATE(K$4,1))</f>
        <v>0</v>
      </c>
      <c r="L115" s="19" t="n">
        <f aca="false">SUMIFS(Orders!$L:$L,Orders!$D:$D,$A115,Orders!$F:$F,"&gt;="&amp;L$4,Orders!$F:$F,"&lt;"&amp;EDATE(L$4,1))</f>
        <v>0</v>
      </c>
      <c r="M115" s="19" t="n">
        <f aca="false">N115-J115-K115-L115</f>
        <v>0</v>
      </c>
      <c r="N115" s="19" t="n">
        <f aca="false">SUMIFS(Orders!$L:$L,Orders!$D:$D,$A115)</f>
        <v>0</v>
      </c>
      <c r="O115" s="19" t="n">
        <f aca="false">H115+N115</f>
        <v>884.54</v>
      </c>
      <c r="P115" s="30"/>
      <c r="Q115" s="19" t="n">
        <f aca="false">IF(SUMIFS('Sales History'!$E:$E,'Sales History'!$G:$G,$A115)&gt;0,SUMIFS('Sales History'!$E:$E,'Sales History'!$G:$G,$A115)/Settings!$B$4,N(P115))</f>
        <v>0</v>
      </c>
      <c r="R115" s="18" t="str">
        <f aca="false">IF(SUMIFS('Sales History'!$E:$E,'Sales History'!$G:$G,$A115)&gt;0,"6-month history",IF(N(P115)&gt;0,"Current sheet","No sales data"))</f>
        <v>No sales data</v>
      </c>
      <c r="S115" s="31" t="str">
        <f aca="false">IF(Q115&gt;0,H115/Q115,"")</f>
        <v/>
      </c>
      <c r="T115" s="30" t="n">
        <v>100</v>
      </c>
      <c r="U115" s="19" t="n">
        <f aca="false">IF(T115="","",MAX(0,T115-O115))</f>
        <v>0</v>
      </c>
      <c r="V115" s="32" t="str">
        <f aca="false">IF(D115="End of range","END OF RANGE",IF(T115="","NO BUFFER SET",IF(H115&lt;=0,IF(O115&lt;T115,"OUT - REORDER","OUT - ON ORDER"),IF(O115&lt;T115,"REORDER",IF(H115&lt;T115,"LOW - ON ORDER",IF(AND(S115&lt;&gt;"",N(S115)&gt;Settings!$B$5),"SLOW MOVER","OK"))))))</f>
        <v>OK</v>
      </c>
      <c r="W115" s="18" t="s">
        <v>295</v>
      </c>
      <c r="X115" s="33" t="n">
        <f aca="false">IF(OR(D115="End of range",U115=""),0,IF(N(U115)&gt;0,U115+ROW()/1000000,0))</f>
        <v>0</v>
      </c>
    </row>
    <row r="116" customFormat="false" ht="14.25" hidden="false" customHeight="true" outlineLevel="0" collapsed="false">
      <c r="A116" s="18" t="s">
        <v>304</v>
      </c>
      <c r="B116" s="18" t="s">
        <v>305</v>
      </c>
      <c r="C116" s="18" t="s">
        <v>79</v>
      </c>
      <c r="D116" s="18" t="s">
        <v>294</v>
      </c>
      <c r="E116" s="19" t="n">
        <f aca="false">SUMIFS('CPT Count'!$D:$D,'CPT Count'!$A:$A,$A116)-SUMIFS('Weekly Sales'!$F:$F,'Weekly Sales'!$H:$H,$A116,'Weekly Sales'!$I:$I,"CPT")+SUMIFS(Transfers!$F:$F,Transfers!$C:$C,$A116,Transfers!$J:$J,"CPT")-SUMIFS(Transfers!$F:$F,Transfers!$C:$C,$A116,Transfers!$I:$I,"CPT",Transfers!$H:$H,"&lt;&gt;Y")+SUMIFS('Stock Received'!$I:$I,'Stock Received'!$E:$E,$A116,'Stock Received'!$L:$L,"CPT")</f>
        <v>0</v>
      </c>
      <c r="F116" s="19" t="n">
        <f aca="false">SUMIFS('JHB Count'!$E:$E,'JHB Count'!$F:$F,$A116)-SUMIFS('Weekly Sales'!$F:$F,'Weekly Sales'!$H:$H,$A116,'Weekly Sales'!$I:$I,"JHB")+SUMIFS(Transfers!$F:$F,Transfers!$C:$C,$A116,Transfers!$J:$J,"JHB")-SUMIFS(Transfers!$F:$F,Transfers!$C:$C,$A116,Transfers!$I:$I,"JHB",Transfers!$H:$H,"&lt;&gt;Y")+SUMIFS('Stock Received'!$I:$I,'Stock Received'!$E:$E,$A116,'Stock Received'!$L:$L,"JHB")</f>
        <v>340.34</v>
      </c>
      <c r="G116" s="19" t="n">
        <f aca="false">SUMIFS('DBN Count'!$D:$D,'DBN Count'!$E:$E,$A116)-SUMIFS('Weekly Sales'!$F:$F,'Weekly Sales'!$H:$H,$A116,'Weekly Sales'!$I:$I,"DBN")+SUMIFS(Transfers!$F:$F,Transfers!$C:$C,$A116,Transfers!$J:$J,"DBN")-SUMIFS(Transfers!$F:$F,Transfers!$C:$C,$A116,Transfers!$I:$I,"DBN",Transfers!$H:$H,"&lt;&gt;Y")+SUMIFS('Stock Received'!$I:$I,'Stock Received'!$E:$E,$A116,'Stock Received'!$L:$L,"DBN")</f>
        <v>61.15</v>
      </c>
      <c r="H116" s="29" t="n">
        <f aca="false">E116+F116+G116</f>
        <v>401.49</v>
      </c>
      <c r="I116" s="19" t="n">
        <f aca="false">SUMIFS('Weekly Sales'!$F:$F,'Weekly Sales'!$H:$H,$A116)</f>
        <v>19.66</v>
      </c>
      <c r="J116" s="19" t="n">
        <f aca="false">SUMIFS(Orders!$L:$L,Orders!$D:$D,$A116,Orders!$F:$F,"&gt;="&amp;J$4,Orders!$F:$F,"&lt;"&amp;EDATE(J$4,1))</f>
        <v>0</v>
      </c>
      <c r="K116" s="19" t="n">
        <f aca="false">SUMIFS(Orders!$L:$L,Orders!$D:$D,$A116,Orders!$F:$F,"&gt;="&amp;K$4,Orders!$F:$F,"&lt;"&amp;EDATE(K$4,1))</f>
        <v>0</v>
      </c>
      <c r="L116" s="19" t="n">
        <f aca="false">SUMIFS(Orders!$L:$L,Orders!$D:$D,$A116,Orders!$F:$F,"&gt;="&amp;L$4,Orders!$F:$F,"&lt;"&amp;EDATE(L$4,1))</f>
        <v>0</v>
      </c>
      <c r="M116" s="19" t="n">
        <f aca="false">N116-J116-K116-L116</f>
        <v>0</v>
      </c>
      <c r="N116" s="19" t="n">
        <f aca="false">SUMIFS(Orders!$L:$L,Orders!$D:$D,$A116)</f>
        <v>0</v>
      </c>
      <c r="O116" s="19" t="n">
        <f aca="false">H116+N116</f>
        <v>401.49</v>
      </c>
      <c r="P116" s="30"/>
      <c r="Q116" s="19" t="n">
        <f aca="false">IF(SUMIFS('Sales History'!$E:$E,'Sales History'!$G:$G,$A116)&gt;0,SUMIFS('Sales History'!$E:$E,'Sales History'!$G:$G,$A116)/Settings!$B$4,N(P116))</f>
        <v>0</v>
      </c>
      <c r="R116" s="18" t="str">
        <f aca="false">IF(SUMIFS('Sales History'!$E:$E,'Sales History'!$G:$G,$A116)&gt;0,"6-month history",IF(N(P116)&gt;0,"Current sheet","No sales data"))</f>
        <v>No sales data</v>
      </c>
      <c r="S116" s="31" t="str">
        <f aca="false">IF(Q116&gt;0,H116/Q116,"")</f>
        <v/>
      </c>
      <c r="T116" s="30" t="n">
        <v>100</v>
      </c>
      <c r="U116" s="19" t="n">
        <f aca="false">IF(T116="","",MAX(0,T116-O116))</f>
        <v>0</v>
      </c>
      <c r="V116" s="32" t="str">
        <f aca="false">IF(D116="End of range","END OF RANGE",IF(T116="","NO BUFFER SET",IF(H116&lt;=0,IF(O116&lt;T116,"OUT - REORDER","OUT - ON ORDER"),IF(O116&lt;T116,"REORDER",IF(H116&lt;T116,"LOW - ON ORDER",IF(AND(S116&lt;&gt;"",N(S116)&gt;Settings!$B$5),"SLOW MOVER","OK"))))))</f>
        <v>OK</v>
      </c>
      <c r="W116" s="18" t="s">
        <v>295</v>
      </c>
      <c r="X116" s="33" t="n">
        <f aca="false">IF(OR(D116="End of range",U116=""),0,IF(N(U116)&gt;0,U116+ROW()/1000000,0))</f>
        <v>0</v>
      </c>
    </row>
    <row r="117" customFormat="false" ht="14.25" hidden="false" customHeight="true" outlineLevel="0" collapsed="false">
      <c r="A117" s="18" t="s">
        <v>306</v>
      </c>
      <c r="B117" s="18" t="s">
        <v>307</v>
      </c>
      <c r="C117" s="18" t="s">
        <v>79</v>
      </c>
      <c r="D117" s="18" t="s">
        <v>294</v>
      </c>
      <c r="E117" s="19" t="n">
        <f aca="false">SUMIFS('CPT Count'!$D:$D,'CPT Count'!$A:$A,$A117)-SUMIFS('Weekly Sales'!$F:$F,'Weekly Sales'!$H:$H,$A117,'Weekly Sales'!$I:$I,"CPT")+SUMIFS(Transfers!$F:$F,Transfers!$C:$C,$A117,Transfers!$J:$J,"CPT")-SUMIFS(Transfers!$F:$F,Transfers!$C:$C,$A117,Transfers!$I:$I,"CPT",Transfers!$H:$H,"&lt;&gt;Y")+SUMIFS('Stock Received'!$I:$I,'Stock Received'!$E:$E,$A117,'Stock Received'!$L:$L,"CPT")</f>
        <v>0</v>
      </c>
      <c r="F117" s="19" t="n">
        <f aca="false">SUMIFS('JHB Count'!$E:$E,'JHB Count'!$F:$F,$A117)-SUMIFS('Weekly Sales'!$F:$F,'Weekly Sales'!$H:$H,$A117,'Weekly Sales'!$I:$I,"JHB")+SUMIFS(Transfers!$F:$F,Transfers!$C:$C,$A117,Transfers!$J:$J,"JHB")-SUMIFS(Transfers!$F:$F,Transfers!$C:$C,$A117,Transfers!$I:$I,"JHB",Transfers!$H:$H,"&lt;&gt;Y")+SUMIFS('Stock Received'!$I:$I,'Stock Received'!$E:$E,$A117,'Stock Received'!$L:$L,"JHB")</f>
        <v>436</v>
      </c>
      <c r="G117" s="19" t="n">
        <f aca="false">SUMIFS('DBN Count'!$D:$D,'DBN Count'!$E:$E,$A117)-SUMIFS('Weekly Sales'!$F:$F,'Weekly Sales'!$H:$H,$A117,'Weekly Sales'!$I:$I,"DBN")+SUMIFS(Transfers!$F:$F,Transfers!$C:$C,$A117,Transfers!$J:$J,"DBN")-SUMIFS(Transfers!$F:$F,Transfers!$C:$C,$A117,Transfers!$I:$I,"DBN",Transfers!$H:$H,"&lt;&gt;Y")+SUMIFS('Stock Received'!$I:$I,'Stock Received'!$E:$E,$A117,'Stock Received'!$L:$L,"DBN")</f>
        <v>38.8</v>
      </c>
      <c r="H117" s="29" t="n">
        <f aca="false">E117+F117+G117</f>
        <v>474.8</v>
      </c>
      <c r="I117" s="19" t="n">
        <f aca="false">SUMIFS('Weekly Sales'!$F:$F,'Weekly Sales'!$H:$H,$A117)</f>
        <v>0</v>
      </c>
      <c r="J117" s="19" t="n">
        <f aca="false">SUMIFS(Orders!$L:$L,Orders!$D:$D,$A117,Orders!$F:$F,"&gt;="&amp;J$4,Orders!$F:$F,"&lt;"&amp;EDATE(J$4,1))</f>
        <v>0</v>
      </c>
      <c r="K117" s="19" t="n">
        <f aca="false">SUMIFS(Orders!$L:$L,Orders!$D:$D,$A117,Orders!$F:$F,"&gt;="&amp;K$4,Orders!$F:$F,"&lt;"&amp;EDATE(K$4,1))</f>
        <v>0</v>
      </c>
      <c r="L117" s="19" t="n">
        <f aca="false">SUMIFS(Orders!$L:$L,Orders!$D:$D,$A117,Orders!$F:$F,"&gt;="&amp;L$4,Orders!$F:$F,"&lt;"&amp;EDATE(L$4,1))</f>
        <v>0</v>
      </c>
      <c r="M117" s="19" t="n">
        <f aca="false">N117-J117-K117-L117</f>
        <v>0</v>
      </c>
      <c r="N117" s="19" t="n">
        <f aca="false">SUMIFS(Orders!$L:$L,Orders!$D:$D,$A117)</f>
        <v>0</v>
      </c>
      <c r="O117" s="19" t="n">
        <f aca="false">H117+N117</f>
        <v>474.8</v>
      </c>
      <c r="P117" s="30"/>
      <c r="Q117" s="19" t="n">
        <f aca="false">IF(SUMIFS('Sales History'!$E:$E,'Sales History'!$G:$G,$A117)&gt;0,SUMIFS('Sales History'!$E:$E,'Sales History'!$G:$G,$A117)/Settings!$B$4,N(P117))</f>
        <v>0</v>
      </c>
      <c r="R117" s="18" t="str">
        <f aca="false">IF(SUMIFS('Sales History'!$E:$E,'Sales History'!$G:$G,$A117)&gt;0,"6-month history",IF(N(P117)&gt;0,"Current sheet","No sales data"))</f>
        <v>No sales data</v>
      </c>
      <c r="S117" s="31" t="str">
        <f aca="false">IF(Q117&gt;0,H117/Q117,"")</f>
        <v/>
      </c>
      <c r="T117" s="30" t="n">
        <v>100</v>
      </c>
      <c r="U117" s="19" t="n">
        <f aca="false">IF(T117="","",MAX(0,T117-O117))</f>
        <v>0</v>
      </c>
      <c r="V117" s="32" t="str">
        <f aca="false">IF(D117="End of range","END OF RANGE",IF(T117="","NO BUFFER SET",IF(H117&lt;=0,IF(O117&lt;T117,"OUT - REORDER","OUT - ON ORDER"),IF(O117&lt;T117,"REORDER",IF(H117&lt;T117,"LOW - ON ORDER",IF(AND(S117&lt;&gt;"",N(S117)&gt;Settings!$B$5),"SLOW MOVER","OK"))))))</f>
        <v>OK</v>
      </c>
      <c r="W117" s="18" t="s">
        <v>295</v>
      </c>
      <c r="X117" s="33" t="n">
        <f aca="false">IF(OR(D117="End of range",U117=""),0,IF(N(U117)&gt;0,U117+ROW()/1000000,0))</f>
        <v>0</v>
      </c>
    </row>
    <row r="118" customFormat="false" ht="14.25" hidden="false" customHeight="true" outlineLevel="0" collapsed="false">
      <c r="A118" s="18" t="s">
        <v>308</v>
      </c>
      <c r="B118" s="18" t="s">
        <v>309</v>
      </c>
      <c r="C118" s="18" t="s">
        <v>79</v>
      </c>
      <c r="D118" s="18" t="s">
        <v>294</v>
      </c>
      <c r="E118" s="19" t="n">
        <f aca="false">SUMIFS('CPT Count'!$D:$D,'CPT Count'!$A:$A,$A118)-SUMIFS('Weekly Sales'!$F:$F,'Weekly Sales'!$H:$H,$A118,'Weekly Sales'!$I:$I,"CPT")+SUMIFS(Transfers!$F:$F,Transfers!$C:$C,$A118,Transfers!$J:$J,"CPT")-SUMIFS(Transfers!$F:$F,Transfers!$C:$C,$A118,Transfers!$I:$I,"CPT",Transfers!$H:$H,"&lt;&gt;Y")+SUMIFS('Stock Received'!$I:$I,'Stock Received'!$E:$E,$A118,'Stock Received'!$L:$L,"CPT")</f>
        <v>0</v>
      </c>
      <c r="F118" s="19" t="n">
        <f aca="false">SUMIFS('JHB Count'!$E:$E,'JHB Count'!$F:$F,$A118)-SUMIFS('Weekly Sales'!$F:$F,'Weekly Sales'!$H:$H,$A118,'Weekly Sales'!$I:$I,"JHB")+SUMIFS(Transfers!$F:$F,Transfers!$C:$C,$A118,Transfers!$J:$J,"JHB")-SUMIFS(Transfers!$F:$F,Transfers!$C:$C,$A118,Transfers!$I:$I,"JHB",Transfers!$H:$H,"&lt;&gt;Y")+SUMIFS('Stock Received'!$I:$I,'Stock Received'!$E:$E,$A118,'Stock Received'!$L:$L,"JHB")</f>
        <v>619.54</v>
      </c>
      <c r="G118" s="19" t="n">
        <f aca="false">SUMIFS('DBN Count'!$D:$D,'DBN Count'!$E:$E,$A118)-SUMIFS('Weekly Sales'!$F:$F,'Weekly Sales'!$H:$H,$A118,'Weekly Sales'!$I:$I,"DBN")+SUMIFS(Transfers!$F:$F,Transfers!$C:$C,$A118,Transfers!$J:$J,"DBN")-SUMIFS(Transfers!$F:$F,Transfers!$C:$C,$A118,Transfers!$I:$I,"DBN",Transfers!$H:$H,"&lt;&gt;Y")+SUMIFS('Stock Received'!$I:$I,'Stock Received'!$E:$E,$A118,'Stock Received'!$L:$L,"DBN")</f>
        <v>59.48</v>
      </c>
      <c r="H118" s="29" t="n">
        <f aca="false">E118+F118+G118</f>
        <v>679.02</v>
      </c>
      <c r="I118" s="19" t="n">
        <f aca="false">SUMIFS('Weekly Sales'!$F:$F,'Weekly Sales'!$H:$H,$A118)</f>
        <v>20.46</v>
      </c>
      <c r="J118" s="19" t="n">
        <f aca="false">SUMIFS(Orders!$L:$L,Orders!$D:$D,$A118,Orders!$F:$F,"&gt;="&amp;J$4,Orders!$F:$F,"&lt;"&amp;EDATE(J$4,1))</f>
        <v>0</v>
      </c>
      <c r="K118" s="19" t="n">
        <f aca="false">SUMIFS(Orders!$L:$L,Orders!$D:$D,$A118,Orders!$F:$F,"&gt;="&amp;K$4,Orders!$F:$F,"&lt;"&amp;EDATE(K$4,1))</f>
        <v>0</v>
      </c>
      <c r="L118" s="19" t="n">
        <f aca="false">SUMIFS(Orders!$L:$L,Orders!$D:$D,$A118,Orders!$F:$F,"&gt;="&amp;L$4,Orders!$F:$F,"&lt;"&amp;EDATE(L$4,1))</f>
        <v>0</v>
      </c>
      <c r="M118" s="19" t="n">
        <f aca="false">N118-J118-K118-L118</f>
        <v>0</v>
      </c>
      <c r="N118" s="19" t="n">
        <f aca="false">SUMIFS(Orders!$L:$L,Orders!$D:$D,$A118)</f>
        <v>0</v>
      </c>
      <c r="O118" s="19" t="n">
        <f aca="false">H118+N118</f>
        <v>679.02</v>
      </c>
      <c r="P118" s="30"/>
      <c r="Q118" s="19" t="n">
        <f aca="false">IF(SUMIFS('Sales History'!$E:$E,'Sales History'!$G:$G,$A118)&gt;0,SUMIFS('Sales History'!$E:$E,'Sales History'!$G:$G,$A118)/Settings!$B$4,N(P118))</f>
        <v>0</v>
      </c>
      <c r="R118" s="18" t="str">
        <f aca="false">IF(SUMIFS('Sales History'!$E:$E,'Sales History'!$G:$G,$A118)&gt;0,"6-month history",IF(N(P118)&gt;0,"Current sheet","No sales data"))</f>
        <v>No sales data</v>
      </c>
      <c r="S118" s="31" t="str">
        <f aca="false">IF(Q118&gt;0,H118/Q118,"")</f>
        <v/>
      </c>
      <c r="T118" s="30" t="n">
        <v>100</v>
      </c>
      <c r="U118" s="19" t="n">
        <f aca="false">IF(T118="","",MAX(0,T118-O118))</f>
        <v>0</v>
      </c>
      <c r="V118" s="32" t="str">
        <f aca="false">IF(D118="End of range","END OF RANGE",IF(T118="","NO BUFFER SET",IF(H118&lt;=0,IF(O118&lt;T118,"OUT - REORDER","OUT - ON ORDER"),IF(O118&lt;T118,"REORDER",IF(H118&lt;T118,"LOW - ON ORDER",IF(AND(S118&lt;&gt;"",N(S118)&gt;Settings!$B$5),"SLOW MOVER","OK"))))))</f>
        <v>OK</v>
      </c>
      <c r="W118" s="18" t="s">
        <v>295</v>
      </c>
      <c r="X118" s="33" t="n">
        <f aca="false">IF(OR(D118="End of range",U118=""),0,IF(N(U118)&gt;0,U118+ROW()/1000000,0))</f>
        <v>0</v>
      </c>
    </row>
    <row r="119" customFormat="false" ht="14.25" hidden="false" customHeight="true" outlineLevel="0" collapsed="false">
      <c r="A119" s="18" t="s">
        <v>310</v>
      </c>
      <c r="B119" s="18" t="s">
        <v>311</v>
      </c>
      <c r="C119" s="18" t="s">
        <v>79</v>
      </c>
      <c r="D119" s="18" t="s">
        <v>294</v>
      </c>
      <c r="E119" s="19" t="n">
        <f aca="false">SUMIFS('CPT Count'!$D:$D,'CPT Count'!$A:$A,$A119)-SUMIFS('Weekly Sales'!$F:$F,'Weekly Sales'!$H:$H,$A119,'Weekly Sales'!$I:$I,"CPT")+SUMIFS(Transfers!$F:$F,Transfers!$C:$C,$A119,Transfers!$J:$J,"CPT")-SUMIFS(Transfers!$F:$F,Transfers!$C:$C,$A119,Transfers!$I:$I,"CPT",Transfers!$H:$H,"&lt;&gt;Y")+SUMIFS('Stock Received'!$I:$I,'Stock Received'!$E:$E,$A119,'Stock Received'!$L:$L,"CPT")</f>
        <v>0</v>
      </c>
      <c r="F119" s="19" t="n">
        <f aca="false">SUMIFS('JHB Count'!$E:$E,'JHB Count'!$F:$F,$A119)-SUMIFS('Weekly Sales'!$F:$F,'Weekly Sales'!$H:$H,$A119,'Weekly Sales'!$I:$I,"JHB")+SUMIFS(Transfers!$F:$F,Transfers!$C:$C,$A119,Transfers!$J:$J,"JHB")-SUMIFS(Transfers!$F:$F,Transfers!$C:$C,$A119,Transfers!$I:$I,"JHB",Transfers!$H:$H,"&lt;&gt;Y")+SUMIFS('Stock Received'!$I:$I,'Stock Received'!$E:$E,$A119,'Stock Received'!$L:$L,"JHB")</f>
        <v>256.02</v>
      </c>
      <c r="G119" s="19" t="n">
        <f aca="false">SUMIFS('DBN Count'!$D:$D,'DBN Count'!$E:$E,$A119)-SUMIFS('Weekly Sales'!$F:$F,'Weekly Sales'!$H:$H,$A119,'Weekly Sales'!$I:$I,"DBN")+SUMIFS(Transfers!$F:$F,Transfers!$C:$C,$A119,Transfers!$J:$J,"DBN")-SUMIFS(Transfers!$F:$F,Transfers!$C:$C,$A119,Transfers!$I:$I,"DBN",Transfers!$H:$H,"&lt;&gt;Y")+SUMIFS('Stock Received'!$I:$I,'Stock Received'!$E:$E,$A119,'Stock Received'!$L:$L,"DBN")</f>
        <v>38.38</v>
      </c>
      <c r="H119" s="29" t="n">
        <f aca="false">E119+F119+G119</f>
        <v>294.4</v>
      </c>
      <c r="I119" s="19" t="n">
        <f aca="false">SUMIFS('Weekly Sales'!$F:$F,'Weekly Sales'!$H:$H,$A119)</f>
        <v>3.98</v>
      </c>
      <c r="J119" s="19" t="n">
        <f aca="false">SUMIFS(Orders!$L:$L,Orders!$D:$D,$A119,Orders!$F:$F,"&gt;="&amp;J$4,Orders!$F:$F,"&lt;"&amp;EDATE(J$4,1))</f>
        <v>0</v>
      </c>
      <c r="K119" s="19" t="n">
        <f aca="false">SUMIFS(Orders!$L:$L,Orders!$D:$D,$A119,Orders!$F:$F,"&gt;="&amp;K$4,Orders!$F:$F,"&lt;"&amp;EDATE(K$4,1))</f>
        <v>0</v>
      </c>
      <c r="L119" s="19" t="n">
        <f aca="false">SUMIFS(Orders!$L:$L,Orders!$D:$D,$A119,Orders!$F:$F,"&gt;="&amp;L$4,Orders!$F:$F,"&lt;"&amp;EDATE(L$4,1))</f>
        <v>0</v>
      </c>
      <c r="M119" s="19" t="n">
        <f aca="false">N119-J119-K119-L119</f>
        <v>0</v>
      </c>
      <c r="N119" s="19" t="n">
        <f aca="false">SUMIFS(Orders!$L:$L,Orders!$D:$D,$A119)</f>
        <v>0</v>
      </c>
      <c r="O119" s="19" t="n">
        <f aca="false">H119+N119</f>
        <v>294.4</v>
      </c>
      <c r="P119" s="30"/>
      <c r="Q119" s="19" t="n">
        <f aca="false">IF(SUMIFS('Sales History'!$E:$E,'Sales History'!$G:$G,$A119)&gt;0,SUMIFS('Sales History'!$E:$E,'Sales History'!$G:$G,$A119)/Settings!$B$4,N(P119))</f>
        <v>0</v>
      </c>
      <c r="R119" s="18" t="str">
        <f aca="false">IF(SUMIFS('Sales History'!$E:$E,'Sales History'!$G:$G,$A119)&gt;0,"6-month history",IF(N(P119)&gt;0,"Current sheet","No sales data"))</f>
        <v>No sales data</v>
      </c>
      <c r="S119" s="31" t="str">
        <f aca="false">IF(Q119&gt;0,H119/Q119,"")</f>
        <v/>
      </c>
      <c r="T119" s="30" t="n">
        <v>100</v>
      </c>
      <c r="U119" s="19" t="n">
        <f aca="false">IF(T119="","",MAX(0,T119-O119))</f>
        <v>0</v>
      </c>
      <c r="V119" s="32" t="str">
        <f aca="false">IF(D119="End of range","END OF RANGE",IF(T119="","NO BUFFER SET",IF(H119&lt;=0,IF(O119&lt;T119,"OUT - REORDER","OUT - ON ORDER"),IF(O119&lt;T119,"REORDER",IF(H119&lt;T119,"LOW - ON ORDER",IF(AND(S119&lt;&gt;"",N(S119)&gt;Settings!$B$5),"SLOW MOVER","OK"))))))</f>
        <v>OK</v>
      </c>
      <c r="W119" s="18" t="s">
        <v>295</v>
      </c>
      <c r="X119" s="33" t="n">
        <f aca="false">IF(OR(D119="End of range",U119=""),0,IF(N(U119)&gt;0,U119+ROW()/1000000,0))</f>
        <v>0</v>
      </c>
    </row>
    <row r="120" customFormat="false" ht="14.25" hidden="false" customHeight="true" outlineLevel="0" collapsed="false">
      <c r="A120" s="18" t="s">
        <v>312</v>
      </c>
      <c r="B120" s="18" t="s">
        <v>313</v>
      </c>
      <c r="C120" s="18" t="s">
        <v>79</v>
      </c>
      <c r="D120" s="18" t="s">
        <v>294</v>
      </c>
      <c r="E120" s="19" t="n">
        <f aca="false">SUMIFS('CPT Count'!$D:$D,'CPT Count'!$A:$A,$A120)-SUMIFS('Weekly Sales'!$F:$F,'Weekly Sales'!$H:$H,$A120,'Weekly Sales'!$I:$I,"CPT")+SUMIFS(Transfers!$F:$F,Transfers!$C:$C,$A120,Transfers!$J:$J,"CPT")-SUMIFS(Transfers!$F:$F,Transfers!$C:$C,$A120,Transfers!$I:$I,"CPT",Transfers!$H:$H,"&lt;&gt;Y")+SUMIFS('Stock Received'!$I:$I,'Stock Received'!$E:$E,$A120,'Stock Received'!$L:$L,"CPT")</f>
        <v>0</v>
      </c>
      <c r="F120" s="19" t="n">
        <f aca="false">SUMIFS('JHB Count'!$E:$E,'JHB Count'!$F:$F,$A120)-SUMIFS('Weekly Sales'!$F:$F,'Weekly Sales'!$H:$H,$A120,'Weekly Sales'!$I:$I,"JHB")+SUMIFS(Transfers!$F:$F,Transfers!$C:$C,$A120,Transfers!$J:$J,"JHB")-SUMIFS(Transfers!$F:$F,Transfers!$C:$C,$A120,Transfers!$I:$I,"JHB",Transfers!$H:$H,"&lt;&gt;Y")+SUMIFS('Stock Received'!$I:$I,'Stock Received'!$E:$E,$A120,'Stock Received'!$L:$L,"JHB")</f>
        <v>1052.23</v>
      </c>
      <c r="G120" s="19" t="n">
        <f aca="false">SUMIFS('DBN Count'!$D:$D,'DBN Count'!$E:$E,$A120)-SUMIFS('Weekly Sales'!$F:$F,'Weekly Sales'!$H:$H,$A120,'Weekly Sales'!$I:$I,"DBN")+SUMIFS(Transfers!$F:$F,Transfers!$C:$C,$A120,Transfers!$J:$J,"DBN")-SUMIFS(Transfers!$F:$F,Transfers!$C:$C,$A120,Transfers!$I:$I,"DBN",Transfers!$H:$H,"&lt;&gt;Y")+SUMIFS('Stock Received'!$I:$I,'Stock Received'!$E:$E,$A120,'Stock Received'!$L:$L,"DBN")</f>
        <v>298.9</v>
      </c>
      <c r="H120" s="29" t="n">
        <f aca="false">E120+F120+G120</f>
        <v>1351.13</v>
      </c>
      <c r="I120" s="19" t="n">
        <f aca="false">SUMIFS('Weekly Sales'!$F:$F,'Weekly Sales'!$H:$H,$A120)</f>
        <v>55.77</v>
      </c>
      <c r="J120" s="19" t="n">
        <f aca="false">SUMIFS(Orders!$L:$L,Orders!$D:$D,$A120,Orders!$F:$F,"&gt;="&amp;J$4,Orders!$F:$F,"&lt;"&amp;EDATE(J$4,1))</f>
        <v>0</v>
      </c>
      <c r="K120" s="19" t="n">
        <f aca="false">SUMIFS(Orders!$L:$L,Orders!$D:$D,$A120,Orders!$F:$F,"&gt;="&amp;K$4,Orders!$F:$F,"&lt;"&amp;EDATE(K$4,1))</f>
        <v>0</v>
      </c>
      <c r="L120" s="19" t="n">
        <f aca="false">SUMIFS(Orders!$L:$L,Orders!$D:$D,$A120,Orders!$F:$F,"&gt;="&amp;L$4,Orders!$F:$F,"&lt;"&amp;EDATE(L$4,1))</f>
        <v>0</v>
      </c>
      <c r="M120" s="19" t="n">
        <f aca="false">N120-J120-K120-L120</f>
        <v>0</v>
      </c>
      <c r="N120" s="19" t="n">
        <f aca="false">SUMIFS(Orders!$L:$L,Orders!$D:$D,$A120)</f>
        <v>0</v>
      </c>
      <c r="O120" s="19" t="n">
        <f aca="false">H120+N120</f>
        <v>1351.13</v>
      </c>
      <c r="P120" s="30"/>
      <c r="Q120" s="19" t="n">
        <f aca="false">IF(SUMIFS('Sales History'!$E:$E,'Sales History'!$G:$G,$A120)&gt;0,SUMIFS('Sales History'!$E:$E,'Sales History'!$G:$G,$A120)/Settings!$B$4,N(P120))</f>
        <v>0</v>
      </c>
      <c r="R120" s="18" t="str">
        <f aca="false">IF(SUMIFS('Sales History'!$E:$E,'Sales History'!$G:$G,$A120)&gt;0,"6-month history",IF(N(P120)&gt;0,"Current sheet","No sales data"))</f>
        <v>No sales data</v>
      </c>
      <c r="S120" s="31" t="str">
        <f aca="false">IF(Q120&gt;0,H120/Q120,"")</f>
        <v/>
      </c>
      <c r="T120" s="30" t="n">
        <v>100</v>
      </c>
      <c r="U120" s="19" t="n">
        <f aca="false">IF(T120="","",MAX(0,T120-O120))</f>
        <v>0</v>
      </c>
      <c r="V120" s="32" t="str">
        <f aca="false">IF(D120="End of range","END OF RANGE",IF(T120="","NO BUFFER SET",IF(H120&lt;=0,IF(O120&lt;T120,"OUT - REORDER","OUT - ON ORDER"),IF(O120&lt;T120,"REORDER",IF(H120&lt;T120,"LOW - ON ORDER",IF(AND(S120&lt;&gt;"",N(S120)&gt;Settings!$B$5),"SLOW MOVER","OK"))))))</f>
        <v>OK</v>
      </c>
      <c r="W120" s="18" t="s">
        <v>295</v>
      </c>
      <c r="X120" s="33" t="n">
        <f aca="false">IF(OR(D120="End of range",U120=""),0,IF(N(U120)&gt;0,U120+ROW()/1000000,0))</f>
        <v>0</v>
      </c>
    </row>
    <row r="121" customFormat="false" ht="14.25" hidden="false" customHeight="true" outlineLevel="0" collapsed="false">
      <c r="A121" s="18" t="s">
        <v>314</v>
      </c>
      <c r="B121" s="18" t="s">
        <v>315</v>
      </c>
      <c r="C121" s="18" t="s">
        <v>79</v>
      </c>
      <c r="D121" s="18" t="s">
        <v>181</v>
      </c>
      <c r="E121" s="19" t="n">
        <f aca="false">SUMIFS('CPT Count'!$D:$D,'CPT Count'!$A:$A,$A121)-SUMIFS('Weekly Sales'!$F:$F,'Weekly Sales'!$H:$H,$A121,'Weekly Sales'!$I:$I,"CPT")+SUMIFS(Transfers!$F:$F,Transfers!$C:$C,$A121,Transfers!$J:$J,"CPT")-SUMIFS(Transfers!$F:$F,Transfers!$C:$C,$A121,Transfers!$I:$I,"CPT",Transfers!$H:$H,"&lt;&gt;Y")+SUMIFS('Stock Received'!$I:$I,'Stock Received'!$E:$E,$A121,'Stock Received'!$L:$L,"CPT")</f>
        <v>0</v>
      </c>
      <c r="F121" s="19" t="n">
        <f aca="false">SUMIFS('JHB Count'!$E:$E,'JHB Count'!$F:$F,$A121)-SUMIFS('Weekly Sales'!$F:$F,'Weekly Sales'!$H:$H,$A121,'Weekly Sales'!$I:$I,"JHB")+SUMIFS(Transfers!$F:$F,Transfers!$C:$C,$A121,Transfers!$J:$J,"JHB")-SUMIFS(Transfers!$F:$F,Transfers!$C:$C,$A121,Transfers!$I:$I,"JHB",Transfers!$H:$H,"&lt;&gt;Y")+SUMIFS('Stock Received'!$I:$I,'Stock Received'!$E:$E,$A121,'Stock Received'!$L:$L,"JHB")</f>
        <v>20</v>
      </c>
      <c r="G121" s="19" t="n">
        <f aca="false">SUMIFS('DBN Count'!$D:$D,'DBN Count'!$E:$E,$A121)-SUMIFS('Weekly Sales'!$F:$F,'Weekly Sales'!$H:$H,$A121,'Weekly Sales'!$I:$I,"DBN")+SUMIFS(Transfers!$F:$F,Transfers!$C:$C,$A121,Transfers!$J:$J,"DBN")-SUMIFS(Transfers!$F:$F,Transfers!$C:$C,$A121,Transfers!$I:$I,"DBN",Transfers!$H:$H,"&lt;&gt;Y")+SUMIFS('Stock Received'!$I:$I,'Stock Received'!$E:$E,$A121,'Stock Received'!$L:$L,"DBN")</f>
        <v>20.88</v>
      </c>
      <c r="H121" s="29" t="n">
        <f aca="false">E121+F121+G121</f>
        <v>40.88</v>
      </c>
      <c r="I121" s="19" t="n">
        <f aca="false">SUMIFS('Weekly Sales'!$F:$F,'Weekly Sales'!$H:$H,$A121)</f>
        <v>0</v>
      </c>
      <c r="J121" s="19" t="n">
        <f aca="false">SUMIFS(Orders!$L:$L,Orders!$D:$D,$A121,Orders!$F:$F,"&gt;="&amp;J$4,Orders!$F:$F,"&lt;"&amp;EDATE(J$4,1))</f>
        <v>0</v>
      </c>
      <c r="K121" s="19" t="n">
        <f aca="false">SUMIFS(Orders!$L:$L,Orders!$D:$D,$A121,Orders!$F:$F,"&gt;="&amp;K$4,Orders!$F:$F,"&lt;"&amp;EDATE(K$4,1))</f>
        <v>0</v>
      </c>
      <c r="L121" s="19" t="n">
        <f aca="false">SUMIFS(Orders!$L:$L,Orders!$D:$D,$A121,Orders!$F:$F,"&gt;="&amp;L$4,Orders!$F:$F,"&lt;"&amp;EDATE(L$4,1))</f>
        <v>0</v>
      </c>
      <c r="M121" s="19" t="n">
        <f aca="false">N121-J121-K121-L121</f>
        <v>0</v>
      </c>
      <c r="N121" s="19" t="n">
        <f aca="false">SUMIFS(Orders!$L:$L,Orders!$D:$D,$A121)</f>
        <v>0</v>
      </c>
      <c r="O121" s="19" t="n">
        <f aca="false">H121+N121</f>
        <v>40.88</v>
      </c>
      <c r="P121" s="30"/>
      <c r="Q121" s="19" t="n">
        <f aca="false">IF(SUMIFS('Sales History'!$E:$E,'Sales History'!$G:$G,$A121)&gt;0,SUMIFS('Sales History'!$E:$E,'Sales History'!$G:$G,$A121)/Settings!$B$4,N(P121))</f>
        <v>0</v>
      </c>
      <c r="R121" s="18" t="str">
        <f aca="false">IF(SUMIFS('Sales History'!$E:$E,'Sales History'!$G:$G,$A121)&gt;0,"6-month history",IF(N(P121)&gt;0,"Current sheet","No sales data"))</f>
        <v>No sales data</v>
      </c>
      <c r="S121" s="31" t="str">
        <f aca="false">IF(Q121&gt;0,H121/Q121,"")</f>
        <v/>
      </c>
      <c r="T121" s="30"/>
      <c r="U121" s="19" t="str">
        <f aca="false">IF(T121="","",MAX(0,T121-O121))</f>
        <v/>
      </c>
      <c r="V121" s="32" t="str">
        <f aca="false">IF(D121="End of range","END OF RANGE",IF(T121="","NO BUFFER SET",IF(H121&lt;=0,IF(O121&lt;T121,"OUT - REORDER","OUT - ON ORDER"),IF(O121&lt;T121,"REORDER",IF(H121&lt;T121,"LOW - ON ORDER",IF(AND(S121&lt;&gt;"",N(S121)&gt;Settings!$B$5),"SLOW MOVER","OK"))))))</f>
        <v>END OF RANGE</v>
      </c>
      <c r="W121" s="18" t="s">
        <v>295</v>
      </c>
      <c r="X121" s="33" t="n">
        <f aca="false">IF(OR(D121="End of range",U121=""),0,IF(N(U121)&gt;0,U121+ROW()/1000000,0))</f>
        <v>0</v>
      </c>
    </row>
    <row r="122" customFormat="false" ht="14.25" hidden="false" customHeight="true" outlineLevel="0" collapsed="false">
      <c r="A122" s="18" t="s">
        <v>316</v>
      </c>
      <c r="B122" s="18" t="s">
        <v>317</v>
      </c>
      <c r="C122" s="18" t="s">
        <v>79</v>
      </c>
      <c r="D122" s="18" t="s">
        <v>181</v>
      </c>
      <c r="E122" s="19" t="n">
        <f aca="false">SUMIFS('CPT Count'!$D:$D,'CPT Count'!$A:$A,$A122)-SUMIFS('Weekly Sales'!$F:$F,'Weekly Sales'!$H:$H,$A122,'Weekly Sales'!$I:$I,"CPT")+SUMIFS(Transfers!$F:$F,Transfers!$C:$C,$A122,Transfers!$J:$J,"CPT")-SUMIFS(Transfers!$F:$F,Transfers!$C:$C,$A122,Transfers!$I:$I,"CPT",Transfers!$H:$H,"&lt;&gt;Y")+SUMIFS('Stock Received'!$I:$I,'Stock Received'!$E:$E,$A122,'Stock Received'!$L:$L,"CPT")</f>
        <v>0</v>
      </c>
      <c r="F122" s="19" t="n">
        <f aca="false">SUMIFS('JHB Count'!$E:$E,'JHB Count'!$F:$F,$A122)-SUMIFS('Weekly Sales'!$F:$F,'Weekly Sales'!$H:$H,$A122,'Weekly Sales'!$I:$I,"JHB")+SUMIFS(Transfers!$F:$F,Transfers!$C:$C,$A122,Transfers!$J:$J,"JHB")-SUMIFS(Transfers!$F:$F,Transfers!$C:$C,$A122,Transfers!$I:$I,"JHB",Transfers!$H:$H,"&lt;&gt;Y")+SUMIFS('Stock Received'!$I:$I,'Stock Received'!$E:$E,$A122,'Stock Received'!$L:$L,"JHB")</f>
        <v>8</v>
      </c>
      <c r="G122" s="19" t="n">
        <f aca="false">SUMIFS('DBN Count'!$D:$D,'DBN Count'!$E:$E,$A122)-SUMIFS('Weekly Sales'!$F:$F,'Weekly Sales'!$H:$H,$A122,'Weekly Sales'!$I:$I,"DBN")+SUMIFS(Transfers!$F:$F,Transfers!$C:$C,$A122,Transfers!$J:$J,"DBN")-SUMIFS(Transfers!$F:$F,Transfers!$C:$C,$A122,Transfers!$I:$I,"DBN",Transfers!$H:$H,"&lt;&gt;Y")+SUMIFS('Stock Received'!$I:$I,'Stock Received'!$E:$E,$A122,'Stock Received'!$L:$L,"DBN")</f>
        <v>0</v>
      </c>
      <c r="H122" s="29" t="n">
        <f aca="false">E122+F122+G122</f>
        <v>8</v>
      </c>
      <c r="I122" s="19" t="n">
        <f aca="false">SUMIFS('Weekly Sales'!$F:$F,'Weekly Sales'!$H:$H,$A122)</f>
        <v>0</v>
      </c>
      <c r="J122" s="19" t="n">
        <f aca="false">SUMIFS(Orders!$L:$L,Orders!$D:$D,$A122,Orders!$F:$F,"&gt;="&amp;J$4,Orders!$F:$F,"&lt;"&amp;EDATE(J$4,1))</f>
        <v>0</v>
      </c>
      <c r="K122" s="19" t="n">
        <f aca="false">SUMIFS(Orders!$L:$L,Orders!$D:$D,$A122,Orders!$F:$F,"&gt;="&amp;K$4,Orders!$F:$F,"&lt;"&amp;EDATE(K$4,1))</f>
        <v>0</v>
      </c>
      <c r="L122" s="19" t="n">
        <f aca="false">SUMIFS(Orders!$L:$L,Orders!$D:$D,$A122,Orders!$F:$F,"&gt;="&amp;L$4,Orders!$F:$F,"&lt;"&amp;EDATE(L$4,1))</f>
        <v>0</v>
      </c>
      <c r="M122" s="19" t="n">
        <f aca="false">N122-J122-K122-L122</f>
        <v>0</v>
      </c>
      <c r="N122" s="19" t="n">
        <f aca="false">SUMIFS(Orders!$L:$L,Orders!$D:$D,$A122)</f>
        <v>0</v>
      </c>
      <c r="O122" s="19" t="n">
        <f aca="false">H122+N122</f>
        <v>8</v>
      </c>
      <c r="P122" s="30"/>
      <c r="Q122" s="19" t="n">
        <f aca="false">IF(SUMIFS('Sales History'!$E:$E,'Sales History'!$G:$G,$A122)&gt;0,SUMIFS('Sales History'!$E:$E,'Sales History'!$G:$G,$A122)/Settings!$B$4,N(P122))</f>
        <v>0</v>
      </c>
      <c r="R122" s="18" t="str">
        <f aca="false">IF(SUMIFS('Sales History'!$E:$E,'Sales History'!$G:$G,$A122)&gt;0,"6-month history",IF(N(P122)&gt;0,"Current sheet","No sales data"))</f>
        <v>No sales data</v>
      </c>
      <c r="S122" s="31" t="str">
        <f aca="false">IF(Q122&gt;0,H122/Q122,"")</f>
        <v/>
      </c>
      <c r="T122" s="30"/>
      <c r="U122" s="19" t="str">
        <f aca="false">IF(T122="","",MAX(0,T122-O122))</f>
        <v/>
      </c>
      <c r="V122" s="32" t="str">
        <f aca="false">IF(D122="End of range","END OF RANGE",IF(T122="","NO BUFFER SET",IF(H122&lt;=0,IF(O122&lt;T122,"OUT - REORDER","OUT - ON ORDER"),IF(O122&lt;T122,"REORDER",IF(H122&lt;T122,"LOW - ON ORDER",IF(AND(S122&lt;&gt;"",N(S122)&gt;Settings!$B$5),"SLOW MOVER","OK"))))))</f>
        <v>END OF RANGE</v>
      </c>
      <c r="W122" s="18" t="s">
        <v>295</v>
      </c>
      <c r="X122" s="33" t="n">
        <f aca="false">IF(OR(D122="End of range",U122=""),0,IF(N(U122)&gt;0,U122+ROW()/1000000,0))</f>
        <v>0</v>
      </c>
    </row>
    <row r="123" customFormat="false" ht="14.25" hidden="false" customHeight="true" outlineLevel="0" collapsed="false">
      <c r="A123" s="18" t="s">
        <v>318</v>
      </c>
      <c r="B123" s="18" t="s">
        <v>319</v>
      </c>
      <c r="C123" s="18" t="s">
        <v>79</v>
      </c>
      <c r="D123" s="18" t="s">
        <v>320</v>
      </c>
      <c r="E123" s="19" t="n">
        <f aca="false">SUMIFS('CPT Count'!$D:$D,'CPT Count'!$A:$A,$A123)-SUMIFS('Weekly Sales'!$F:$F,'Weekly Sales'!$H:$H,$A123,'Weekly Sales'!$I:$I,"CPT")+SUMIFS(Transfers!$F:$F,Transfers!$C:$C,$A123,Transfers!$J:$J,"CPT")-SUMIFS(Transfers!$F:$F,Transfers!$C:$C,$A123,Transfers!$I:$I,"CPT",Transfers!$H:$H,"&lt;&gt;Y")+SUMIFS('Stock Received'!$I:$I,'Stock Received'!$E:$E,$A123,'Stock Received'!$L:$L,"CPT")</f>
        <v>0</v>
      </c>
      <c r="F123" s="19" t="n">
        <f aca="false">SUMIFS('JHB Count'!$E:$E,'JHB Count'!$F:$F,$A123)-SUMIFS('Weekly Sales'!$F:$F,'Weekly Sales'!$H:$H,$A123,'Weekly Sales'!$I:$I,"JHB")+SUMIFS(Transfers!$F:$F,Transfers!$C:$C,$A123,Transfers!$J:$J,"JHB")-SUMIFS(Transfers!$F:$F,Transfers!$C:$C,$A123,Transfers!$I:$I,"JHB",Transfers!$H:$H,"&lt;&gt;Y")+SUMIFS('Stock Received'!$I:$I,'Stock Received'!$E:$E,$A123,'Stock Received'!$L:$L,"JHB")</f>
        <v>152</v>
      </c>
      <c r="G123" s="19" t="n">
        <f aca="false">SUMIFS('DBN Count'!$D:$D,'DBN Count'!$E:$E,$A123)-SUMIFS('Weekly Sales'!$F:$F,'Weekly Sales'!$H:$H,$A123,'Weekly Sales'!$I:$I,"DBN")+SUMIFS(Transfers!$F:$F,Transfers!$C:$C,$A123,Transfers!$J:$J,"DBN")-SUMIFS(Transfers!$F:$F,Transfers!$C:$C,$A123,Transfers!$I:$I,"DBN",Transfers!$H:$H,"&lt;&gt;Y")+SUMIFS('Stock Received'!$I:$I,'Stock Received'!$E:$E,$A123,'Stock Received'!$L:$L,"DBN")</f>
        <v>0</v>
      </c>
      <c r="H123" s="29" t="n">
        <f aca="false">E123+F123+G123</f>
        <v>152</v>
      </c>
      <c r="I123" s="19" t="n">
        <f aca="false">SUMIFS('Weekly Sales'!$F:$F,'Weekly Sales'!$H:$H,$A123)</f>
        <v>0</v>
      </c>
      <c r="J123" s="19" t="n">
        <f aca="false">SUMIFS(Orders!$L:$L,Orders!$D:$D,$A123,Orders!$F:$F,"&gt;="&amp;J$4,Orders!$F:$F,"&lt;"&amp;EDATE(J$4,1))</f>
        <v>0</v>
      </c>
      <c r="K123" s="19" t="n">
        <f aca="false">SUMIFS(Orders!$L:$L,Orders!$D:$D,$A123,Orders!$F:$F,"&gt;="&amp;K$4,Orders!$F:$F,"&lt;"&amp;EDATE(K$4,1))</f>
        <v>0</v>
      </c>
      <c r="L123" s="19" t="n">
        <f aca="false">SUMIFS(Orders!$L:$L,Orders!$D:$D,$A123,Orders!$F:$F,"&gt;="&amp;L$4,Orders!$F:$F,"&lt;"&amp;EDATE(L$4,1))</f>
        <v>0</v>
      </c>
      <c r="M123" s="19" t="n">
        <f aca="false">N123-J123-K123-L123</f>
        <v>0</v>
      </c>
      <c r="N123" s="19" t="n">
        <f aca="false">SUMIFS(Orders!$L:$L,Orders!$D:$D,$A123)</f>
        <v>0</v>
      </c>
      <c r="O123" s="19" t="n">
        <f aca="false">H123+N123</f>
        <v>152</v>
      </c>
      <c r="P123" s="30"/>
      <c r="Q123" s="19" t="n">
        <f aca="false">IF(SUMIFS('Sales History'!$E:$E,'Sales History'!$G:$G,$A123)&gt;0,SUMIFS('Sales History'!$E:$E,'Sales History'!$G:$G,$A123)/Settings!$B$4,N(P123))</f>
        <v>0</v>
      </c>
      <c r="R123" s="18" t="str">
        <f aca="false">IF(SUMIFS('Sales History'!$E:$E,'Sales History'!$G:$G,$A123)&gt;0,"6-month history",IF(N(P123)&gt;0,"Current sheet","No sales data"))</f>
        <v>No sales data</v>
      </c>
      <c r="S123" s="31" t="str">
        <f aca="false">IF(Q123&gt;0,H123/Q123,"")</f>
        <v/>
      </c>
      <c r="T123" s="30"/>
      <c r="U123" s="19" t="str">
        <f aca="false">IF(T123="","",MAX(0,T123-O123))</f>
        <v/>
      </c>
      <c r="V123" s="32" t="str">
        <f aca="false">IF(D123="End of range","END OF RANGE",IF(T123="","NO BUFFER SET",IF(H123&lt;=0,IF(O123&lt;T123,"OUT - REORDER","OUT - ON ORDER"),IF(O123&lt;T123,"REORDER",IF(H123&lt;T123,"LOW - ON ORDER",IF(AND(S123&lt;&gt;"",N(S123)&gt;Settings!$B$5),"SLOW MOVER","OK"))))))</f>
        <v>NO BUFFER SET</v>
      </c>
      <c r="W123" s="18" t="s">
        <v>295</v>
      </c>
      <c r="X123" s="33" t="n">
        <f aca="false">IF(OR(D123="End of range",U123=""),0,IF(N(U123)&gt;0,U123+ROW()/1000000,0))</f>
        <v>0</v>
      </c>
    </row>
    <row r="124" customFormat="false" ht="14.25" hidden="false" customHeight="true" outlineLevel="0" collapsed="false">
      <c r="A124" s="18" t="s">
        <v>321</v>
      </c>
      <c r="B124" s="18" t="s">
        <v>322</v>
      </c>
      <c r="C124" s="18" t="s">
        <v>79</v>
      </c>
      <c r="D124" s="18" t="s">
        <v>320</v>
      </c>
      <c r="E124" s="19" t="n">
        <f aca="false">SUMIFS('CPT Count'!$D:$D,'CPT Count'!$A:$A,$A124)-SUMIFS('Weekly Sales'!$F:$F,'Weekly Sales'!$H:$H,$A124,'Weekly Sales'!$I:$I,"CPT")+SUMIFS(Transfers!$F:$F,Transfers!$C:$C,$A124,Transfers!$J:$J,"CPT")-SUMIFS(Transfers!$F:$F,Transfers!$C:$C,$A124,Transfers!$I:$I,"CPT",Transfers!$H:$H,"&lt;&gt;Y")+SUMIFS('Stock Received'!$I:$I,'Stock Received'!$E:$E,$A124,'Stock Received'!$L:$L,"CPT")</f>
        <v>0</v>
      </c>
      <c r="F124" s="19" t="n">
        <f aca="false">SUMIFS('JHB Count'!$E:$E,'JHB Count'!$F:$F,$A124)-SUMIFS('Weekly Sales'!$F:$F,'Weekly Sales'!$H:$H,$A124,'Weekly Sales'!$I:$I,"JHB")+SUMIFS(Transfers!$F:$F,Transfers!$C:$C,$A124,Transfers!$J:$J,"JHB")-SUMIFS(Transfers!$F:$F,Transfers!$C:$C,$A124,Transfers!$I:$I,"JHB",Transfers!$H:$H,"&lt;&gt;Y")+SUMIFS('Stock Received'!$I:$I,'Stock Received'!$E:$E,$A124,'Stock Received'!$L:$L,"JHB")</f>
        <v>56</v>
      </c>
      <c r="G124" s="19" t="n">
        <f aca="false">SUMIFS('DBN Count'!$D:$D,'DBN Count'!$E:$E,$A124)-SUMIFS('Weekly Sales'!$F:$F,'Weekly Sales'!$H:$H,$A124,'Weekly Sales'!$I:$I,"DBN")+SUMIFS(Transfers!$F:$F,Transfers!$C:$C,$A124,Transfers!$J:$J,"DBN")-SUMIFS(Transfers!$F:$F,Transfers!$C:$C,$A124,Transfers!$I:$I,"DBN",Transfers!$H:$H,"&lt;&gt;Y")+SUMIFS('Stock Received'!$I:$I,'Stock Received'!$E:$E,$A124,'Stock Received'!$L:$L,"DBN")</f>
        <v>0</v>
      </c>
      <c r="H124" s="29" t="n">
        <f aca="false">E124+F124+G124</f>
        <v>56</v>
      </c>
      <c r="I124" s="19" t="n">
        <f aca="false">SUMIFS('Weekly Sales'!$F:$F,'Weekly Sales'!$H:$H,$A124)</f>
        <v>0</v>
      </c>
      <c r="J124" s="19" t="n">
        <f aca="false">SUMIFS(Orders!$L:$L,Orders!$D:$D,$A124,Orders!$F:$F,"&gt;="&amp;J$4,Orders!$F:$F,"&lt;"&amp;EDATE(J$4,1))</f>
        <v>0</v>
      </c>
      <c r="K124" s="19" t="n">
        <f aca="false">SUMIFS(Orders!$L:$L,Orders!$D:$D,$A124,Orders!$F:$F,"&gt;="&amp;K$4,Orders!$F:$F,"&lt;"&amp;EDATE(K$4,1))</f>
        <v>0</v>
      </c>
      <c r="L124" s="19" t="n">
        <f aca="false">SUMIFS(Orders!$L:$L,Orders!$D:$D,$A124,Orders!$F:$F,"&gt;="&amp;L$4,Orders!$F:$F,"&lt;"&amp;EDATE(L$4,1))</f>
        <v>0</v>
      </c>
      <c r="M124" s="19" t="n">
        <f aca="false">N124-J124-K124-L124</f>
        <v>0</v>
      </c>
      <c r="N124" s="19" t="n">
        <f aca="false">SUMIFS(Orders!$L:$L,Orders!$D:$D,$A124)</f>
        <v>0</v>
      </c>
      <c r="O124" s="19" t="n">
        <f aca="false">H124+N124</f>
        <v>56</v>
      </c>
      <c r="P124" s="30"/>
      <c r="Q124" s="19" t="n">
        <f aca="false">IF(SUMIFS('Sales History'!$E:$E,'Sales History'!$G:$G,$A124)&gt;0,SUMIFS('Sales History'!$E:$E,'Sales History'!$G:$G,$A124)/Settings!$B$4,N(P124))</f>
        <v>0</v>
      </c>
      <c r="R124" s="18" t="str">
        <f aca="false">IF(SUMIFS('Sales History'!$E:$E,'Sales History'!$G:$G,$A124)&gt;0,"6-month history",IF(N(P124)&gt;0,"Current sheet","No sales data"))</f>
        <v>No sales data</v>
      </c>
      <c r="S124" s="31" t="str">
        <f aca="false">IF(Q124&gt;0,H124/Q124,"")</f>
        <v/>
      </c>
      <c r="T124" s="30"/>
      <c r="U124" s="19" t="str">
        <f aca="false">IF(T124="","",MAX(0,T124-O124))</f>
        <v/>
      </c>
      <c r="V124" s="32" t="str">
        <f aca="false">IF(D124="End of range","END OF RANGE",IF(T124="","NO BUFFER SET",IF(H124&lt;=0,IF(O124&lt;T124,"OUT - REORDER","OUT - ON ORDER"),IF(O124&lt;T124,"REORDER",IF(H124&lt;T124,"LOW - ON ORDER",IF(AND(S124&lt;&gt;"",N(S124)&gt;Settings!$B$5),"SLOW MOVER","OK"))))))</f>
        <v>NO BUFFER SET</v>
      </c>
      <c r="W124" s="18" t="s">
        <v>295</v>
      </c>
      <c r="X124" s="33" t="n">
        <f aca="false">IF(OR(D124="End of range",U124=""),0,IF(N(U124)&gt;0,U124+ROW()/1000000,0))</f>
        <v>0</v>
      </c>
    </row>
    <row r="125" customFormat="false" ht="14.25" hidden="false" customHeight="true" outlineLevel="0" collapsed="false">
      <c r="A125" s="18" t="s">
        <v>323</v>
      </c>
      <c r="B125" s="18" t="s">
        <v>324</v>
      </c>
      <c r="C125" s="18" t="s">
        <v>79</v>
      </c>
      <c r="D125" s="18" t="s">
        <v>181</v>
      </c>
      <c r="E125" s="19" t="n">
        <f aca="false">SUMIFS('CPT Count'!$D:$D,'CPT Count'!$A:$A,$A125)-SUMIFS('Weekly Sales'!$F:$F,'Weekly Sales'!$H:$H,$A125,'Weekly Sales'!$I:$I,"CPT")+SUMIFS(Transfers!$F:$F,Transfers!$C:$C,$A125,Transfers!$J:$J,"CPT")-SUMIFS(Transfers!$F:$F,Transfers!$C:$C,$A125,Transfers!$I:$I,"CPT",Transfers!$H:$H,"&lt;&gt;Y")+SUMIFS('Stock Received'!$I:$I,'Stock Received'!$E:$E,$A125,'Stock Received'!$L:$L,"CPT")</f>
        <v>0</v>
      </c>
      <c r="F125" s="19" t="n">
        <f aca="false">SUMIFS('JHB Count'!$E:$E,'JHB Count'!$F:$F,$A125)-SUMIFS('Weekly Sales'!$F:$F,'Weekly Sales'!$H:$H,$A125,'Weekly Sales'!$I:$I,"JHB")+SUMIFS(Transfers!$F:$F,Transfers!$C:$C,$A125,Transfers!$J:$J,"JHB")-SUMIFS(Transfers!$F:$F,Transfers!$C:$C,$A125,Transfers!$I:$I,"JHB",Transfers!$H:$H,"&lt;&gt;Y")+SUMIFS('Stock Received'!$I:$I,'Stock Received'!$E:$E,$A125,'Stock Received'!$L:$L,"JHB")</f>
        <v>16</v>
      </c>
      <c r="G125" s="19" t="n">
        <f aca="false">SUMIFS('DBN Count'!$D:$D,'DBN Count'!$E:$E,$A125)-SUMIFS('Weekly Sales'!$F:$F,'Weekly Sales'!$H:$H,$A125,'Weekly Sales'!$I:$I,"DBN")+SUMIFS(Transfers!$F:$F,Transfers!$C:$C,$A125,Transfers!$J:$J,"DBN")-SUMIFS(Transfers!$F:$F,Transfers!$C:$C,$A125,Transfers!$I:$I,"DBN",Transfers!$H:$H,"&lt;&gt;Y")+SUMIFS('Stock Received'!$I:$I,'Stock Received'!$E:$E,$A125,'Stock Received'!$L:$L,"DBN")</f>
        <v>0</v>
      </c>
      <c r="H125" s="29" t="n">
        <f aca="false">E125+F125+G125</f>
        <v>16</v>
      </c>
      <c r="I125" s="19" t="n">
        <f aca="false">SUMIFS('Weekly Sales'!$F:$F,'Weekly Sales'!$H:$H,$A125)</f>
        <v>0</v>
      </c>
      <c r="J125" s="19" t="n">
        <f aca="false">SUMIFS(Orders!$L:$L,Orders!$D:$D,$A125,Orders!$F:$F,"&gt;="&amp;J$4,Orders!$F:$F,"&lt;"&amp;EDATE(J$4,1))</f>
        <v>0</v>
      </c>
      <c r="K125" s="19" t="n">
        <f aca="false">SUMIFS(Orders!$L:$L,Orders!$D:$D,$A125,Orders!$F:$F,"&gt;="&amp;K$4,Orders!$F:$F,"&lt;"&amp;EDATE(K$4,1))</f>
        <v>0</v>
      </c>
      <c r="L125" s="19" t="n">
        <f aca="false">SUMIFS(Orders!$L:$L,Orders!$D:$D,$A125,Orders!$F:$F,"&gt;="&amp;L$4,Orders!$F:$F,"&lt;"&amp;EDATE(L$4,1))</f>
        <v>0</v>
      </c>
      <c r="M125" s="19" t="n">
        <f aca="false">N125-J125-K125-L125</f>
        <v>0</v>
      </c>
      <c r="N125" s="19" t="n">
        <f aca="false">SUMIFS(Orders!$L:$L,Orders!$D:$D,$A125)</f>
        <v>0</v>
      </c>
      <c r="O125" s="19" t="n">
        <f aca="false">H125+N125</f>
        <v>16</v>
      </c>
      <c r="P125" s="30"/>
      <c r="Q125" s="19" t="n">
        <f aca="false">IF(SUMIFS('Sales History'!$E:$E,'Sales History'!$G:$G,$A125)&gt;0,SUMIFS('Sales History'!$E:$E,'Sales History'!$G:$G,$A125)/Settings!$B$4,N(P125))</f>
        <v>0</v>
      </c>
      <c r="R125" s="18" t="str">
        <f aca="false">IF(SUMIFS('Sales History'!$E:$E,'Sales History'!$G:$G,$A125)&gt;0,"6-month history",IF(N(P125)&gt;0,"Current sheet","No sales data"))</f>
        <v>No sales data</v>
      </c>
      <c r="S125" s="31" t="str">
        <f aca="false">IF(Q125&gt;0,H125/Q125,"")</f>
        <v/>
      </c>
      <c r="T125" s="30"/>
      <c r="U125" s="19" t="str">
        <f aca="false">IF(T125="","",MAX(0,T125-O125))</f>
        <v/>
      </c>
      <c r="V125" s="32" t="str">
        <f aca="false">IF(D125="End of range","END OF RANGE",IF(T125="","NO BUFFER SET",IF(H125&lt;=0,IF(O125&lt;T125,"OUT - REORDER","OUT - ON ORDER"),IF(O125&lt;T125,"REORDER",IF(H125&lt;T125,"LOW - ON ORDER",IF(AND(S125&lt;&gt;"",N(S125)&gt;Settings!$B$5),"SLOW MOVER","OK"))))))</f>
        <v>END OF RANGE</v>
      </c>
      <c r="W125" s="18" t="s">
        <v>295</v>
      </c>
      <c r="X125" s="33" t="n">
        <f aca="false">IF(OR(D125="End of range",U125=""),0,IF(N(U125)&gt;0,U125+ROW()/1000000,0))</f>
        <v>0</v>
      </c>
    </row>
    <row r="126" customFormat="false" ht="14.25" hidden="false" customHeight="true" outlineLevel="0" collapsed="false">
      <c r="A126" s="18" t="s">
        <v>325</v>
      </c>
      <c r="B126" s="18" t="s">
        <v>326</v>
      </c>
      <c r="C126" s="18" t="s">
        <v>79</v>
      </c>
      <c r="D126" s="18" t="s">
        <v>181</v>
      </c>
      <c r="E126" s="19" t="n">
        <f aca="false">SUMIFS('CPT Count'!$D:$D,'CPT Count'!$A:$A,$A126)-SUMIFS('Weekly Sales'!$F:$F,'Weekly Sales'!$H:$H,$A126,'Weekly Sales'!$I:$I,"CPT")+SUMIFS(Transfers!$F:$F,Transfers!$C:$C,$A126,Transfers!$J:$J,"CPT")-SUMIFS(Transfers!$F:$F,Transfers!$C:$C,$A126,Transfers!$I:$I,"CPT",Transfers!$H:$H,"&lt;&gt;Y")+SUMIFS('Stock Received'!$I:$I,'Stock Received'!$E:$E,$A126,'Stock Received'!$L:$L,"CPT")</f>
        <v>0</v>
      </c>
      <c r="F126" s="19" t="n">
        <f aca="false">SUMIFS('JHB Count'!$E:$E,'JHB Count'!$F:$F,$A126)-SUMIFS('Weekly Sales'!$F:$F,'Weekly Sales'!$H:$H,$A126,'Weekly Sales'!$I:$I,"JHB")+SUMIFS(Transfers!$F:$F,Transfers!$C:$C,$A126,Transfers!$J:$J,"JHB")-SUMIFS(Transfers!$F:$F,Transfers!$C:$C,$A126,Transfers!$I:$I,"JHB",Transfers!$H:$H,"&lt;&gt;Y")+SUMIFS('Stock Received'!$I:$I,'Stock Received'!$E:$E,$A126,'Stock Received'!$L:$L,"JHB")</f>
        <v>16</v>
      </c>
      <c r="G126" s="19" t="n">
        <f aca="false">SUMIFS('DBN Count'!$D:$D,'DBN Count'!$E:$E,$A126)-SUMIFS('Weekly Sales'!$F:$F,'Weekly Sales'!$H:$H,$A126,'Weekly Sales'!$I:$I,"DBN")+SUMIFS(Transfers!$F:$F,Transfers!$C:$C,$A126,Transfers!$J:$J,"DBN")-SUMIFS(Transfers!$F:$F,Transfers!$C:$C,$A126,Transfers!$I:$I,"DBN",Transfers!$H:$H,"&lt;&gt;Y")+SUMIFS('Stock Received'!$I:$I,'Stock Received'!$E:$E,$A126,'Stock Received'!$L:$L,"DBN")</f>
        <v>3.23</v>
      </c>
      <c r="H126" s="29" t="n">
        <f aca="false">E126+F126+G126</f>
        <v>19.23</v>
      </c>
      <c r="I126" s="19" t="n">
        <f aca="false">SUMIFS('Weekly Sales'!$F:$F,'Weekly Sales'!$H:$H,$A126)</f>
        <v>0</v>
      </c>
      <c r="J126" s="19" t="n">
        <f aca="false">SUMIFS(Orders!$L:$L,Orders!$D:$D,$A126,Orders!$F:$F,"&gt;="&amp;J$4,Orders!$F:$F,"&lt;"&amp;EDATE(J$4,1))</f>
        <v>0</v>
      </c>
      <c r="K126" s="19" t="n">
        <f aca="false">SUMIFS(Orders!$L:$L,Orders!$D:$D,$A126,Orders!$F:$F,"&gt;="&amp;K$4,Orders!$F:$F,"&lt;"&amp;EDATE(K$4,1))</f>
        <v>0</v>
      </c>
      <c r="L126" s="19" t="n">
        <f aca="false">SUMIFS(Orders!$L:$L,Orders!$D:$D,$A126,Orders!$F:$F,"&gt;="&amp;L$4,Orders!$F:$F,"&lt;"&amp;EDATE(L$4,1))</f>
        <v>0</v>
      </c>
      <c r="M126" s="19" t="n">
        <f aca="false">N126-J126-K126-L126</f>
        <v>0</v>
      </c>
      <c r="N126" s="19" t="n">
        <f aca="false">SUMIFS(Orders!$L:$L,Orders!$D:$D,$A126)</f>
        <v>0</v>
      </c>
      <c r="O126" s="19" t="n">
        <f aca="false">H126+N126</f>
        <v>19.23</v>
      </c>
      <c r="P126" s="30"/>
      <c r="Q126" s="19" t="n">
        <f aca="false">IF(SUMIFS('Sales History'!$E:$E,'Sales History'!$G:$G,$A126)&gt;0,SUMIFS('Sales History'!$E:$E,'Sales History'!$G:$G,$A126)/Settings!$B$4,N(P126))</f>
        <v>0</v>
      </c>
      <c r="R126" s="18" t="str">
        <f aca="false">IF(SUMIFS('Sales History'!$E:$E,'Sales History'!$G:$G,$A126)&gt;0,"6-month history",IF(N(P126)&gt;0,"Current sheet","No sales data"))</f>
        <v>No sales data</v>
      </c>
      <c r="S126" s="31" t="str">
        <f aca="false">IF(Q126&gt;0,H126/Q126,"")</f>
        <v/>
      </c>
      <c r="T126" s="30"/>
      <c r="U126" s="19" t="str">
        <f aca="false">IF(T126="","",MAX(0,T126-O126))</f>
        <v/>
      </c>
      <c r="V126" s="32" t="str">
        <f aca="false">IF(D126="End of range","END OF RANGE",IF(T126="","NO BUFFER SET",IF(H126&lt;=0,IF(O126&lt;T126,"OUT - REORDER","OUT - ON ORDER"),IF(O126&lt;T126,"REORDER",IF(H126&lt;T126,"LOW - ON ORDER",IF(AND(S126&lt;&gt;"",N(S126)&gt;Settings!$B$5),"SLOW MOVER","OK"))))))</f>
        <v>END OF RANGE</v>
      </c>
      <c r="W126" s="18" t="s">
        <v>295</v>
      </c>
      <c r="X126" s="33" t="n">
        <f aca="false">IF(OR(D126="End of range",U126=""),0,IF(N(U126)&gt;0,U126+ROW()/1000000,0))</f>
        <v>0</v>
      </c>
    </row>
    <row r="127" customFormat="false" ht="14.25" hidden="false" customHeight="true" outlineLevel="0" collapsed="false">
      <c r="A127" s="18" t="s">
        <v>327</v>
      </c>
      <c r="B127" s="18" t="s">
        <v>328</v>
      </c>
      <c r="C127" s="18" t="s">
        <v>79</v>
      </c>
      <c r="D127" s="18" t="s">
        <v>181</v>
      </c>
      <c r="E127" s="19" t="n">
        <f aca="false">SUMIFS('CPT Count'!$D:$D,'CPT Count'!$A:$A,$A127)-SUMIFS('Weekly Sales'!$F:$F,'Weekly Sales'!$H:$H,$A127,'Weekly Sales'!$I:$I,"CPT")+SUMIFS(Transfers!$F:$F,Transfers!$C:$C,$A127,Transfers!$J:$J,"CPT")-SUMIFS(Transfers!$F:$F,Transfers!$C:$C,$A127,Transfers!$I:$I,"CPT",Transfers!$H:$H,"&lt;&gt;Y")+SUMIFS('Stock Received'!$I:$I,'Stock Received'!$E:$E,$A127,'Stock Received'!$L:$L,"CPT")</f>
        <v>0</v>
      </c>
      <c r="F127" s="19" t="n">
        <f aca="false">SUMIFS('JHB Count'!$E:$E,'JHB Count'!$F:$F,$A127)-SUMIFS('Weekly Sales'!$F:$F,'Weekly Sales'!$H:$H,$A127,'Weekly Sales'!$I:$I,"JHB")+SUMIFS(Transfers!$F:$F,Transfers!$C:$C,$A127,Transfers!$J:$J,"JHB")-SUMIFS(Transfers!$F:$F,Transfers!$C:$C,$A127,Transfers!$I:$I,"JHB",Transfers!$H:$H,"&lt;&gt;Y")+SUMIFS('Stock Received'!$I:$I,'Stock Received'!$E:$E,$A127,'Stock Received'!$L:$L,"JHB")</f>
        <v>4</v>
      </c>
      <c r="G127" s="19" t="n">
        <f aca="false">SUMIFS('DBN Count'!$D:$D,'DBN Count'!$E:$E,$A127)-SUMIFS('Weekly Sales'!$F:$F,'Weekly Sales'!$H:$H,$A127,'Weekly Sales'!$I:$I,"DBN")+SUMIFS(Transfers!$F:$F,Transfers!$C:$C,$A127,Transfers!$J:$J,"DBN")-SUMIFS(Transfers!$F:$F,Transfers!$C:$C,$A127,Transfers!$I:$I,"DBN",Transfers!$H:$H,"&lt;&gt;Y")+SUMIFS('Stock Received'!$I:$I,'Stock Received'!$E:$E,$A127,'Stock Received'!$L:$L,"DBN")</f>
        <v>0</v>
      </c>
      <c r="H127" s="29" t="n">
        <f aca="false">E127+F127+G127</f>
        <v>4</v>
      </c>
      <c r="I127" s="19" t="n">
        <f aca="false">SUMIFS('Weekly Sales'!$F:$F,'Weekly Sales'!$H:$H,$A127)</f>
        <v>0</v>
      </c>
      <c r="J127" s="19" t="n">
        <f aca="false">SUMIFS(Orders!$L:$L,Orders!$D:$D,$A127,Orders!$F:$F,"&gt;="&amp;J$4,Orders!$F:$F,"&lt;"&amp;EDATE(J$4,1))</f>
        <v>0</v>
      </c>
      <c r="K127" s="19" t="n">
        <f aca="false">SUMIFS(Orders!$L:$L,Orders!$D:$D,$A127,Orders!$F:$F,"&gt;="&amp;K$4,Orders!$F:$F,"&lt;"&amp;EDATE(K$4,1))</f>
        <v>0</v>
      </c>
      <c r="L127" s="19" t="n">
        <f aca="false">SUMIFS(Orders!$L:$L,Orders!$D:$D,$A127,Orders!$F:$F,"&gt;="&amp;L$4,Orders!$F:$F,"&lt;"&amp;EDATE(L$4,1))</f>
        <v>0</v>
      </c>
      <c r="M127" s="19" t="n">
        <f aca="false">N127-J127-K127-L127</f>
        <v>0</v>
      </c>
      <c r="N127" s="19" t="n">
        <f aca="false">SUMIFS(Orders!$L:$L,Orders!$D:$D,$A127)</f>
        <v>0</v>
      </c>
      <c r="O127" s="19" t="n">
        <f aca="false">H127+N127</f>
        <v>4</v>
      </c>
      <c r="P127" s="30"/>
      <c r="Q127" s="19" t="n">
        <f aca="false">IF(SUMIFS('Sales History'!$E:$E,'Sales History'!$G:$G,$A127)&gt;0,SUMIFS('Sales History'!$E:$E,'Sales History'!$G:$G,$A127)/Settings!$B$4,N(P127))</f>
        <v>0</v>
      </c>
      <c r="R127" s="18" t="str">
        <f aca="false">IF(SUMIFS('Sales History'!$E:$E,'Sales History'!$G:$G,$A127)&gt;0,"6-month history",IF(N(P127)&gt;0,"Current sheet","No sales data"))</f>
        <v>No sales data</v>
      </c>
      <c r="S127" s="31" t="str">
        <f aca="false">IF(Q127&gt;0,H127/Q127,"")</f>
        <v/>
      </c>
      <c r="T127" s="30"/>
      <c r="U127" s="19" t="str">
        <f aca="false">IF(T127="","",MAX(0,T127-O127))</f>
        <v/>
      </c>
      <c r="V127" s="32" t="str">
        <f aca="false">IF(D127="End of range","END OF RANGE",IF(T127="","NO BUFFER SET",IF(H127&lt;=0,IF(O127&lt;T127,"OUT - REORDER","OUT - ON ORDER"),IF(O127&lt;T127,"REORDER",IF(H127&lt;T127,"LOW - ON ORDER",IF(AND(S127&lt;&gt;"",N(S127)&gt;Settings!$B$5),"SLOW MOVER","OK"))))))</f>
        <v>END OF RANGE</v>
      </c>
      <c r="W127" s="18" t="s">
        <v>295</v>
      </c>
      <c r="X127" s="33" t="n">
        <f aca="false">IF(OR(D127="End of range",U127=""),0,IF(N(U127)&gt;0,U127+ROW()/1000000,0))</f>
        <v>0</v>
      </c>
    </row>
    <row r="128" customFormat="false" ht="14.25" hidden="false" customHeight="true" outlineLevel="0" collapsed="false">
      <c r="A128" s="18" t="s">
        <v>329</v>
      </c>
      <c r="B128" s="18" t="s">
        <v>330</v>
      </c>
      <c r="C128" s="18" t="s">
        <v>331</v>
      </c>
      <c r="D128" s="18" t="s">
        <v>80</v>
      </c>
      <c r="E128" s="19" t="n">
        <f aca="false">SUMIFS('CPT Count'!$D:$D,'CPT Count'!$A:$A,$A128)-SUMIFS('Weekly Sales'!$F:$F,'Weekly Sales'!$H:$H,$A128,'Weekly Sales'!$I:$I,"CPT")+SUMIFS(Transfers!$F:$F,Transfers!$C:$C,$A128,Transfers!$J:$J,"CPT")-SUMIFS(Transfers!$F:$F,Transfers!$C:$C,$A128,Transfers!$I:$I,"CPT",Transfers!$H:$H,"&lt;&gt;Y")+SUMIFS('Stock Received'!$I:$I,'Stock Received'!$E:$E,$A128,'Stock Received'!$L:$L,"CPT")</f>
        <v>279</v>
      </c>
      <c r="F128" s="19" t="n">
        <f aca="false">SUMIFS('JHB Count'!$E:$E,'JHB Count'!$F:$F,$A128)-SUMIFS('Weekly Sales'!$F:$F,'Weekly Sales'!$H:$H,$A128,'Weekly Sales'!$I:$I,"JHB")+SUMIFS(Transfers!$F:$F,Transfers!$C:$C,$A128,Transfers!$J:$J,"JHB")-SUMIFS(Transfers!$F:$F,Transfers!$C:$C,$A128,Transfers!$I:$I,"JHB",Transfers!$H:$H,"&lt;&gt;Y")+SUMIFS('Stock Received'!$I:$I,'Stock Received'!$E:$E,$A128,'Stock Received'!$L:$L,"JHB")</f>
        <v>0</v>
      </c>
      <c r="G128" s="19" t="n">
        <f aca="false">SUMIFS('DBN Count'!$D:$D,'DBN Count'!$E:$E,$A128)-SUMIFS('Weekly Sales'!$F:$F,'Weekly Sales'!$H:$H,$A128,'Weekly Sales'!$I:$I,"DBN")+SUMIFS(Transfers!$F:$F,Transfers!$C:$C,$A128,Transfers!$J:$J,"DBN")-SUMIFS(Transfers!$F:$F,Transfers!$C:$C,$A128,Transfers!$I:$I,"DBN",Transfers!$H:$H,"&lt;&gt;Y")+SUMIFS('Stock Received'!$I:$I,'Stock Received'!$E:$E,$A128,'Stock Received'!$L:$L,"DBN")</f>
        <v>13.97</v>
      </c>
      <c r="H128" s="29" t="n">
        <f aca="false">E128+F128+G128</f>
        <v>292.97</v>
      </c>
      <c r="I128" s="19" t="n">
        <f aca="false">SUMIFS('Weekly Sales'!$F:$F,'Weekly Sales'!$H:$H,$A128)</f>
        <v>4</v>
      </c>
      <c r="J128" s="19" t="n">
        <f aca="false">SUMIFS(Orders!$L:$L,Orders!$D:$D,$A128,Orders!$F:$F,"&gt;="&amp;J$4,Orders!$F:$F,"&lt;"&amp;EDATE(J$4,1))</f>
        <v>0</v>
      </c>
      <c r="K128" s="19" t="n">
        <f aca="false">SUMIFS(Orders!$L:$L,Orders!$D:$D,$A128,Orders!$F:$F,"&gt;="&amp;K$4,Orders!$F:$F,"&lt;"&amp;EDATE(K$4,1))</f>
        <v>0</v>
      </c>
      <c r="L128" s="19" t="n">
        <f aca="false">SUMIFS(Orders!$L:$L,Orders!$D:$D,$A128,Orders!$F:$F,"&gt;="&amp;L$4,Orders!$F:$F,"&lt;"&amp;EDATE(L$4,1))</f>
        <v>300</v>
      </c>
      <c r="M128" s="19" t="n">
        <f aca="false">N128-J128-K128-L128</f>
        <v>0</v>
      </c>
      <c r="N128" s="19" t="n">
        <f aca="false">SUMIFS(Orders!$L:$L,Orders!$D:$D,$A128)</f>
        <v>300</v>
      </c>
      <c r="O128" s="19" t="n">
        <f aca="false">H128+N128</f>
        <v>592.97</v>
      </c>
      <c r="P128" s="30" t="n">
        <v>110</v>
      </c>
      <c r="Q128" s="19" t="n">
        <f aca="false">IF(SUMIFS('Sales History'!$E:$E,'Sales History'!$G:$G,$A128)&gt;0,SUMIFS('Sales History'!$E:$E,'Sales History'!$G:$G,$A128)/Settings!$B$4,N(P128))</f>
        <v>110</v>
      </c>
      <c r="R128" s="18" t="str">
        <f aca="false">IF(SUMIFS('Sales History'!$E:$E,'Sales History'!$G:$G,$A128)&gt;0,"6-month history",IF(N(P128)&gt;0,"Current sheet","No sales data"))</f>
        <v>Current sheet</v>
      </c>
      <c r="S128" s="31" t="n">
        <f aca="false">IF(Q128&gt;0,H128/Q128,"")</f>
        <v>2.66336363636364</v>
      </c>
      <c r="T128" s="30" t="n">
        <v>300</v>
      </c>
      <c r="U128" s="19" t="n">
        <f aca="false">IF(T128="","",MAX(0,T128-O128))</f>
        <v>0</v>
      </c>
      <c r="V128" s="32" t="str">
        <f aca="false">IF(D128="End of range","END OF RANGE",IF(T128="","NO BUFFER SET",IF(H128&lt;=0,IF(O128&lt;T128,"OUT - REORDER","OUT - ON ORDER"),IF(O128&lt;T128,"REORDER",IF(H128&lt;T128,"LOW - ON ORDER",IF(AND(S128&lt;&gt;"",N(S128)&gt;Settings!$B$5),"SLOW MOVER","OK"))))))</f>
        <v>LOW - ON ORDER</v>
      </c>
      <c r="W128" s="18"/>
      <c r="X128" s="33" t="n">
        <f aca="false">IF(OR(D128="End of range",U128=""),0,IF(N(U128)&gt;0,U128+ROW()/1000000,0))</f>
        <v>0</v>
      </c>
    </row>
    <row r="129" customFormat="false" ht="14.25" hidden="false" customHeight="true" outlineLevel="0" collapsed="false">
      <c r="A129" s="18" t="s">
        <v>332</v>
      </c>
      <c r="B129" s="18" t="s">
        <v>333</v>
      </c>
      <c r="C129" s="18" t="s">
        <v>331</v>
      </c>
      <c r="D129" s="18" t="s">
        <v>80</v>
      </c>
      <c r="E129" s="19" t="n">
        <f aca="false">SUMIFS('CPT Count'!$D:$D,'CPT Count'!$A:$A,$A129)-SUMIFS('Weekly Sales'!$F:$F,'Weekly Sales'!$H:$H,$A129,'Weekly Sales'!$I:$I,"CPT")+SUMIFS(Transfers!$F:$F,Transfers!$C:$C,$A129,Transfers!$J:$J,"CPT")-SUMIFS(Transfers!$F:$F,Transfers!$C:$C,$A129,Transfers!$I:$I,"CPT",Transfers!$H:$H,"&lt;&gt;Y")+SUMIFS('Stock Received'!$I:$I,'Stock Received'!$E:$E,$A129,'Stock Received'!$L:$L,"CPT")</f>
        <v>517.97</v>
      </c>
      <c r="F129" s="19" t="n">
        <f aca="false">SUMIFS('JHB Count'!$E:$E,'JHB Count'!$F:$F,$A129)-SUMIFS('Weekly Sales'!$F:$F,'Weekly Sales'!$H:$H,$A129,'Weekly Sales'!$I:$I,"JHB")+SUMIFS(Transfers!$F:$F,Transfers!$C:$C,$A129,Transfers!$J:$J,"JHB")-SUMIFS(Transfers!$F:$F,Transfers!$C:$C,$A129,Transfers!$I:$I,"JHB",Transfers!$H:$H,"&lt;&gt;Y")+SUMIFS('Stock Received'!$I:$I,'Stock Received'!$E:$E,$A129,'Stock Received'!$L:$L,"JHB")</f>
        <v>24.95</v>
      </c>
      <c r="G129" s="19" t="n">
        <f aca="false">SUMIFS('DBN Count'!$D:$D,'DBN Count'!$E:$E,$A129)-SUMIFS('Weekly Sales'!$F:$F,'Weekly Sales'!$H:$H,$A129,'Weekly Sales'!$I:$I,"DBN")+SUMIFS(Transfers!$F:$F,Transfers!$C:$C,$A129,Transfers!$J:$J,"DBN")-SUMIFS(Transfers!$F:$F,Transfers!$C:$C,$A129,Transfers!$I:$I,"DBN",Transfers!$H:$H,"&lt;&gt;Y")+SUMIFS('Stock Received'!$I:$I,'Stock Received'!$E:$E,$A129,'Stock Received'!$L:$L,"DBN")</f>
        <v>12.22</v>
      </c>
      <c r="H129" s="29" t="n">
        <f aca="false">E129+F129+G129</f>
        <v>555.14</v>
      </c>
      <c r="I129" s="19" t="n">
        <f aca="false">SUMIFS('Weekly Sales'!$F:$F,'Weekly Sales'!$H:$H,$A129)</f>
        <v>107.35</v>
      </c>
      <c r="J129" s="19" t="n">
        <f aca="false">SUMIFS(Orders!$L:$L,Orders!$D:$D,$A129,Orders!$F:$F,"&gt;="&amp;J$4,Orders!$F:$F,"&lt;"&amp;EDATE(J$4,1))</f>
        <v>0</v>
      </c>
      <c r="K129" s="19" t="n">
        <f aca="false">SUMIFS(Orders!$L:$L,Orders!$D:$D,$A129,Orders!$F:$F,"&gt;="&amp;K$4,Orders!$F:$F,"&lt;"&amp;EDATE(K$4,1))</f>
        <v>300</v>
      </c>
      <c r="L129" s="19" t="n">
        <f aca="false">SUMIFS(Orders!$L:$L,Orders!$D:$D,$A129,Orders!$F:$F,"&gt;="&amp;L$4,Orders!$F:$F,"&lt;"&amp;EDATE(L$4,1))</f>
        <v>300</v>
      </c>
      <c r="M129" s="19" t="n">
        <f aca="false">N129-J129-K129-L129</f>
        <v>0</v>
      </c>
      <c r="N129" s="19" t="n">
        <f aca="false">SUMIFS(Orders!$L:$L,Orders!$D:$D,$A129)</f>
        <v>600</v>
      </c>
      <c r="O129" s="19" t="n">
        <f aca="false">H129+N129</f>
        <v>1155.14</v>
      </c>
      <c r="P129" s="30" t="n">
        <v>300</v>
      </c>
      <c r="Q129" s="19" t="n">
        <f aca="false">IF(SUMIFS('Sales History'!$E:$E,'Sales History'!$G:$G,$A129)&gt;0,SUMIFS('Sales History'!$E:$E,'Sales History'!$G:$G,$A129)/Settings!$B$4,N(P129))</f>
        <v>300</v>
      </c>
      <c r="R129" s="18" t="str">
        <f aca="false">IF(SUMIFS('Sales History'!$E:$E,'Sales History'!$G:$G,$A129)&gt;0,"6-month history",IF(N(P129)&gt;0,"Current sheet","No sales data"))</f>
        <v>Current sheet</v>
      </c>
      <c r="S129" s="31" t="n">
        <f aca="false">IF(Q129&gt;0,H129/Q129,"")</f>
        <v>1.85046666666667</v>
      </c>
      <c r="T129" s="30" t="n">
        <v>500</v>
      </c>
      <c r="U129" s="19" t="n">
        <f aca="false">IF(T129="","",MAX(0,T129-O129))</f>
        <v>0</v>
      </c>
      <c r="V129" s="32" t="str">
        <f aca="false">IF(D129="End of range","END OF RANGE",IF(T129="","NO BUFFER SET",IF(H129&lt;=0,IF(O129&lt;T129,"OUT - REORDER","OUT - ON ORDER"),IF(O129&lt;T129,"REORDER",IF(H129&lt;T129,"LOW - ON ORDER",IF(AND(S129&lt;&gt;"",N(S129)&gt;Settings!$B$5),"SLOW MOVER","OK"))))))</f>
        <v>OK</v>
      </c>
      <c r="W129" s="18"/>
      <c r="X129" s="33" t="n">
        <f aca="false">IF(OR(D129="End of range",U129=""),0,IF(N(U129)&gt;0,U129+ROW()/1000000,0))</f>
        <v>0</v>
      </c>
    </row>
    <row r="130" customFormat="false" ht="14.25" hidden="false" customHeight="true" outlineLevel="0" collapsed="false">
      <c r="A130" s="18" t="s">
        <v>334</v>
      </c>
      <c r="B130" s="18" t="s">
        <v>335</v>
      </c>
      <c r="C130" s="18" t="s">
        <v>331</v>
      </c>
      <c r="D130" s="18" t="s">
        <v>80</v>
      </c>
      <c r="E130" s="19" t="n">
        <f aca="false">SUMIFS('CPT Count'!$D:$D,'CPT Count'!$A:$A,$A130)-SUMIFS('Weekly Sales'!$F:$F,'Weekly Sales'!$H:$H,$A130,'Weekly Sales'!$I:$I,"CPT")+SUMIFS(Transfers!$F:$F,Transfers!$C:$C,$A130,Transfers!$J:$J,"CPT")-SUMIFS(Transfers!$F:$F,Transfers!$C:$C,$A130,Transfers!$I:$I,"CPT",Transfers!$H:$H,"&lt;&gt;Y")+SUMIFS('Stock Received'!$I:$I,'Stock Received'!$E:$E,$A130,'Stock Received'!$L:$L,"CPT")</f>
        <v>253.14</v>
      </c>
      <c r="F130" s="19" t="n">
        <f aca="false">SUMIFS('JHB Count'!$E:$E,'JHB Count'!$F:$F,$A130)-SUMIFS('Weekly Sales'!$F:$F,'Weekly Sales'!$H:$H,$A130,'Weekly Sales'!$I:$I,"JHB")+SUMIFS(Transfers!$F:$F,Transfers!$C:$C,$A130,Transfers!$J:$J,"JHB")-SUMIFS(Transfers!$F:$F,Transfers!$C:$C,$A130,Transfers!$I:$I,"JHB",Transfers!$H:$H,"&lt;&gt;Y")+SUMIFS('Stock Received'!$I:$I,'Stock Received'!$E:$E,$A130,'Stock Received'!$L:$L,"JHB")</f>
        <v>23.09</v>
      </c>
      <c r="G130" s="19" t="n">
        <f aca="false">SUMIFS('DBN Count'!$D:$D,'DBN Count'!$E:$E,$A130)-SUMIFS('Weekly Sales'!$F:$F,'Weekly Sales'!$H:$H,$A130,'Weekly Sales'!$I:$I,"DBN")+SUMIFS(Transfers!$F:$F,Transfers!$C:$C,$A130,Transfers!$J:$J,"DBN")-SUMIFS(Transfers!$F:$F,Transfers!$C:$C,$A130,Transfers!$I:$I,"DBN",Transfers!$H:$H,"&lt;&gt;Y")+SUMIFS('Stock Received'!$I:$I,'Stock Received'!$E:$E,$A130,'Stock Received'!$L:$L,"DBN")</f>
        <v>7.94</v>
      </c>
      <c r="H130" s="29" t="n">
        <f aca="false">E130+F130+G130</f>
        <v>284.17</v>
      </c>
      <c r="I130" s="19" t="n">
        <f aca="false">SUMIFS('Weekly Sales'!$F:$F,'Weekly Sales'!$H:$H,$A130)</f>
        <v>55.84</v>
      </c>
      <c r="J130" s="19" t="n">
        <f aca="false">SUMIFS(Orders!$L:$L,Orders!$D:$D,$A130,Orders!$F:$F,"&gt;="&amp;J$4,Orders!$F:$F,"&lt;"&amp;EDATE(J$4,1))</f>
        <v>300</v>
      </c>
      <c r="K130" s="19" t="n">
        <f aca="false">SUMIFS(Orders!$L:$L,Orders!$D:$D,$A130,Orders!$F:$F,"&gt;="&amp;K$4,Orders!$F:$F,"&lt;"&amp;EDATE(K$4,1))</f>
        <v>300</v>
      </c>
      <c r="L130" s="19" t="n">
        <f aca="false">SUMIFS(Orders!$L:$L,Orders!$D:$D,$A130,Orders!$F:$F,"&gt;="&amp;L$4,Orders!$F:$F,"&lt;"&amp;EDATE(L$4,1))</f>
        <v>300</v>
      </c>
      <c r="M130" s="19" t="n">
        <f aca="false">N130-J130-K130-L130</f>
        <v>0</v>
      </c>
      <c r="N130" s="19" t="n">
        <f aca="false">SUMIFS(Orders!$L:$L,Orders!$D:$D,$A130)</f>
        <v>900</v>
      </c>
      <c r="O130" s="19" t="n">
        <f aca="false">H130+N130</f>
        <v>1184.17</v>
      </c>
      <c r="P130" s="30" t="n">
        <v>370</v>
      </c>
      <c r="Q130" s="19" t="n">
        <f aca="false">IF(SUMIFS('Sales History'!$E:$E,'Sales History'!$G:$G,$A130)&gt;0,SUMIFS('Sales History'!$E:$E,'Sales History'!$G:$G,$A130)/Settings!$B$4,N(P130))</f>
        <v>370</v>
      </c>
      <c r="R130" s="18" t="str">
        <f aca="false">IF(SUMIFS('Sales History'!$E:$E,'Sales History'!$G:$G,$A130)&gt;0,"6-month history",IF(N(P130)&gt;0,"Current sheet","No sales data"))</f>
        <v>Current sheet</v>
      </c>
      <c r="S130" s="31" t="n">
        <f aca="false">IF(Q130&gt;0,H130/Q130,"")</f>
        <v>0.768027027027027</v>
      </c>
      <c r="T130" s="30" t="n">
        <v>500</v>
      </c>
      <c r="U130" s="19" t="n">
        <f aca="false">IF(T130="","",MAX(0,T130-O130))</f>
        <v>0</v>
      </c>
      <c r="V130" s="32" t="str">
        <f aca="false">IF(D130="End of range","END OF RANGE",IF(T130="","NO BUFFER SET",IF(H130&lt;=0,IF(O130&lt;T130,"OUT - REORDER","OUT - ON ORDER"),IF(O130&lt;T130,"REORDER",IF(H130&lt;T130,"LOW - ON ORDER",IF(AND(S130&lt;&gt;"",N(S130)&gt;Settings!$B$5),"SLOW MOVER","OK"))))))</f>
        <v>LOW - ON ORDER</v>
      </c>
      <c r="W130" s="18"/>
      <c r="X130" s="33" t="n">
        <f aca="false">IF(OR(D130="End of range",U130=""),0,IF(N(U130)&gt;0,U130+ROW()/1000000,0))</f>
        <v>0</v>
      </c>
    </row>
    <row r="131" customFormat="false" ht="14.25" hidden="false" customHeight="true" outlineLevel="0" collapsed="false">
      <c r="A131" s="18" t="s">
        <v>336</v>
      </c>
      <c r="B131" s="18" t="s">
        <v>337</v>
      </c>
      <c r="C131" s="18" t="s">
        <v>331</v>
      </c>
      <c r="D131" s="18" t="s">
        <v>80</v>
      </c>
      <c r="E131" s="19" t="n">
        <f aca="false">SUMIFS('CPT Count'!$D:$D,'CPT Count'!$A:$A,$A131)-SUMIFS('Weekly Sales'!$F:$F,'Weekly Sales'!$H:$H,$A131,'Weekly Sales'!$I:$I,"CPT")+SUMIFS(Transfers!$F:$F,Transfers!$C:$C,$A131,Transfers!$J:$J,"CPT")-SUMIFS(Transfers!$F:$F,Transfers!$C:$C,$A131,Transfers!$I:$I,"CPT",Transfers!$H:$H,"&lt;&gt;Y")+SUMIFS('Stock Received'!$I:$I,'Stock Received'!$E:$E,$A131,'Stock Received'!$L:$L,"CPT")</f>
        <v>314.52</v>
      </c>
      <c r="F131" s="19" t="n">
        <f aca="false">SUMIFS('JHB Count'!$E:$E,'JHB Count'!$F:$F,$A131)-SUMIFS('Weekly Sales'!$F:$F,'Weekly Sales'!$H:$H,$A131,'Weekly Sales'!$I:$I,"JHB")+SUMIFS(Transfers!$F:$F,Transfers!$C:$C,$A131,Transfers!$J:$J,"JHB")-SUMIFS(Transfers!$F:$F,Transfers!$C:$C,$A131,Transfers!$I:$I,"JHB",Transfers!$H:$H,"&lt;&gt;Y")+SUMIFS('Stock Received'!$I:$I,'Stock Received'!$E:$E,$A131,'Stock Received'!$L:$L,"JHB")</f>
        <v>41.4</v>
      </c>
      <c r="G131" s="19" t="n">
        <f aca="false">SUMIFS('DBN Count'!$D:$D,'DBN Count'!$E:$E,$A131)-SUMIFS('Weekly Sales'!$F:$F,'Weekly Sales'!$H:$H,$A131,'Weekly Sales'!$I:$I,"DBN")+SUMIFS(Transfers!$F:$F,Transfers!$C:$C,$A131,Transfers!$J:$J,"DBN")-SUMIFS(Transfers!$F:$F,Transfers!$C:$C,$A131,Transfers!$I:$I,"DBN",Transfers!$H:$H,"&lt;&gt;Y")+SUMIFS('Stock Received'!$I:$I,'Stock Received'!$E:$E,$A131,'Stock Received'!$L:$L,"DBN")</f>
        <v>2.06</v>
      </c>
      <c r="H131" s="29" t="n">
        <f aca="false">E131+F131+G131</f>
        <v>357.98</v>
      </c>
      <c r="I131" s="19" t="n">
        <f aca="false">SUMIFS('Weekly Sales'!$F:$F,'Weekly Sales'!$H:$H,$A131)</f>
        <v>0</v>
      </c>
      <c r="J131" s="19" t="n">
        <f aca="false">SUMIFS(Orders!$L:$L,Orders!$D:$D,$A131,Orders!$F:$F,"&gt;="&amp;J$4,Orders!$F:$F,"&lt;"&amp;EDATE(J$4,1))</f>
        <v>0</v>
      </c>
      <c r="K131" s="19" t="n">
        <f aca="false">SUMIFS(Orders!$L:$L,Orders!$D:$D,$A131,Orders!$F:$F,"&gt;="&amp;K$4,Orders!$F:$F,"&lt;"&amp;EDATE(K$4,1))</f>
        <v>0</v>
      </c>
      <c r="L131" s="19" t="n">
        <f aca="false">SUMIFS(Orders!$L:$L,Orders!$D:$D,$A131,Orders!$F:$F,"&gt;="&amp;L$4,Orders!$F:$F,"&lt;"&amp;EDATE(L$4,1))</f>
        <v>0</v>
      </c>
      <c r="M131" s="19" t="n">
        <f aca="false">N131-J131-K131-L131</f>
        <v>0</v>
      </c>
      <c r="N131" s="19" t="n">
        <f aca="false">SUMIFS(Orders!$L:$L,Orders!$D:$D,$A131)</f>
        <v>0</v>
      </c>
      <c r="O131" s="19" t="n">
        <f aca="false">H131+N131</f>
        <v>357.98</v>
      </c>
      <c r="P131" s="30" t="n">
        <v>65</v>
      </c>
      <c r="Q131" s="19" t="n">
        <f aca="false">IF(SUMIFS('Sales History'!$E:$E,'Sales History'!$G:$G,$A131)&gt;0,SUMIFS('Sales History'!$E:$E,'Sales History'!$G:$G,$A131)/Settings!$B$4,N(P131))</f>
        <v>65</v>
      </c>
      <c r="R131" s="18" t="str">
        <f aca="false">IF(SUMIFS('Sales History'!$E:$E,'Sales History'!$G:$G,$A131)&gt;0,"6-month history",IF(N(P131)&gt;0,"Current sheet","No sales data"))</f>
        <v>Current sheet</v>
      </c>
      <c r="S131" s="31" t="n">
        <f aca="false">IF(Q131&gt;0,H131/Q131,"")</f>
        <v>5.50738461538461</v>
      </c>
      <c r="T131" s="30" t="n">
        <v>300</v>
      </c>
      <c r="U131" s="19" t="n">
        <f aca="false">IF(T131="","",MAX(0,T131-O131))</f>
        <v>0</v>
      </c>
      <c r="V131" s="32" t="str">
        <f aca="false">IF(D131="End of range","END OF RANGE",IF(T131="","NO BUFFER SET",IF(H131&lt;=0,IF(O131&lt;T131,"OUT - REORDER","OUT - ON ORDER"),IF(O131&lt;T131,"REORDER",IF(H131&lt;T131,"LOW - ON ORDER",IF(AND(S131&lt;&gt;"",N(S131)&gt;Settings!$B$5),"SLOW MOVER","OK"))))))</f>
        <v>OK</v>
      </c>
      <c r="W131" s="18"/>
      <c r="X131" s="33" t="n">
        <f aca="false">IF(OR(D131="End of range",U131=""),0,IF(N(U131)&gt;0,U131+ROW()/1000000,0))</f>
        <v>0</v>
      </c>
    </row>
    <row r="132" customFormat="false" ht="14.25" hidden="false" customHeight="true" outlineLevel="0" collapsed="false">
      <c r="A132" s="18" t="s">
        <v>338</v>
      </c>
      <c r="B132" s="18" t="s">
        <v>339</v>
      </c>
      <c r="C132" s="18" t="s">
        <v>331</v>
      </c>
      <c r="D132" s="18" t="s">
        <v>80</v>
      </c>
      <c r="E132" s="19" t="n">
        <f aca="false">SUMIFS('CPT Count'!$D:$D,'CPT Count'!$A:$A,$A132)-SUMIFS('Weekly Sales'!$F:$F,'Weekly Sales'!$H:$H,$A132,'Weekly Sales'!$I:$I,"CPT")+SUMIFS(Transfers!$F:$F,Transfers!$C:$C,$A132,Transfers!$J:$J,"CPT")-SUMIFS(Transfers!$F:$F,Transfers!$C:$C,$A132,Transfers!$I:$I,"CPT",Transfers!$H:$H,"&lt;&gt;Y")+SUMIFS('Stock Received'!$I:$I,'Stock Received'!$E:$E,$A132,'Stock Received'!$L:$L,"CPT")</f>
        <v>160.09</v>
      </c>
      <c r="F132" s="19" t="n">
        <f aca="false">SUMIFS('JHB Count'!$E:$E,'JHB Count'!$F:$F,$A132)-SUMIFS('Weekly Sales'!$F:$F,'Weekly Sales'!$H:$H,$A132,'Weekly Sales'!$I:$I,"JHB")+SUMIFS(Transfers!$F:$F,Transfers!$C:$C,$A132,Transfers!$J:$J,"JHB")-SUMIFS(Transfers!$F:$F,Transfers!$C:$C,$A132,Transfers!$I:$I,"JHB",Transfers!$H:$H,"&lt;&gt;Y")+SUMIFS('Stock Received'!$I:$I,'Stock Received'!$E:$E,$A132,'Stock Received'!$L:$L,"JHB")</f>
        <v>53.88</v>
      </c>
      <c r="G132" s="19" t="n">
        <f aca="false">SUMIFS('DBN Count'!$D:$D,'DBN Count'!$E:$E,$A132)-SUMIFS('Weekly Sales'!$F:$F,'Weekly Sales'!$H:$H,$A132,'Weekly Sales'!$I:$I,"DBN")+SUMIFS(Transfers!$F:$F,Transfers!$C:$C,$A132,Transfers!$J:$J,"DBN")-SUMIFS(Transfers!$F:$F,Transfers!$C:$C,$A132,Transfers!$I:$I,"DBN",Transfers!$H:$H,"&lt;&gt;Y")+SUMIFS('Stock Received'!$I:$I,'Stock Received'!$E:$E,$A132,'Stock Received'!$L:$L,"DBN")</f>
        <v>3.5</v>
      </c>
      <c r="H132" s="29" t="n">
        <f aca="false">E132+F132+G132</f>
        <v>217.47</v>
      </c>
      <c r="I132" s="19" t="n">
        <f aca="false">SUMIFS('Weekly Sales'!$F:$F,'Weekly Sales'!$H:$H,$A132)</f>
        <v>9.83</v>
      </c>
      <c r="J132" s="19" t="n">
        <f aca="false">SUMIFS(Orders!$L:$L,Orders!$D:$D,$A132,Orders!$F:$F,"&gt;="&amp;J$4,Orders!$F:$F,"&lt;"&amp;EDATE(J$4,1))</f>
        <v>300</v>
      </c>
      <c r="K132" s="19" t="n">
        <f aca="false">SUMIFS(Orders!$L:$L,Orders!$D:$D,$A132,Orders!$F:$F,"&gt;="&amp;K$4,Orders!$F:$F,"&lt;"&amp;EDATE(K$4,1))</f>
        <v>300</v>
      </c>
      <c r="L132" s="19" t="n">
        <f aca="false">SUMIFS(Orders!$L:$L,Orders!$D:$D,$A132,Orders!$F:$F,"&gt;="&amp;L$4,Orders!$F:$F,"&lt;"&amp;EDATE(L$4,1))</f>
        <v>0</v>
      </c>
      <c r="M132" s="19" t="n">
        <f aca="false">N132-J132-K132-L132</f>
        <v>0</v>
      </c>
      <c r="N132" s="19" t="n">
        <f aca="false">SUMIFS(Orders!$L:$L,Orders!$D:$D,$A132)</f>
        <v>600</v>
      </c>
      <c r="O132" s="19" t="n">
        <f aca="false">H132+N132</f>
        <v>817.47</v>
      </c>
      <c r="P132" s="30" t="n">
        <v>180</v>
      </c>
      <c r="Q132" s="19" t="n">
        <f aca="false">IF(SUMIFS('Sales History'!$E:$E,'Sales History'!$G:$G,$A132)&gt;0,SUMIFS('Sales History'!$E:$E,'Sales History'!$G:$G,$A132)/Settings!$B$4,N(P132))</f>
        <v>180</v>
      </c>
      <c r="R132" s="18" t="str">
        <f aca="false">IF(SUMIFS('Sales History'!$E:$E,'Sales History'!$G:$G,$A132)&gt;0,"6-month history",IF(N(P132)&gt;0,"Current sheet","No sales data"))</f>
        <v>Current sheet</v>
      </c>
      <c r="S132" s="31" t="n">
        <f aca="false">IF(Q132&gt;0,H132/Q132,"")</f>
        <v>1.20816666666667</v>
      </c>
      <c r="T132" s="30" t="n">
        <v>300</v>
      </c>
      <c r="U132" s="19" t="n">
        <f aca="false">IF(T132="","",MAX(0,T132-O132))</f>
        <v>0</v>
      </c>
      <c r="V132" s="32" t="str">
        <f aca="false">IF(D132="End of range","END OF RANGE",IF(T132="","NO BUFFER SET",IF(H132&lt;=0,IF(O132&lt;T132,"OUT - REORDER","OUT - ON ORDER"),IF(O132&lt;T132,"REORDER",IF(H132&lt;T132,"LOW - ON ORDER",IF(AND(S132&lt;&gt;"",N(S132)&gt;Settings!$B$5),"SLOW MOVER","OK"))))))</f>
        <v>LOW - ON ORDER</v>
      </c>
      <c r="W132" s="18" t="s">
        <v>340</v>
      </c>
      <c r="X132" s="33" t="n">
        <f aca="false">IF(OR(D132="End of range",U132=""),0,IF(N(U132)&gt;0,U132+ROW()/1000000,0))</f>
        <v>0</v>
      </c>
    </row>
    <row r="133" customFormat="false" ht="14.25" hidden="false" customHeight="true" outlineLevel="0" collapsed="false">
      <c r="A133" s="18" t="s">
        <v>341</v>
      </c>
      <c r="B133" s="18" t="s">
        <v>342</v>
      </c>
      <c r="C133" s="18" t="s">
        <v>331</v>
      </c>
      <c r="D133" s="18" t="s">
        <v>80</v>
      </c>
      <c r="E133" s="19" t="n">
        <f aca="false">SUMIFS('CPT Count'!$D:$D,'CPT Count'!$A:$A,$A133)-SUMIFS('Weekly Sales'!$F:$F,'Weekly Sales'!$H:$H,$A133,'Weekly Sales'!$I:$I,"CPT")+SUMIFS(Transfers!$F:$F,Transfers!$C:$C,$A133,Transfers!$J:$J,"CPT")-SUMIFS(Transfers!$F:$F,Transfers!$C:$C,$A133,Transfers!$I:$I,"CPT",Transfers!$H:$H,"&lt;&gt;Y")+SUMIFS('Stock Received'!$I:$I,'Stock Received'!$E:$E,$A133,'Stock Received'!$L:$L,"CPT")</f>
        <v>309.32</v>
      </c>
      <c r="F133" s="19" t="n">
        <f aca="false">SUMIFS('JHB Count'!$E:$E,'JHB Count'!$F:$F,$A133)-SUMIFS('Weekly Sales'!$F:$F,'Weekly Sales'!$H:$H,$A133,'Weekly Sales'!$I:$I,"JHB")+SUMIFS(Transfers!$F:$F,Transfers!$C:$C,$A133,Transfers!$J:$J,"JHB")-SUMIFS(Transfers!$F:$F,Transfers!$C:$C,$A133,Transfers!$I:$I,"JHB",Transfers!$H:$H,"&lt;&gt;Y")+SUMIFS('Stock Received'!$I:$I,'Stock Received'!$E:$E,$A133,'Stock Received'!$L:$L,"JHB")</f>
        <v>40.87</v>
      </c>
      <c r="G133" s="19" t="n">
        <f aca="false">SUMIFS('DBN Count'!$D:$D,'DBN Count'!$E:$E,$A133)-SUMIFS('Weekly Sales'!$F:$F,'Weekly Sales'!$H:$H,$A133,'Weekly Sales'!$I:$I,"DBN")+SUMIFS(Transfers!$F:$F,Transfers!$C:$C,$A133,Transfers!$J:$J,"DBN")-SUMIFS(Transfers!$F:$F,Transfers!$C:$C,$A133,Transfers!$I:$I,"DBN",Transfers!$H:$H,"&lt;&gt;Y")+SUMIFS('Stock Received'!$I:$I,'Stock Received'!$E:$E,$A133,'Stock Received'!$L:$L,"DBN")</f>
        <v>0</v>
      </c>
      <c r="H133" s="29" t="n">
        <f aca="false">E133+F133+G133</f>
        <v>350.19</v>
      </c>
      <c r="I133" s="19" t="n">
        <f aca="false">SUMIFS('Weekly Sales'!$F:$F,'Weekly Sales'!$H:$H,$A133)</f>
        <v>11.9</v>
      </c>
      <c r="J133" s="19" t="n">
        <f aca="false">SUMIFS(Orders!$L:$L,Orders!$D:$D,$A133,Orders!$F:$F,"&gt;="&amp;J$4,Orders!$F:$F,"&lt;"&amp;EDATE(J$4,1))</f>
        <v>0</v>
      </c>
      <c r="K133" s="19" t="n">
        <f aca="false">SUMIFS(Orders!$L:$L,Orders!$D:$D,$A133,Orders!$F:$F,"&gt;="&amp;K$4,Orders!$F:$F,"&lt;"&amp;EDATE(K$4,1))</f>
        <v>0</v>
      </c>
      <c r="L133" s="19" t="n">
        <f aca="false">SUMIFS(Orders!$L:$L,Orders!$D:$D,$A133,Orders!$F:$F,"&gt;="&amp;L$4,Orders!$F:$F,"&lt;"&amp;EDATE(L$4,1))</f>
        <v>0</v>
      </c>
      <c r="M133" s="19" t="n">
        <f aca="false">N133-J133-K133-L133</f>
        <v>0</v>
      </c>
      <c r="N133" s="19" t="n">
        <f aca="false">SUMIFS(Orders!$L:$L,Orders!$D:$D,$A133)</f>
        <v>0</v>
      </c>
      <c r="O133" s="19" t="n">
        <f aca="false">H133+N133</f>
        <v>350.19</v>
      </c>
      <c r="P133" s="30" t="n">
        <v>75</v>
      </c>
      <c r="Q133" s="19" t="n">
        <f aca="false">IF(SUMIFS('Sales History'!$E:$E,'Sales History'!$G:$G,$A133)&gt;0,SUMIFS('Sales History'!$E:$E,'Sales History'!$G:$G,$A133)/Settings!$B$4,N(P133))</f>
        <v>75</v>
      </c>
      <c r="R133" s="18" t="str">
        <f aca="false">IF(SUMIFS('Sales History'!$E:$E,'Sales History'!$G:$G,$A133)&gt;0,"6-month history",IF(N(P133)&gt;0,"Current sheet","No sales data"))</f>
        <v>Current sheet</v>
      </c>
      <c r="S133" s="31" t="n">
        <f aca="false">IF(Q133&gt;0,H133/Q133,"")</f>
        <v>4.6692</v>
      </c>
      <c r="T133" s="30" t="n">
        <v>200</v>
      </c>
      <c r="U133" s="19" t="n">
        <f aca="false">IF(T133="","",MAX(0,T133-O133))</f>
        <v>0</v>
      </c>
      <c r="V133" s="32" t="str">
        <f aca="false">IF(D133="End of range","END OF RANGE",IF(T133="","NO BUFFER SET",IF(H133&lt;=0,IF(O133&lt;T133,"OUT - REORDER","OUT - ON ORDER"),IF(O133&lt;T133,"REORDER",IF(H133&lt;T133,"LOW - ON ORDER",IF(AND(S133&lt;&gt;"",N(S133)&gt;Settings!$B$5),"SLOW MOVER","OK"))))))</f>
        <v>OK</v>
      </c>
      <c r="W133" s="34" t="s">
        <v>343</v>
      </c>
      <c r="X133" s="33" t="n">
        <f aca="false">IF(OR(D133="End of range",U133=""),0,IF(N(U133)&gt;0,U133+ROW()/1000000,0))</f>
        <v>0</v>
      </c>
    </row>
    <row r="134" customFormat="false" ht="14.25" hidden="false" customHeight="true" outlineLevel="0" collapsed="false">
      <c r="A134" s="18" t="s">
        <v>344</v>
      </c>
      <c r="B134" s="18" t="s">
        <v>345</v>
      </c>
      <c r="C134" s="18" t="s">
        <v>331</v>
      </c>
      <c r="D134" s="18" t="s">
        <v>80</v>
      </c>
      <c r="E134" s="19" t="n">
        <f aca="false">SUMIFS('CPT Count'!$D:$D,'CPT Count'!$A:$A,$A134)-SUMIFS('Weekly Sales'!$F:$F,'Weekly Sales'!$H:$H,$A134,'Weekly Sales'!$I:$I,"CPT")+SUMIFS(Transfers!$F:$F,Transfers!$C:$C,$A134,Transfers!$J:$J,"CPT")-SUMIFS(Transfers!$F:$F,Transfers!$C:$C,$A134,Transfers!$I:$I,"CPT",Transfers!$H:$H,"&lt;&gt;Y")+SUMIFS('Stock Received'!$I:$I,'Stock Received'!$E:$E,$A134,'Stock Received'!$L:$L,"CPT")</f>
        <v>331.44</v>
      </c>
      <c r="F134" s="19" t="n">
        <f aca="false">SUMIFS('JHB Count'!$E:$E,'JHB Count'!$F:$F,$A134)-SUMIFS('Weekly Sales'!$F:$F,'Weekly Sales'!$H:$H,$A134,'Weekly Sales'!$I:$I,"JHB")+SUMIFS(Transfers!$F:$F,Transfers!$C:$C,$A134,Transfers!$J:$J,"JHB")-SUMIFS(Transfers!$F:$F,Transfers!$C:$C,$A134,Transfers!$I:$I,"JHB",Transfers!$H:$H,"&lt;&gt;Y")+SUMIFS('Stock Received'!$I:$I,'Stock Received'!$E:$E,$A134,'Stock Received'!$L:$L,"JHB")</f>
        <v>73.8</v>
      </c>
      <c r="G134" s="19" t="n">
        <f aca="false">SUMIFS('DBN Count'!$D:$D,'DBN Count'!$E:$E,$A134)-SUMIFS('Weekly Sales'!$F:$F,'Weekly Sales'!$H:$H,$A134,'Weekly Sales'!$I:$I,"DBN")+SUMIFS(Transfers!$F:$F,Transfers!$C:$C,$A134,Transfers!$J:$J,"DBN")-SUMIFS(Transfers!$F:$F,Transfers!$C:$C,$A134,Transfers!$I:$I,"DBN",Transfers!$H:$H,"&lt;&gt;Y")+SUMIFS('Stock Received'!$I:$I,'Stock Received'!$E:$E,$A134,'Stock Received'!$L:$L,"DBN")</f>
        <v>6.07</v>
      </c>
      <c r="H134" s="29" t="n">
        <f aca="false">E134+F134+G134</f>
        <v>411.31</v>
      </c>
      <c r="I134" s="19" t="n">
        <f aca="false">SUMIFS('Weekly Sales'!$F:$F,'Weekly Sales'!$H:$H,$A134)</f>
        <v>23.56</v>
      </c>
      <c r="J134" s="19" t="n">
        <f aca="false">SUMIFS(Orders!$L:$L,Orders!$D:$D,$A134,Orders!$F:$F,"&gt;="&amp;J$4,Orders!$F:$F,"&lt;"&amp;EDATE(J$4,1))</f>
        <v>0</v>
      </c>
      <c r="K134" s="19" t="n">
        <f aca="false">SUMIFS(Orders!$L:$L,Orders!$D:$D,$A134,Orders!$F:$F,"&gt;="&amp;K$4,Orders!$F:$F,"&lt;"&amp;EDATE(K$4,1))</f>
        <v>0</v>
      </c>
      <c r="L134" s="19" t="n">
        <f aca="false">SUMIFS(Orders!$L:$L,Orders!$D:$D,$A134,Orders!$F:$F,"&gt;="&amp;L$4,Orders!$F:$F,"&lt;"&amp;EDATE(L$4,1))</f>
        <v>300</v>
      </c>
      <c r="M134" s="19" t="n">
        <f aca="false">N134-J134-K134-L134</f>
        <v>0</v>
      </c>
      <c r="N134" s="19" t="n">
        <f aca="false">SUMIFS(Orders!$L:$L,Orders!$D:$D,$A134)</f>
        <v>300</v>
      </c>
      <c r="O134" s="19" t="n">
        <f aca="false">H134+N134</f>
        <v>711.31</v>
      </c>
      <c r="P134" s="30" t="n">
        <v>165</v>
      </c>
      <c r="Q134" s="19" t="n">
        <f aca="false">IF(SUMIFS('Sales History'!$E:$E,'Sales History'!$G:$G,$A134)&gt;0,SUMIFS('Sales History'!$E:$E,'Sales History'!$G:$G,$A134)/Settings!$B$4,N(P134))</f>
        <v>165</v>
      </c>
      <c r="R134" s="18" t="str">
        <f aca="false">IF(SUMIFS('Sales History'!$E:$E,'Sales History'!$G:$G,$A134)&gt;0,"6-month history",IF(N(P134)&gt;0,"Current sheet","No sales data"))</f>
        <v>Current sheet</v>
      </c>
      <c r="S134" s="31" t="n">
        <f aca="false">IF(Q134&gt;0,H134/Q134,"")</f>
        <v>2.49278787878788</v>
      </c>
      <c r="T134" s="30" t="n">
        <v>350</v>
      </c>
      <c r="U134" s="19" t="n">
        <f aca="false">IF(T134="","",MAX(0,T134-O134))</f>
        <v>0</v>
      </c>
      <c r="V134" s="32" t="str">
        <f aca="false">IF(D134="End of range","END OF RANGE",IF(T134="","NO BUFFER SET",IF(H134&lt;=0,IF(O134&lt;T134,"OUT - REORDER","OUT - ON ORDER"),IF(O134&lt;T134,"REORDER",IF(H134&lt;T134,"LOW - ON ORDER",IF(AND(S134&lt;&gt;"",N(S134)&gt;Settings!$B$5),"SLOW MOVER","OK"))))))</f>
        <v>OK</v>
      </c>
      <c r="W134" s="18"/>
      <c r="X134" s="33" t="n">
        <f aca="false">IF(OR(D134="End of range",U134=""),0,IF(N(U134)&gt;0,U134+ROW()/1000000,0))</f>
        <v>0</v>
      </c>
    </row>
    <row r="135" customFormat="false" ht="14.25" hidden="false" customHeight="true" outlineLevel="0" collapsed="false">
      <c r="A135" s="18" t="s">
        <v>346</v>
      </c>
      <c r="B135" s="18" t="s">
        <v>347</v>
      </c>
      <c r="C135" s="18" t="s">
        <v>331</v>
      </c>
      <c r="D135" s="18" t="s">
        <v>80</v>
      </c>
      <c r="E135" s="19" t="n">
        <f aca="false">SUMIFS('CPT Count'!$D:$D,'CPT Count'!$A:$A,$A135)-SUMIFS('Weekly Sales'!$F:$F,'Weekly Sales'!$H:$H,$A135,'Weekly Sales'!$I:$I,"CPT")+SUMIFS(Transfers!$F:$F,Transfers!$C:$C,$A135,Transfers!$J:$J,"CPT")-SUMIFS(Transfers!$F:$F,Transfers!$C:$C,$A135,Transfers!$I:$I,"CPT",Transfers!$H:$H,"&lt;&gt;Y")+SUMIFS('Stock Received'!$I:$I,'Stock Received'!$E:$E,$A135,'Stock Received'!$L:$L,"CPT")</f>
        <v>176.12</v>
      </c>
      <c r="F135" s="19" t="n">
        <f aca="false">SUMIFS('JHB Count'!$E:$E,'JHB Count'!$F:$F,$A135)-SUMIFS('Weekly Sales'!$F:$F,'Weekly Sales'!$H:$H,$A135,'Weekly Sales'!$I:$I,"JHB")+SUMIFS(Transfers!$F:$F,Transfers!$C:$C,$A135,Transfers!$J:$J,"JHB")-SUMIFS(Transfers!$F:$F,Transfers!$C:$C,$A135,Transfers!$I:$I,"JHB",Transfers!$H:$H,"&lt;&gt;Y")+SUMIFS('Stock Received'!$I:$I,'Stock Received'!$E:$E,$A135,'Stock Received'!$L:$L,"JHB")</f>
        <v>33</v>
      </c>
      <c r="G135" s="19" t="n">
        <f aca="false">SUMIFS('DBN Count'!$D:$D,'DBN Count'!$E:$E,$A135)-SUMIFS('Weekly Sales'!$F:$F,'Weekly Sales'!$H:$H,$A135,'Weekly Sales'!$I:$I,"DBN")+SUMIFS(Transfers!$F:$F,Transfers!$C:$C,$A135,Transfers!$J:$J,"DBN")-SUMIFS(Transfers!$F:$F,Transfers!$C:$C,$A135,Transfers!$I:$I,"DBN",Transfers!$H:$H,"&lt;&gt;Y")+SUMIFS('Stock Received'!$I:$I,'Stock Received'!$E:$E,$A135,'Stock Received'!$L:$L,"DBN")</f>
        <v>13.7</v>
      </c>
      <c r="H135" s="29" t="n">
        <f aca="false">E135+F135+G135</f>
        <v>222.82</v>
      </c>
      <c r="I135" s="19" t="n">
        <f aca="false">SUMIFS('Weekly Sales'!$F:$F,'Weekly Sales'!$H:$H,$A135)</f>
        <v>71.7</v>
      </c>
      <c r="J135" s="19" t="n">
        <f aca="false">SUMIFS(Orders!$L:$L,Orders!$D:$D,$A135,Orders!$F:$F,"&gt;="&amp;J$4,Orders!$F:$F,"&lt;"&amp;EDATE(J$4,1))</f>
        <v>300</v>
      </c>
      <c r="K135" s="19" t="n">
        <f aca="false">SUMIFS(Orders!$L:$L,Orders!$D:$D,$A135,Orders!$F:$F,"&gt;="&amp;K$4,Orders!$F:$F,"&lt;"&amp;EDATE(K$4,1))</f>
        <v>300</v>
      </c>
      <c r="L135" s="19" t="n">
        <f aca="false">SUMIFS(Orders!$L:$L,Orders!$D:$D,$A135,Orders!$F:$F,"&gt;="&amp;L$4,Orders!$F:$F,"&lt;"&amp;EDATE(L$4,1))</f>
        <v>300</v>
      </c>
      <c r="M135" s="19" t="n">
        <f aca="false">N135-J135-K135-L135</f>
        <v>0</v>
      </c>
      <c r="N135" s="19" t="n">
        <f aca="false">SUMIFS(Orders!$L:$L,Orders!$D:$D,$A135)</f>
        <v>900</v>
      </c>
      <c r="O135" s="19" t="n">
        <f aca="false">H135+N135</f>
        <v>1122.82</v>
      </c>
      <c r="P135" s="30" t="n">
        <v>380</v>
      </c>
      <c r="Q135" s="19" t="n">
        <f aca="false">IF(SUMIFS('Sales History'!$E:$E,'Sales History'!$G:$G,$A135)&gt;0,SUMIFS('Sales History'!$E:$E,'Sales History'!$G:$G,$A135)/Settings!$B$4,N(P135))</f>
        <v>380</v>
      </c>
      <c r="R135" s="18" t="str">
        <f aca="false">IF(SUMIFS('Sales History'!$E:$E,'Sales History'!$G:$G,$A135)&gt;0,"6-month history",IF(N(P135)&gt;0,"Current sheet","No sales data"))</f>
        <v>Current sheet</v>
      </c>
      <c r="S135" s="31" t="n">
        <f aca="false">IF(Q135&gt;0,H135/Q135,"")</f>
        <v>0.586368421052632</v>
      </c>
      <c r="T135" s="30" t="n">
        <v>700</v>
      </c>
      <c r="U135" s="19" t="n">
        <f aca="false">IF(T135="","",MAX(0,T135-O135))</f>
        <v>0</v>
      </c>
      <c r="V135" s="32" t="str">
        <f aca="false">IF(D135="End of range","END OF RANGE",IF(T135="","NO BUFFER SET",IF(H135&lt;=0,IF(O135&lt;T135,"OUT - REORDER","OUT - ON ORDER"),IF(O135&lt;T135,"REORDER",IF(H135&lt;T135,"LOW - ON ORDER",IF(AND(S135&lt;&gt;"",N(S135)&gt;Settings!$B$5),"SLOW MOVER","OK"))))))</f>
        <v>LOW - ON ORDER</v>
      </c>
      <c r="W135" s="18"/>
      <c r="X135" s="33" t="n">
        <f aca="false">IF(OR(D135="End of range",U135=""),0,IF(N(U135)&gt;0,U135+ROW()/1000000,0))</f>
        <v>0</v>
      </c>
    </row>
    <row r="136" customFormat="false" ht="14.25" hidden="false" customHeight="true" outlineLevel="0" collapsed="false">
      <c r="A136" s="18" t="s">
        <v>348</v>
      </c>
      <c r="B136" s="18" t="s">
        <v>349</v>
      </c>
      <c r="C136" s="18" t="s">
        <v>331</v>
      </c>
      <c r="D136" s="18" t="s">
        <v>80</v>
      </c>
      <c r="E136" s="19" t="n">
        <f aca="false">SUMIFS('CPT Count'!$D:$D,'CPT Count'!$A:$A,$A136)-SUMIFS('Weekly Sales'!$F:$F,'Weekly Sales'!$H:$H,$A136,'Weekly Sales'!$I:$I,"CPT")+SUMIFS(Transfers!$F:$F,Transfers!$C:$C,$A136,Transfers!$J:$J,"CPT")-SUMIFS(Transfers!$F:$F,Transfers!$C:$C,$A136,Transfers!$I:$I,"CPT",Transfers!$H:$H,"&lt;&gt;Y")+SUMIFS('Stock Received'!$I:$I,'Stock Received'!$E:$E,$A136,'Stock Received'!$L:$L,"CPT")</f>
        <v>63</v>
      </c>
      <c r="F136" s="19" t="n">
        <f aca="false">SUMIFS('JHB Count'!$E:$E,'JHB Count'!$F:$F,$A136)-SUMIFS('Weekly Sales'!$F:$F,'Weekly Sales'!$H:$H,$A136,'Weekly Sales'!$I:$I,"JHB")+SUMIFS(Transfers!$F:$F,Transfers!$C:$C,$A136,Transfers!$J:$J,"JHB")-SUMIFS(Transfers!$F:$F,Transfers!$C:$C,$A136,Transfers!$I:$I,"JHB",Transfers!$H:$H,"&lt;&gt;Y")+SUMIFS('Stock Received'!$I:$I,'Stock Received'!$E:$E,$A136,'Stock Received'!$L:$L,"JHB")</f>
        <v>0.04</v>
      </c>
      <c r="G136" s="19" t="n">
        <f aca="false">SUMIFS('DBN Count'!$D:$D,'DBN Count'!$E:$E,$A136)-SUMIFS('Weekly Sales'!$F:$F,'Weekly Sales'!$H:$H,$A136,'Weekly Sales'!$I:$I,"DBN")+SUMIFS(Transfers!$F:$F,Transfers!$C:$C,$A136,Transfers!$J:$J,"DBN")-SUMIFS(Transfers!$F:$F,Transfers!$C:$C,$A136,Transfers!$I:$I,"DBN",Transfers!$H:$H,"&lt;&gt;Y")+SUMIFS('Stock Received'!$I:$I,'Stock Received'!$E:$E,$A136,'Stock Received'!$L:$L,"DBN")</f>
        <v>0</v>
      </c>
      <c r="H136" s="29" t="n">
        <f aca="false">E136+F136+G136</f>
        <v>63.04</v>
      </c>
      <c r="I136" s="19" t="n">
        <f aca="false">SUMIFS('Weekly Sales'!$F:$F,'Weekly Sales'!$H:$H,$A136)</f>
        <v>3.96</v>
      </c>
      <c r="J136" s="19" t="n">
        <f aca="false">SUMIFS(Orders!$L:$L,Orders!$D:$D,$A136,Orders!$F:$F,"&gt;="&amp;J$4,Orders!$F:$F,"&lt;"&amp;EDATE(J$4,1))</f>
        <v>0</v>
      </c>
      <c r="K136" s="19" t="n">
        <f aca="false">SUMIFS(Orders!$L:$L,Orders!$D:$D,$A136,Orders!$F:$F,"&gt;="&amp;K$4,Orders!$F:$F,"&lt;"&amp;EDATE(K$4,1))</f>
        <v>0</v>
      </c>
      <c r="L136" s="19" t="n">
        <f aca="false">SUMIFS(Orders!$L:$L,Orders!$D:$D,$A136,Orders!$F:$F,"&gt;="&amp;L$4,Orders!$F:$F,"&lt;"&amp;EDATE(L$4,1))</f>
        <v>200</v>
      </c>
      <c r="M136" s="19" t="n">
        <f aca="false">N136-J136-K136-L136</f>
        <v>0</v>
      </c>
      <c r="N136" s="19" t="n">
        <f aca="false">SUMIFS(Orders!$L:$L,Orders!$D:$D,$A136)</f>
        <v>200</v>
      </c>
      <c r="O136" s="19" t="n">
        <f aca="false">H136+N136</f>
        <v>263.04</v>
      </c>
      <c r="P136" s="30" t="n">
        <v>50</v>
      </c>
      <c r="Q136" s="19" t="n">
        <f aca="false">IF(SUMIFS('Sales History'!$E:$E,'Sales History'!$G:$G,$A136)&gt;0,SUMIFS('Sales History'!$E:$E,'Sales History'!$G:$G,$A136)/Settings!$B$4,N(P136))</f>
        <v>50</v>
      </c>
      <c r="R136" s="18" t="str">
        <f aca="false">IF(SUMIFS('Sales History'!$E:$E,'Sales History'!$G:$G,$A136)&gt;0,"6-month history",IF(N(P136)&gt;0,"Current sheet","No sales data"))</f>
        <v>Current sheet</v>
      </c>
      <c r="S136" s="31" t="n">
        <f aca="false">IF(Q136&gt;0,H136/Q136,"")</f>
        <v>1.2608</v>
      </c>
      <c r="T136" s="30" t="n">
        <v>200</v>
      </c>
      <c r="U136" s="19" t="n">
        <f aca="false">IF(T136="","",MAX(0,T136-O136))</f>
        <v>0</v>
      </c>
      <c r="V136" s="32" t="str">
        <f aca="false">IF(D136="End of range","END OF RANGE",IF(T136="","NO BUFFER SET",IF(H136&lt;=0,IF(O136&lt;T136,"OUT - REORDER","OUT - ON ORDER"),IF(O136&lt;T136,"REORDER",IF(H136&lt;T136,"LOW - ON ORDER",IF(AND(S136&lt;&gt;"",N(S136)&gt;Settings!$B$5),"SLOW MOVER","OK"))))))</f>
        <v>LOW - ON ORDER</v>
      </c>
      <c r="W136" s="18"/>
      <c r="X136" s="33" t="n">
        <f aca="false">IF(OR(D136="End of range",U136=""),0,IF(N(U136)&gt;0,U136+ROW()/1000000,0))</f>
        <v>0</v>
      </c>
    </row>
    <row r="137" customFormat="false" ht="14.25" hidden="false" customHeight="true" outlineLevel="0" collapsed="false">
      <c r="A137" s="18" t="s">
        <v>350</v>
      </c>
      <c r="B137" s="18" t="s">
        <v>351</v>
      </c>
      <c r="C137" s="18" t="s">
        <v>331</v>
      </c>
      <c r="D137" s="18" t="s">
        <v>80</v>
      </c>
      <c r="E137" s="19" t="n">
        <f aca="false">SUMIFS('CPT Count'!$D:$D,'CPT Count'!$A:$A,$A137)-SUMIFS('Weekly Sales'!$F:$F,'Weekly Sales'!$H:$H,$A137,'Weekly Sales'!$I:$I,"CPT")+SUMIFS(Transfers!$F:$F,Transfers!$C:$C,$A137,Transfers!$J:$J,"CPT")-SUMIFS(Transfers!$F:$F,Transfers!$C:$C,$A137,Transfers!$I:$I,"CPT",Transfers!$H:$H,"&lt;&gt;Y")+SUMIFS('Stock Received'!$I:$I,'Stock Received'!$E:$E,$A137,'Stock Received'!$L:$L,"CPT")</f>
        <v>90</v>
      </c>
      <c r="F137" s="19" t="n">
        <f aca="false">SUMIFS('JHB Count'!$E:$E,'JHB Count'!$F:$F,$A137)-SUMIFS('Weekly Sales'!$F:$F,'Weekly Sales'!$H:$H,$A137,'Weekly Sales'!$I:$I,"JHB")+SUMIFS(Transfers!$F:$F,Transfers!$C:$C,$A137,Transfers!$J:$J,"JHB")-SUMIFS(Transfers!$F:$F,Transfers!$C:$C,$A137,Transfers!$I:$I,"JHB",Transfers!$H:$H,"&lt;&gt;Y")+SUMIFS('Stock Received'!$I:$I,'Stock Received'!$E:$E,$A137,'Stock Received'!$L:$L,"JHB")</f>
        <v>10.8</v>
      </c>
      <c r="G137" s="19" t="n">
        <f aca="false">SUMIFS('DBN Count'!$D:$D,'DBN Count'!$E:$E,$A137)-SUMIFS('Weekly Sales'!$F:$F,'Weekly Sales'!$H:$H,$A137,'Weekly Sales'!$I:$I,"DBN")+SUMIFS(Transfers!$F:$F,Transfers!$C:$C,$A137,Transfers!$J:$J,"DBN")-SUMIFS(Transfers!$F:$F,Transfers!$C:$C,$A137,Transfers!$I:$I,"DBN",Transfers!$H:$H,"&lt;&gt;Y")+SUMIFS('Stock Received'!$I:$I,'Stock Received'!$E:$E,$A137,'Stock Received'!$L:$L,"DBN")</f>
        <v>31.91</v>
      </c>
      <c r="H137" s="29" t="n">
        <f aca="false">E137+F137+G137</f>
        <v>132.71</v>
      </c>
      <c r="I137" s="19" t="n">
        <f aca="false">SUMIFS('Weekly Sales'!$F:$F,'Weekly Sales'!$H:$H,$A137)</f>
        <v>0</v>
      </c>
      <c r="J137" s="19" t="n">
        <f aca="false">SUMIFS(Orders!$L:$L,Orders!$D:$D,$A137,Orders!$F:$F,"&gt;="&amp;J$4,Orders!$F:$F,"&lt;"&amp;EDATE(J$4,1))</f>
        <v>0</v>
      </c>
      <c r="K137" s="19" t="n">
        <f aca="false">SUMIFS(Orders!$L:$L,Orders!$D:$D,$A137,Orders!$F:$F,"&gt;="&amp;K$4,Orders!$F:$F,"&lt;"&amp;EDATE(K$4,1))</f>
        <v>0</v>
      </c>
      <c r="L137" s="19" t="n">
        <f aca="false">SUMIFS(Orders!$L:$L,Orders!$D:$D,$A137,Orders!$F:$F,"&gt;="&amp;L$4,Orders!$F:$F,"&lt;"&amp;EDATE(L$4,1))</f>
        <v>300</v>
      </c>
      <c r="M137" s="19" t="n">
        <f aca="false">N137-J137-K137-L137</f>
        <v>0</v>
      </c>
      <c r="N137" s="19" t="n">
        <f aca="false">SUMIFS(Orders!$L:$L,Orders!$D:$D,$A137)</f>
        <v>300</v>
      </c>
      <c r="O137" s="19" t="n">
        <f aca="false">H137+N137</f>
        <v>432.71</v>
      </c>
      <c r="P137" s="30" t="n">
        <v>20</v>
      </c>
      <c r="Q137" s="19" t="n">
        <f aca="false">IF(SUMIFS('Sales History'!$E:$E,'Sales History'!$G:$G,$A137)&gt;0,SUMIFS('Sales History'!$E:$E,'Sales History'!$G:$G,$A137)/Settings!$B$4,N(P137))</f>
        <v>20</v>
      </c>
      <c r="R137" s="18" t="str">
        <f aca="false">IF(SUMIFS('Sales History'!$E:$E,'Sales History'!$G:$G,$A137)&gt;0,"6-month history",IF(N(P137)&gt;0,"Current sheet","No sales data"))</f>
        <v>Current sheet</v>
      </c>
      <c r="S137" s="31" t="n">
        <f aca="false">IF(Q137&gt;0,H137/Q137,"")</f>
        <v>6.6355</v>
      </c>
      <c r="T137" s="30" t="n">
        <v>300</v>
      </c>
      <c r="U137" s="19" t="n">
        <f aca="false">IF(T137="","",MAX(0,T137-O137))</f>
        <v>0</v>
      </c>
      <c r="V137" s="32" t="str">
        <f aca="false">IF(D137="End of range","END OF RANGE",IF(T137="","NO BUFFER SET",IF(H137&lt;=0,IF(O137&lt;T137,"OUT - REORDER","OUT - ON ORDER"),IF(O137&lt;T137,"REORDER",IF(H137&lt;T137,"LOW - ON ORDER",IF(AND(S137&lt;&gt;"",N(S137)&gt;Settings!$B$5),"SLOW MOVER","OK"))))))</f>
        <v>LOW - ON ORDER</v>
      </c>
      <c r="W137" s="18"/>
      <c r="X137" s="33" t="n">
        <f aca="false">IF(OR(D137="End of range",U137=""),0,IF(N(U137)&gt;0,U137+ROW()/1000000,0))</f>
        <v>0</v>
      </c>
    </row>
    <row r="138" customFormat="false" ht="14.25" hidden="false" customHeight="true" outlineLevel="0" collapsed="false">
      <c r="A138" s="18" t="s">
        <v>352</v>
      </c>
      <c r="B138" s="18" t="s">
        <v>353</v>
      </c>
      <c r="C138" s="18" t="s">
        <v>331</v>
      </c>
      <c r="D138" s="18" t="s">
        <v>80</v>
      </c>
      <c r="E138" s="19" t="n">
        <f aca="false">SUMIFS('CPT Count'!$D:$D,'CPT Count'!$A:$A,$A138)-SUMIFS('Weekly Sales'!$F:$F,'Weekly Sales'!$H:$H,$A138,'Weekly Sales'!$I:$I,"CPT")+SUMIFS(Transfers!$F:$F,Transfers!$C:$C,$A138,Transfers!$J:$J,"CPT")-SUMIFS(Transfers!$F:$F,Transfers!$C:$C,$A138,Transfers!$I:$I,"CPT",Transfers!$H:$H,"&lt;&gt;Y")+SUMIFS('Stock Received'!$I:$I,'Stock Received'!$E:$E,$A138,'Stock Received'!$L:$L,"CPT")</f>
        <v>417.43</v>
      </c>
      <c r="F138" s="19" t="n">
        <f aca="false">SUMIFS('JHB Count'!$E:$E,'JHB Count'!$F:$F,$A138)-SUMIFS('Weekly Sales'!$F:$F,'Weekly Sales'!$H:$H,$A138,'Weekly Sales'!$I:$I,"JHB")+SUMIFS(Transfers!$F:$F,Transfers!$C:$C,$A138,Transfers!$J:$J,"JHB")-SUMIFS(Transfers!$F:$F,Transfers!$C:$C,$A138,Transfers!$I:$I,"JHB",Transfers!$H:$H,"&lt;&gt;Y")+SUMIFS('Stock Received'!$I:$I,'Stock Received'!$E:$E,$A138,'Stock Received'!$L:$L,"JHB")</f>
        <v>207</v>
      </c>
      <c r="G138" s="19" t="n">
        <f aca="false">SUMIFS('DBN Count'!$D:$D,'DBN Count'!$E:$E,$A138)-SUMIFS('Weekly Sales'!$F:$F,'Weekly Sales'!$H:$H,$A138,'Weekly Sales'!$I:$I,"DBN")+SUMIFS(Transfers!$F:$F,Transfers!$C:$C,$A138,Transfers!$J:$J,"DBN")-SUMIFS(Transfers!$F:$F,Transfers!$C:$C,$A138,Transfers!$I:$I,"DBN",Transfers!$H:$H,"&lt;&gt;Y")+SUMIFS('Stock Received'!$I:$I,'Stock Received'!$E:$E,$A138,'Stock Received'!$L:$L,"DBN")</f>
        <v>29.14</v>
      </c>
      <c r="H138" s="29" t="n">
        <f aca="false">E138+F138+G138</f>
        <v>653.57</v>
      </c>
      <c r="I138" s="19" t="n">
        <f aca="false">SUMIFS('Weekly Sales'!$F:$F,'Weekly Sales'!$H:$H,$A138)</f>
        <v>0</v>
      </c>
      <c r="J138" s="19" t="n">
        <f aca="false">SUMIFS(Orders!$L:$L,Orders!$D:$D,$A138,Orders!$F:$F,"&gt;="&amp;J$4,Orders!$F:$F,"&lt;"&amp;EDATE(J$4,1))</f>
        <v>0</v>
      </c>
      <c r="K138" s="19" t="n">
        <f aca="false">SUMIFS(Orders!$L:$L,Orders!$D:$D,$A138,Orders!$F:$F,"&gt;="&amp;K$4,Orders!$F:$F,"&lt;"&amp;EDATE(K$4,1))</f>
        <v>0</v>
      </c>
      <c r="L138" s="19" t="n">
        <f aca="false">SUMIFS(Orders!$L:$L,Orders!$D:$D,$A138,Orders!$F:$F,"&gt;="&amp;L$4,Orders!$F:$F,"&lt;"&amp;EDATE(L$4,1))</f>
        <v>0</v>
      </c>
      <c r="M138" s="19" t="n">
        <f aca="false">N138-J138-K138-L138</f>
        <v>0</v>
      </c>
      <c r="N138" s="19" t="n">
        <f aca="false">SUMIFS(Orders!$L:$L,Orders!$D:$D,$A138)</f>
        <v>0</v>
      </c>
      <c r="O138" s="19" t="n">
        <f aca="false">H138+N138</f>
        <v>653.57</v>
      </c>
      <c r="P138" s="30" t="n">
        <v>90</v>
      </c>
      <c r="Q138" s="19" t="n">
        <f aca="false">IF(SUMIFS('Sales History'!$E:$E,'Sales History'!$G:$G,$A138)&gt;0,SUMIFS('Sales History'!$E:$E,'Sales History'!$G:$G,$A138)/Settings!$B$4,N(P138))</f>
        <v>90</v>
      </c>
      <c r="R138" s="18" t="str">
        <f aca="false">IF(SUMIFS('Sales History'!$E:$E,'Sales History'!$G:$G,$A138)&gt;0,"6-month history",IF(N(P138)&gt;0,"Current sheet","No sales data"))</f>
        <v>Current sheet</v>
      </c>
      <c r="S138" s="31" t="n">
        <f aca="false">IF(Q138&gt;0,H138/Q138,"")</f>
        <v>7.26188888888889</v>
      </c>
      <c r="T138" s="30" t="n">
        <v>300</v>
      </c>
      <c r="U138" s="19" t="n">
        <f aca="false">IF(T138="","",MAX(0,T138-O138))</f>
        <v>0</v>
      </c>
      <c r="V138" s="32" t="str">
        <f aca="false">IF(D138="End of range","END OF RANGE",IF(T138="","NO BUFFER SET",IF(H138&lt;=0,IF(O138&lt;T138,"OUT - REORDER","OUT - ON ORDER"),IF(O138&lt;T138,"REORDER",IF(H138&lt;T138,"LOW - ON ORDER",IF(AND(S138&lt;&gt;"",N(S138)&gt;Settings!$B$5),"SLOW MOVER","OK"))))))</f>
        <v>OK</v>
      </c>
      <c r="W138" s="18"/>
      <c r="X138" s="33" t="n">
        <f aca="false">IF(OR(D138="End of range",U138=""),0,IF(N(U138)&gt;0,U138+ROW()/1000000,0))</f>
        <v>0</v>
      </c>
    </row>
    <row r="139" customFormat="false" ht="14.25" hidden="false" customHeight="true" outlineLevel="0" collapsed="false">
      <c r="A139" s="18" t="s">
        <v>354</v>
      </c>
      <c r="B139" s="18" t="s">
        <v>355</v>
      </c>
      <c r="C139" s="18" t="s">
        <v>331</v>
      </c>
      <c r="D139" s="18" t="s">
        <v>80</v>
      </c>
      <c r="E139" s="19" t="n">
        <f aca="false">SUMIFS('CPT Count'!$D:$D,'CPT Count'!$A:$A,$A139)-SUMIFS('Weekly Sales'!$F:$F,'Weekly Sales'!$H:$H,$A139,'Weekly Sales'!$I:$I,"CPT")+SUMIFS(Transfers!$F:$F,Transfers!$C:$C,$A139,Transfers!$J:$J,"CPT")-SUMIFS(Transfers!$F:$F,Transfers!$C:$C,$A139,Transfers!$I:$I,"CPT",Transfers!$H:$H,"&lt;&gt;Y")+SUMIFS('Stock Received'!$I:$I,'Stock Received'!$E:$E,$A139,'Stock Received'!$L:$L,"CPT")</f>
        <v>97.87</v>
      </c>
      <c r="F139" s="19" t="n">
        <f aca="false">SUMIFS('JHB Count'!$E:$E,'JHB Count'!$F:$F,$A139)-SUMIFS('Weekly Sales'!$F:$F,'Weekly Sales'!$H:$H,$A139,'Weekly Sales'!$I:$I,"JHB")+SUMIFS(Transfers!$F:$F,Transfers!$C:$C,$A139,Transfers!$J:$J,"JHB")-SUMIFS(Transfers!$F:$F,Transfers!$C:$C,$A139,Transfers!$I:$I,"JHB",Transfers!$H:$H,"&lt;&gt;Y")+SUMIFS('Stock Received'!$I:$I,'Stock Received'!$E:$E,$A139,'Stock Received'!$L:$L,"JHB")</f>
        <v>145.85</v>
      </c>
      <c r="G139" s="19" t="n">
        <f aca="false">SUMIFS('DBN Count'!$D:$D,'DBN Count'!$E:$E,$A139)-SUMIFS('Weekly Sales'!$F:$F,'Weekly Sales'!$H:$H,$A139,'Weekly Sales'!$I:$I,"DBN")+SUMIFS(Transfers!$F:$F,Transfers!$C:$C,$A139,Transfers!$J:$J,"DBN")-SUMIFS(Transfers!$F:$F,Transfers!$C:$C,$A139,Transfers!$I:$I,"DBN",Transfers!$H:$H,"&lt;&gt;Y")+SUMIFS('Stock Received'!$I:$I,'Stock Received'!$E:$E,$A139,'Stock Received'!$L:$L,"DBN")</f>
        <v>54.91</v>
      </c>
      <c r="H139" s="29" t="n">
        <f aca="false">E139+F139+G139</f>
        <v>298.63</v>
      </c>
      <c r="I139" s="19" t="n">
        <f aca="false">SUMIFS('Weekly Sales'!$F:$F,'Weekly Sales'!$H:$H,$A139)</f>
        <v>59.48</v>
      </c>
      <c r="J139" s="19" t="n">
        <f aca="false">SUMIFS(Orders!$L:$L,Orders!$D:$D,$A139,Orders!$F:$F,"&gt;="&amp;J$4,Orders!$F:$F,"&lt;"&amp;EDATE(J$4,1))</f>
        <v>0</v>
      </c>
      <c r="K139" s="19" t="n">
        <f aca="false">SUMIFS(Orders!$L:$L,Orders!$D:$D,$A139,Orders!$F:$F,"&gt;="&amp;K$4,Orders!$F:$F,"&lt;"&amp;EDATE(K$4,1))</f>
        <v>300</v>
      </c>
      <c r="L139" s="19" t="n">
        <f aca="false">SUMIFS(Orders!$L:$L,Orders!$D:$D,$A139,Orders!$F:$F,"&gt;="&amp;L$4,Orders!$F:$F,"&lt;"&amp;EDATE(L$4,1))</f>
        <v>0</v>
      </c>
      <c r="M139" s="19" t="n">
        <f aca="false">N139-J139-K139-L139</f>
        <v>0</v>
      </c>
      <c r="N139" s="19" t="n">
        <f aca="false">SUMIFS(Orders!$L:$L,Orders!$D:$D,$A139)</f>
        <v>300</v>
      </c>
      <c r="O139" s="19" t="n">
        <f aca="false">H139+N139</f>
        <v>598.63</v>
      </c>
      <c r="P139" s="30" t="n">
        <v>130</v>
      </c>
      <c r="Q139" s="19" t="n">
        <f aca="false">IF(SUMIFS('Sales History'!$E:$E,'Sales History'!$G:$G,$A139)&gt;0,SUMIFS('Sales History'!$E:$E,'Sales History'!$G:$G,$A139)/Settings!$B$4,N(P139))</f>
        <v>130</v>
      </c>
      <c r="R139" s="18" t="str">
        <f aca="false">IF(SUMIFS('Sales History'!$E:$E,'Sales History'!$G:$G,$A139)&gt;0,"6-month history",IF(N(P139)&gt;0,"Current sheet","No sales data"))</f>
        <v>Current sheet</v>
      </c>
      <c r="S139" s="31" t="n">
        <f aca="false">IF(Q139&gt;0,H139/Q139,"")</f>
        <v>2.29715384615385</v>
      </c>
      <c r="T139" s="30" t="n">
        <v>300</v>
      </c>
      <c r="U139" s="19" t="n">
        <f aca="false">IF(T139="","",MAX(0,T139-O139))</f>
        <v>0</v>
      </c>
      <c r="V139" s="32" t="str">
        <f aca="false">IF(D139="End of range","END OF RANGE",IF(T139="","NO BUFFER SET",IF(H139&lt;=0,IF(O139&lt;T139,"OUT - REORDER","OUT - ON ORDER"),IF(O139&lt;T139,"REORDER",IF(H139&lt;T139,"LOW - ON ORDER",IF(AND(S139&lt;&gt;"",N(S139)&gt;Settings!$B$5),"SLOW MOVER","OK"))))))</f>
        <v>LOW - ON ORDER</v>
      </c>
      <c r="W139" s="18"/>
      <c r="X139" s="33" t="n">
        <f aca="false">IF(OR(D139="End of range",U139=""),0,IF(N(U139)&gt;0,U139+ROW()/1000000,0))</f>
        <v>0</v>
      </c>
    </row>
    <row r="140" customFormat="false" ht="14.25" hidden="false" customHeight="true" outlineLevel="0" collapsed="false">
      <c r="A140" s="18" t="s">
        <v>356</v>
      </c>
      <c r="B140" s="18" t="s">
        <v>357</v>
      </c>
      <c r="C140" s="18" t="s">
        <v>331</v>
      </c>
      <c r="D140" s="18" t="s">
        <v>80</v>
      </c>
      <c r="E140" s="19" t="n">
        <f aca="false">SUMIFS('CPT Count'!$D:$D,'CPT Count'!$A:$A,$A140)-SUMIFS('Weekly Sales'!$F:$F,'Weekly Sales'!$H:$H,$A140,'Weekly Sales'!$I:$I,"CPT")+SUMIFS(Transfers!$F:$F,Transfers!$C:$C,$A140,Transfers!$J:$J,"CPT")-SUMIFS(Transfers!$F:$F,Transfers!$C:$C,$A140,Transfers!$I:$I,"CPT",Transfers!$H:$H,"&lt;&gt;Y")+SUMIFS('Stock Received'!$I:$I,'Stock Received'!$E:$E,$A140,'Stock Received'!$L:$L,"CPT")</f>
        <v>185</v>
      </c>
      <c r="F140" s="19" t="n">
        <f aca="false">SUMIFS('JHB Count'!$E:$E,'JHB Count'!$F:$F,$A140)-SUMIFS('Weekly Sales'!$F:$F,'Weekly Sales'!$H:$H,$A140,'Weekly Sales'!$I:$I,"JHB")+SUMIFS(Transfers!$F:$F,Transfers!$C:$C,$A140,Transfers!$J:$J,"JHB")-SUMIFS(Transfers!$F:$F,Transfers!$C:$C,$A140,Transfers!$I:$I,"JHB",Transfers!$H:$H,"&lt;&gt;Y")+SUMIFS('Stock Received'!$I:$I,'Stock Received'!$E:$E,$A140,'Stock Received'!$L:$L,"JHB")</f>
        <v>1.8</v>
      </c>
      <c r="G140" s="19" t="n">
        <f aca="false">SUMIFS('DBN Count'!$D:$D,'DBN Count'!$E:$E,$A140)-SUMIFS('Weekly Sales'!$F:$F,'Weekly Sales'!$H:$H,$A140,'Weekly Sales'!$I:$I,"DBN")+SUMIFS(Transfers!$F:$F,Transfers!$C:$C,$A140,Transfers!$J:$J,"DBN")-SUMIFS(Transfers!$F:$F,Transfers!$C:$C,$A140,Transfers!$I:$I,"DBN",Transfers!$H:$H,"&lt;&gt;Y")+SUMIFS('Stock Received'!$I:$I,'Stock Received'!$E:$E,$A140,'Stock Received'!$L:$L,"DBN")</f>
        <v>25.34</v>
      </c>
      <c r="H140" s="29" t="n">
        <f aca="false">E140+F140+G140</f>
        <v>212.14</v>
      </c>
      <c r="I140" s="19" t="n">
        <f aca="false">SUMIFS('Weekly Sales'!$F:$F,'Weekly Sales'!$H:$H,$A140)</f>
        <v>0</v>
      </c>
      <c r="J140" s="19" t="n">
        <f aca="false">SUMIFS(Orders!$L:$L,Orders!$D:$D,$A140,Orders!$F:$F,"&gt;="&amp;J$4,Orders!$F:$F,"&lt;"&amp;EDATE(J$4,1))</f>
        <v>0</v>
      </c>
      <c r="K140" s="19" t="n">
        <f aca="false">SUMIFS(Orders!$L:$L,Orders!$D:$D,$A140,Orders!$F:$F,"&gt;="&amp;K$4,Orders!$F:$F,"&lt;"&amp;EDATE(K$4,1))</f>
        <v>0</v>
      </c>
      <c r="L140" s="19" t="n">
        <f aca="false">SUMIFS(Orders!$L:$L,Orders!$D:$D,$A140,Orders!$F:$F,"&gt;="&amp;L$4,Orders!$F:$F,"&lt;"&amp;EDATE(L$4,1))</f>
        <v>0</v>
      </c>
      <c r="M140" s="19" t="n">
        <f aca="false">N140-J140-K140-L140</f>
        <v>0</v>
      </c>
      <c r="N140" s="19" t="n">
        <f aca="false">SUMIFS(Orders!$L:$L,Orders!$D:$D,$A140)</f>
        <v>0</v>
      </c>
      <c r="O140" s="19" t="n">
        <f aca="false">H140+N140</f>
        <v>212.14</v>
      </c>
      <c r="P140" s="30" t="n">
        <v>45</v>
      </c>
      <c r="Q140" s="19" t="n">
        <f aca="false">IF(SUMIFS('Sales History'!$E:$E,'Sales History'!$G:$G,$A140)&gt;0,SUMIFS('Sales History'!$E:$E,'Sales History'!$G:$G,$A140)/Settings!$B$4,N(P140))</f>
        <v>45</v>
      </c>
      <c r="R140" s="18" t="str">
        <f aca="false">IF(SUMIFS('Sales History'!$E:$E,'Sales History'!$G:$G,$A140)&gt;0,"6-month history",IF(N(P140)&gt;0,"Current sheet","No sales data"))</f>
        <v>Current sheet</v>
      </c>
      <c r="S140" s="31" t="n">
        <f aca="false">IF(Q140&gt;0,H140/Q140,"")</f>
        <v>4.71422222222222</v>
      </c>
      <c r="T140" s="30" t="n">
        <v>100</v>
      </c>
      <c r="U140" s="19" t="n">
        <f aca="false">IF(T140="","",MAX(0,T140-O140))</f>
        <v>0</v>
      </c>
      <c r="V140" s="32" t="str">
        <f aca="false">IF(D140="End of range","END OF RANGE",IF(T140="","NO BUFFER SET",IF(H140&lt;=0,IF(O140&lt;T140,"OUT - REORDER","OUT - ON ORDER"),IF(O140&lt;T140,"REORDER",IF(H140&lt;T140,"LOW - ON ORDER",IF(AND(S140&lt;&gt;"",N(S140)&gt;Settings!$B$5),"SLOW MOVER","OK"))))))</f>
        <v>OK</v>
      </c>
      <c r="W140" s="18" t="s">
        <v>358</v>
      </c>
      <c r="X140" s="33" t="n">
        <f aca="false">IF(OR(D140="End of range",U140=""),0,IF(N(U140)&gt;0,U140+ROW()/1000000,0))</f>
        <v>0</v>
      </c>
    </row>
    <row r="141" customFormat="false" ht="14.25" hidden="false" customHeight="true" outlineLevel="0" collapsed="false">
      <c r="A141" s="18" t="s">
        <v>359</v>
      </c>
      <c r="B141" s="18" t="s">
        <v>360</v>
      </c>
      <c r="C141" s="18" t="s">
        <v>331</v>
      </c>
      <c r="D141" s="18" t="s">
        <v>80</v>
      </c>
      <c r="E141" s="19" t="n">
        <f aca="false">SUMIFS('CPT Count'!$D:$D,'CPT Count'!$A:$A,$A141)-SUMIFS('Weekly Sales'!$F:$F,'Weekly Sales'!$H:$H,$A141,'Weekly Sales'!$I:$I,"CPT")+SUMIFS(Transfers!$F:$F,Transfers!$C:$C,$A141,Transfers!$J:$J,"CPT")-SUMIFS(Transfers!$F:$F,Transfers!$C:$C,$A141,Transfers!$I:$I,"CPT",Transfers!$H:$H,"&lt;&gt;Y")+SUMIFS('Stock Received'!$I:$I,'Stock Received'!$E:$E,$A141,'Stock Received'!$L:$L,"CPT")</f>
        <v>125.01</v>
      </c>
      <c r="F141" s="19" t="n">
        <f aca="false">SUMIFS('JHB Count'!$E:$E,'JHB Count'!$F:$F,$A141)-SUMIFS('Weekly Sales'!$F:$F,'Weekly Sales'!$H:$H,$A141,'Weekly Sales'!$I:$I,"JHB")+SUMIFS(Transfers!$F:$F,Transfers!$C:$C,$A141,Transfers!$J:$J,"JHB")-SUMIFS(Transfers!$F:$F,Transfers!$C:$C,$A141,Transfers!$I:$I,"JHB",Transfers!$H:$H,"&lt;&gt;Y")+SUMIFS('Stock Received'!$I:$I,'Stock Received'!$E:$E,$A141,'Stock Received'!$L:$L,"JHB")</f>
        <v>0</v>
      </c>
      <c r="G141" s="19" t="n">
        <f aca="false">SUMIFS('DBN Count'!$D:$D,'DBN Count'!$E:$E,$A141)-SUMIFS('Weekly Sales'!$F:$F,'Weekly Sales'!$H:$H,$A141,'Weekly Sales'!$I:$I,"DBN")+SUMIFS(Transfers!$F:$F,Transfers!$C:$C,$A141,Transfers!$J:$J,"DBN")-SUMIFS(Transfers!$F:$F,Transfers!$C:$C,$A141,Transfers!$I:$I,"DBN",Transfers!$H:$H,"&lt;&gt;Y")+SUMIFS('Stock Received'!$I:$I,'Stock Received'!$E:$E,$A141,'Stock Received'!$L:$L,"DBN")</f>
        <v>4.16</v>
      </c>
      <c r="H141" s="29" t="n">
        <f aca="false">E141+F141+G141</f>
        <v>129.17</v>
      </c>
      <c r="I141" s="19" t="n">
        <f aca="false">SUMIFS('Weekly Sales'!$F:$F,'Weekly Sales'!$H:$H,$A141)</f>
        <v>28.89</v>
      </c>
      <c r="J141" s="19" t="n">
        <f aca="false">SUMIFS(Orders!$L:$L,Orders!$D:$D,$A141,Orders!$F:$F,"&gt;="&amp;J$4,Orders!$F:$F,"&lt;"&amp;EDATE(J$4,1))</f>
        <v>0</v>
      </c>
      <c r="K141" s="19" t="n">
        <f aca="false">SUMIFS(Orders!$L:$L,Orders!$D:$D,$A141,Orders!$F:$F,"&gt;="&amp;K$4,Orders!$F:$F,"&lt;"&amp;EDATE(K$4,1))</f>
        <v>0</v>
      </c>
      <c r="L141" s="19" t="n">
        <f aca="false">SUMIFS(Orders!$L:$L,Orders!$D:$D,$A141,Orders!$F:$F,"&gt;="&amp;L$4,Orders!$F:$F,"&lt;"&amp;EDATE(L$4,1))</f>
        <v>300</v>
      </c>
      <c r="M141" s="19" t="n">
        <f aca="false">N141-J141-K141-L141</f>
        <v>0</v>
      </c>
      <c r="N141" s="19" t="n">
        <f aca="false">SUMIFS(Orders!$L:$L,Orders!$D:$D,$A141)</f>
        <v>300</v>
      </c>
      <c r="O141" s="19" t="n">
        <f aca="false">H141+N141</f>
        <v>429.17</v>
      </c>
      <c r="P141" s="30" t="n">
        <v>60</v>
      </c>
      <c r="Q141" s="19" t="n">
        <f aca="false">IF(SUMIFS('Sales History'!$E:$E,'Sales History'!$G:$G,$A141)&gt;0,SUMIFS('Sales History'!$E:$E,'Sales History'!$G:$G,$A141)/Settings!$B$4,N(P141))</f>
        <v>60</v>
      </c>
      <c r="R141" s="18" t="str">
        <f aca="false">IF(SUMIFS('Sales History'!$E:$E,'Sales History'!$G:$G,$A141)&gt;0,"6-month history",IF(N(P141)&gt;0,"Current sheet","No sales data"))</f>
        <v>Current sheet</v>
      </c>
      <c r="S141" s="31" t="n">
        <f aca="false">IF(Q141&gt;0,H141/Q141,"")</f>
        <v>2.15283333333333</v>
      </c>
      <c r="T141" s="30" t="n">
        <v>200</v>
      </c>
      <c r="U141" s="19" t="n">
        <f aca="false">IF(T141="","",MAX(0,T141-O141))</f>
        <v>0</v>
      </c>
      <c r="V141" s="32" t="str">
        <f aca="false">IF(D141="End of range","END OF RANGE",IF(T141="","NO BUFFER SET",IF(H141&lt;=0,IF(O141&lt;T141,"OUT - REORDER","OUT - ON ORDER"),IF(O141&lt;T141,"REORDER",IF(H141&lt;T141,"LOW - ON ORDER",IF(AND(S141&lt;&gt;"",N(S141)&gt;Settings!$B$5),"SLOW MOVER","OK"))))))</f>
        <v>LOW - ON ORDER</v>
      </c>
      <c r="W141" s="18" t="s">
        <v>361</v>
      </c>
      <c r="X141" s="33" t="n">
        <f aca="false">IF(OR(D141="End of range",U141=""),0,IF(N(U141)&gt;0,U141+ROW()/1000000,0))</f>
        <v>0</v>
      </c>
    </row>
    <row r="142" customFormat="false" ht="14.25" hidden="false" customHeight="true" outlineLevel="0" collapsed="false">
      <c r="A142" s="18" t="s">
        <v>362</v>
      </c>
      <c r="B142" s="18" t="s">
        <v>363</v>
      </c>
      <c r="C142" s="18" t="s">
        <v>331</v>
      </c>
      <c r="D142" s="18" t="s">
        <v>80</v>
      </c>
      <c r="E142" s="19" t="n">
        <f aca="false">SUMIFS('CPT Count'!$D:$D,'CPT Count'!$A:$A,$A142)-SUMIFS('Weekly Sales'!$F:$F,'Weekly Sales'!$H:$H,$A142,'Weekly Sales'!$I:$I,"CPT")+SUMIFS(Transfers!$F:$F,Transfers!$C:$C,$A142,Transfers!$J:$J,"CPT")-SUMIFS(Transfers!$F:$F,Transfers!$C:$C,$A142,Transfers!$I:$I,"CPT",Transfers!$H:$H,"&lt;&gt;Y")+SUMIFS('Stock Received'!$I:$I,'Stock Received'!$E:$E,$A142,'Stock Received'!$L:$L,"CPT")</f>
        <v>348</v>
      </c>
      <c r="F142" s="19" t="n">
        <f aca="false">SUMIFS('JHB Count'!$E:$E,'JHB Count'!$F:$F,$A142)-SUMIFS('Weekly Sales'!$F:$F,'Weekly Sales'!$H:$H,$A142,'Weekly Sales'!$I:$I,"JHB")+SUMIFS(Transfers!$F:$F,Transfers!$C:$C,$A142,Transfers!$J:$J,"JHB")-SUMIFS(Transfers!$F:$F,Transfers!$C:$C,$A142,Transfers!$I:$I,"JHB",Transfers!$H:$H,"&lt;&gt;Y")+SUMIFS('Stock Received'!$I:$I,'Stock Received'!$E:$E,$A142,'Stock Received'!$L:$L,"JHB")</f>
        <v>46.67</v>
      </c>
      <c r="G142" s="19" t="n">
        <f aca="false">SUMIFS('DBN Count'!$D:$D,'DBN Count'!$E:$E,$A142)-SUMIFS('Weekly Sales'!$F:$F,'Weekly Sales'!$H:$H,$A142,'Weekly Sales'!$I:$I,"DBN")+SUMIFS(Transfers!$F:$F,Transfers!$C:$C,$A142,Transfers!$J:$J,"DBN")-SUMIFS(Transfers!$F:$F,Transfers!$C:$C,$A142,Transfers!$I:$I,"DBN",Transfers!$H:$H,"&lt;&gt;Y")+SUMIFS('Stock Received'!$I:$I,'Stock Received'!$E:$E,$A142,'Stock Received'!$L:$L,"DBN")</f>
        <v>18.73</v>
      </c>
      <c r="H142" s="29" t="n">
        <f aca="false">E142+F142+G142</f>
        <v>413.4</v>
      </c>
      <c r="I142" s="19" t="n">
        <f aca="false">SUMIFS('Weekly Sales'!$F:$F,'Weekly Sales'!$H:$H,$A142)</f>
        <v>1.93</v>
      </c>
      <c r="J142" s="19" t="n">
        <f aca="false">SUMIFS(Orders!$L:$L,Orders!$D:$D,$A142,Orders!$F:$F,"&gt;="&amp;J$4,Orders!$F:$F,"&lt;"&amp;EDATE(J$4,1))</f>
        <v>0</v>
      </c>
      <c r="K142" s="19" t="n">
        <f aca="false">SUMIFS(Orders!$L:$L,Orders!$D:$D,$A142,Orders!$F:$F,"&gt;="&amp;K$4,Orders!$F:$F,"&lt;"&amp;EDATE(K$4,1))</f>
        <v>0</v>
      </c>
      <c r="L142" s="19" t="n">
        <f aca="false">SUMIFS(Orders!$L:$L,Orders!$D:$D,$A142,Orders!$F:$F,"&gt;="&amp;L$4,Orders!$F:$F,"&lt;"&amp;EDATE(L$4,1))</f>
        <v>0</v>
      </c>
      <c r="M142" s="19" t="n">
        <f aca="false">N142-J142-K142-L142</f>
        <v>0</v>
      </c>
      <c r="N142" s="19" t="n">
        <f aca="false">SUMIFS(Orders!$L:$L,Orders!$D:$D,$A142)</f>
        <v>0</v>
      </c>
      <c r="O142" s="19" t="n">
        <f aca="false">H142+N142</f>
        <v>413.4</v>
      </c>
      <c r="P142" s="30" t="n">
        <v>65</v>
      </c>
      <c r="Q142" s="19" t="n">
        <f aca="false">IF(SUMIFS('Sales History'!$E:$E,'Sales History'!$G:$G,$A142)&gt;0,SUMIFS('Sales History'!$E:$E,'Sales History'!$G:$G,$A142)/Settings!$B$4,N(P142))</f>
        <v>65</v>
      </c>
      <c r="R142" s="18" t="str">
        <f aca="false">IF(SUMIFS('Sales History'!$E:$E,'Sales History'!$G:$G,$A142)&gt;0,"6-month history",IF(N(P142)&gt;0,"Current sheet","No sales data"))</f>
        <v>Current sheet</v>
      </c>
      <c r="S142" s="31" t="n">
        <f aca="false">IF(Q142&gt;0,H142/Q142,"")</f>
        <v>6.36</v>
      </c>
      <c r="T142" s="30" t="n">
        <v>300</v>
      </c>
      <c r="U142" s="19" t="n">
        <f aca="false">IF(T142="","",MAX(0,T142-O142))</f>
        <v>0</v>
      </c>
      <c r="V142" s="32" t="str">
        <f aca="false">IF(D142="End of range","END OF RANGE",IF(T142="","NO BUFFER SET",IF(H142&lt;=0,IF(O142&lt;T142,"OUT - REORDER","OUT - ON ORDER"),IF(O142&lt;T142,"REORDER",IF(H142&lt;T142,"LOW - ON ORDER",IF(AND(S142&lt;&gt;"",N(S142)&gt;Settings!$B$5),"SLOW MOVER","OK"))))))</f>
        <v>OK</v>
      </c>
      <c r="W142" s="18"/>
      <c r="X142" s="33" t="n">
        <f aca="false">IF(OR(D142="End of range",U142=""),0,IF(N(U142)&gt;0,U142+ROW()/1000000,0))</f>
        <v>0</v>
      </c>
    </row>
    <row r="143" customFormat="false" ht="14.25" hidden="false" customHeight="true" outlineLevel="0" collapsed="false">
      <c r="A143" s="18" t="s">
        <v>364</v>
      </c>
      <c r="B143" s="18" t="s">
        <v>365</v>
      </c>
      <c r="C143" s="18" t="s">
        <v>331</v>
      </c>
      <c r="D143" s="18" t="s">
        <v>80</v>
      </c>
      <c r="E143" s="19" t="n">
        <f aca="false">SUMIFS('CPT Count'!$D:$D,'CPT Count'!$A:$A,$A143)-SUMIFS('Weekly Sales'!$F:$F,'Weekly Sales'!$H:$H,$A143,'Weekly Sales'!$I:$I,"CPT")+SUMIFS(Transfers!$F:$F,Transfers!$C:$C,$A143,Transfers!$J:$J,"CPT")-SUMIFS(Transfers!$F:$F,Transfers!$C:$C,$A143,Transfers!$I:$I,"CPT",Transfers!$H:$H,"&lt;&gt;Y")+SUMIFS('Stock Received'!$I:$I,'Stock Received'!$E:$E,$A143,'Stock Received'!$L:$L,"CPT")</f>
        <v>214</v>
      </c>
      <c r="F143" s="19" t="n">
        <f aca="false">SUMIFS('JHB Count'!$E:$E,'JHB Count'!$F:$F,$A143)-SUMIFS('Weekly Sales'!$F:$F,'Weekly Sales'!$H:$H,$A143,'Weekly Sales'!$I:$I,"JHB")+SUMIFS(Transfers!$F:$F,Transfers!$C:$C,$A143,Transfers!$J:$J,"JHB")-SUMIFS(Transfers!$F:$F,Transfers!$C:$C,$A143,Transfers!$I:$I,"JHB",Transfers!$H:$H,"&lt;&gt;Y")+SUMIFS('Stock Received'!$I:$I,'Stock Received'!$E:$E,$A143,'Stock Received'!$L:$L,"JHB")</f>
        <v>47.24</v>
      </c>
      <c r="G143" s="19" t="n">
        <f aca="false">SUMIFS('DBN Count'!$D:$D,'DBN Count'!$E:$E,$A143)-SUMIFS('Weekly Sales'!$F:$F,'Weekly Sales'!$H:$H,$A143,'Weekly Sales'!$I:$I,"DBN")+SUMIFS(Transfers!$F:$F,Transfers!$C:$C,$A143,Transfers!$J:$J,"DBN")-SUMIFS(Transfers!$F:$F,Transfers!$C:$C,$A143,Transfers!$I:$I,"DBN",Transfers!$H:$H,"&lt;&gt;Y")+SUMIFS('Stock Received'!$I:$I,'Stock Received'!$E:$E,$A143,'Stock Received'!$L:$L,"DBN")</f>
        <v>15.5</v>
      </c>
      <c r="H143" s="29" t="n">
        <f aca="false">E143+F143+G143</f>
        <v>276.74</v>
      </c>
      <c r="I143" s="19" t="n">
        <f aca="false">SUMIFS('Weekly Sales'!$F:$F,'Weekly Sales'!$H:$H,$A143)</f>
        <v>1.36</v>
      </c>
      <c r="J143" s="19" t="n">
        <f aca="false">SUMIFS(Orders!$L:$L,Orders!$D:$D,$A143,Orders!$F:$F,"&gt;="&amp;J$4,Orders!$F:$F,"&lt;"&amp;EDATE(J$4,1))</f>
        <v>0</v>
      </c>
      <c r="K143" s="19" t="n">
        <f aca="false">SUMIFS(Orders!$L:$L,Orders!$D:$D,$A143,Orders!$F:$F,"&gt;="&amp;K$4,Orders!$F:$F,"&lt;"&amp;EDATE(K$4,1))</f>
        <v>0</v>
      </c>
      <c r="L143" s="19" t="n">
        <f aca="false">SUMIFS(Orders!$L:$L,Orders!$D:$D,$A143,Orders!$F:$F,"&gt;="&amp;L$4,Orders!$F:$F,"&lt;"&amp;EDATE(L$4,1))</f>
        <v>0</v>
      </c>
      <c r="M143" s="19" t="n">
        <f aca="false">N143-J143-K143-L143</f>
        <v>0</v>
      </c>
      <c r="N143" s="19" t="n">
        <f aca="false">SUMIFS(Orders!$L:$L,Orders!$D:$D,$A143)</f>
        <v>0</v>
      </c>
      <c r="O143" s="19" t="n">
        <f aca="false">H143+N143</f>
        <v>276.74</v>
      </c>
      <c r="P143" s="30" t="n">
        <v>55</v>
      </c>
      <c r="Q143" s="19" t="n">
        <f aca="false">IF(SUMIFS('Sales History'!$E:$E,'Sales History'!$G:$G,$A143)&gt;0,SUMIFS('Sales History'!$E:$E,'Sales History'!$G:$G,$A143)/Settings!$B$4,N(P143))</f>
        <v>55</v>
      </c>
      <c r="R143" s="18" t="str">
        <f aca="false">IF(SUMIFS('Sales History'!$E:$E,'Sales History'!$G:$G,$A143)&gt;0,"6-month history",IF(N(P143)&gt;0,"Current sheet","No sales data"))</f>
        <v>Current sheet</v>
      </c>
      <c r="S143" s="31" t="n">
        <f aca="false">IF(Q143&gt;0,H143/Q143,"")</f>
        <v>5.03163636363636</v>
      </c>
      <c r="T143" s="30" t="n">
        <v>200</v>
      </c>
      <c r="U143" s="19" t="n">
        <f aca="false">IF(T143="","",MAX(0,T143-O143))</f>
        <v>0</v>
      </c>
      <c r="V143" s="32" t="str">
        <f aca="false">IF(D143="End of range","END OF RANGE",IF(T143="","NO BUFFER SET",IF(H143&lt;=0,IF(O143&lt;T143,"OUT - REORDER","OUT - ON ORDER"),IF(O143&lt;T143,"REORDER",IF(H143&lt;T143,"LOW - ON ORDER",IF(AND(S143&lt;&gt;"",N(S143)&gt;Settings!$B$5),"SLOW MOVER","OK"))))))</f>
        <v>OK</v>
      </c>
      <c r="W143" s="18" t="s">
        <v>366</v>
      </c>
      <c r="X143" s="33" t="n">
        <f aca="false">IF(OR(D143="End of range",U143=""),0,IF(N(U143)&gt;0,U143+ROW()/1000000,0))</f>
        <v>0</v>
      </c>
    </row>
    <row r="144" customFormat="false" ht="14.25" hidden="false" customHeight="true" outlineLevel="0" collapsed="false">
      <c r="A144" s="18" t="s">
        <v>367</v>
      </c>
      <c r="B144" s="18" t="s">
        <v>368</v>
      </c>
      <c r="C144" s="18" t="s">
        <v>331</v>
      </c>
      <c r="D144" s="18" t="s">
        <v>80</v>
      </c>
      <c r="E144" s="19" t="n">
        <f aca="false">SUMIFS('CPT Count'!$D:$D,'CPT Count'!$A:$A,$A144)-SUMIFS('Weekly Sales'!$F:$F,'Weekly Sales'!$H:$H,$A144,'Weekly Sales'!$I:$I,"CPT")+SUMIFS(Transfers!$F:$F,Transfers!$C:$C,$A144,Transfers!$J:$J,"CPT")-SUMIFS(Transfers!$F:$F,Transfers!$C:$C,$A144,Transfers!$I:$I,"CPT",Transfers!$H:$H,"&lt;&gt;Y")+SUMIFS('Stock Received'!$I:$I,'Stock Received'!$E:$E,$A144,'Stock Received'!$L:$L,"CPT")</f>
        <v>86.13</v>
      </c>
      <c r="F144" s="19" t="n">
        <f aca="false">SUMIFS('JHB Count'!$E:$E,'JHB Count'!$F:$F,$A144)-SUMIFS('Weekly Sales'!$F:$F,'Weekly Sales'!$H:$H,$A144,'Weekly Sales'!$I:$I,"JHB")+SUMIFS(Transfers!$F:$F,Transfers!$C:$C,$A144,Transfers!$J:$J,"JHB")-SUMIFS(Transfers!$F:$F,Transfers!$C:$C,$A144,Transfers!$I:$I,"JHB",Transfers!$H:$H,"&lt;&gt;Y")+SUMIFS('Stock Received'!$I:$I,'Stock Received'!$E:$E,$A144,'Stock Received'!$L:$L,"JHB")</f>
        <v>37.8</v>
      </c>
      <c r="G144" s="19" t="n">
        <f aca="false">SUMIFS('DBN Count'!$D:$D,'DBN Count'!$E:$E,$A144)-SUMIFS('Weekly Sales'!$F:$F,'Weekly Sales'!$H:$H,$A144,'Weekly Sales'!$I:$I,"DBN")+SUMIFS(Transfers!$F:$F,Transfers!$C:$C,$A144,Transfers!$J:$J,"DBN")-SUMIFS(Transfers!$F:$F,Transfers!$C:$C,$A144,Transfers!$I:$I,"DBN",Transfers!$H:$H,"&lt;&gt;Y")+SUMIFS('Stock Received'!$I:$I,'Stock Received'!$E:$E,$A144,'Stock Received'!$L:$L,"DBN")</f>
        <v>11.23</v>
      </c>
      <c r="H144" s="29" t="n">
        <f aca="false">E144+F144+G144</f>
        <v>135.16</v>
      </c>
      <c r="I144" s="19" t="n">
        <f aca="false">SUMIFS('Weekly Sales'!$F:$F,'Weekly Sales'!$H:$H,$A144)</f>
        <v>1.87</v>
      </c>
      <c r="J144" s="19" t="n">
        <f aca="false">SUMIFS(Orders!$L:$L,Orders!$D:$D,$A144,Orders!$F:$F,"&gt;="&amp;J$4,Orders!$F:$F,"&lt;"&amp;EDATE(J$4,1))</f>
        <v>0</v>
      </c>
      <c r="K144" s="19" t="n">
        <f aca="false">SUMIFS(Orders!$L:$L,Orders!$D:$D,$A144,Orders!$F:$F,"&gt;="&amp;K$4,Orders!$F:$F,"&lt;"&amp;EDATE(K$4,1))</f>
        <v>0</v>
      </c>
      <c r="L144" s="19" t="n">
        <f aca="false">SUMIFS(Orders!$L:$L,Orders!$D:$D,$A144,Orders!$F:$F,"&gt;="&amp;L$4,Orders!$F:$F,"&lt;"&amp;EDATE(L$4,1))</f>
        <v>0</v>
      </c>
      <c r="M144" s="19" t="n">
        <f aca="false">N144-J144-K144-L144</f>
        <v>0</v>
      </c>
      <c r="N144" s="19" t="n">
        <f aca="false">SUMIFS(Orders!$L:$L,Orders!$D:$D,$A144)</f>
        <v>0</v>
      </c>
      <c r="O144" s="19" t="n">
        <f aca="false">H144+N144</f>
        <v>135.16</v>
      </c>
      <c r="P144" s="30" t="n">
        <v>20</v>
      </c>
      <c r="Q144" s="19" t="n">
        <f aca="false">IF(SUMIFS('Sales History'!$E:$E,'Sales History'!$G:$G,$A144)&gt;0,SUMIFS('Sales History'!$E:$E,'Sales History'!$G:$G,$A144)/Settings!$B$4,N(P144))</f>
        <v>20</v>
      </c>
      <c r="R144" s="18" t="str">
        <f aca="false">IF(SUMIFS('Sales History'!$E:$E,'Sales History'!$G:$G,$A144)&gt;0,"6-month history",IF(N(P144)&gt;0,"Current sheet","No sales data"))</f>
        <v>Current sheet</v>
      </c>
      <c r="S144" s="31" t="n">
        <f aca="false">IF(Q144&gt;0,H144/Q144,"")</f>
        <v>6.758</v>
      </c>
      <c r="T144" s="30" t="n">
        <v>100</v>
      </c>
      <c r="U144" s="19" t="n">
        <f aca="false">IF(T144="","",MAX(0,T144-O144))</f>
        <v>0</v>
      </c>
      <c r="V144" s="32" t="str">
        <f aca="false">IF(D144="End of range","END OF RANGE",IF(T144="","NO BUFFER SET",IF(H144&lt;=0,IF(O144&lt;T144,"OUT - REORDER","OUT - ON ORDER"),IF(O144&lt;T144,"REORDER",IF(H144&lt;T144,"LOW - ON ORDER",IF(AND(S144&lt;&gt;"",N(S144)&gt;Settings!$B$5),"SLOW MOVER","OK"))))))</f>
        <v>OK</v>
      </c>
      <c r="W144" s="18" t="s">
        <v>358</v>
      </c>
      <c r="X144" s="33" t="n">
        <f aca="false">IF(OR(D144="End of range",U144=""),0,IF(N(U144)&gt;0,U144+ROW()/1000000,0))</f>
        <v>0</v>
      </c>
    </row>
    <row r="145" customFormat="false" ht="14.25" hidden="false" customHeight="true" outlineLevel="0" collapsed="false">
      <c r="A145" s="18" t="s">
        <v>369</v>
      </c>
      <c r="B145" s="18" t="s">
        <v>370</v>
      </c>
      <c r="C145" s="18" t="s">
        <v>331</v>
      </c>
      <c r="D145" s="18" t="s">
        <v>80</v>
      </c>
      <c r="E145" s="19" t="n">
        <f aca="false">SUMIFS('CPT Count'!$D:$D,'CPT Count'!$A:$A,$A145)-SUMIFS('Weekly Sales'!$F:$F,'Weekly Sales'!$H:$H,$A145,'Weekly Sales'!$I:$I,"CPT")+SUMIFS(Transfers!$F:$F,Transfers!$C:$C,$A145,Transfers!$J:$J,"CPT")-SUMIFS(Transfers!$F:$F,Transfers!$C:$C,$A145,Transfers!$I:$I,"CPT",Transfers!$H:$H,"&lt;&gt;Y")+SUMIFS('Stock Received'!$I:$I,'Stock Received'!$E:$E,$A145,'Stock Received'!$L:$L,"CPT")</f>
        <v>304.06</v>
      </c>
      <c r="F145" s="19" t="n">
        <f aca="false">SUMIFS('JHB Count'!$E:$E,'JHB Count'!$F:$F,$A145)-SUMIFS('Weekly Sales'!$F:$F,'Weekly Sales'!$H:$H,$A145,'Weekly Sales'!$I:$I,"JHB")+SUMIFS(Transfers!$F:$F,Transfers!$C:$C,$A145,Transfers!$J:$J,"JHB")-SUMIFS(Transfers!$F:$F,Transfers!$C:$C,$A145,Transfers!$I:$I,"JHB",Transfers!$H:$H,"&lt;&gt;Y")+SUMIFS('Stock Received'!$I:$I,'Stock Received'!$E:$E,$A145,'Stock Received'!$L:$L,"JHB")</f>
        <v>43</v>
      </c>
      <c r="G145" s="19" t="n">
        <f aca="false">SUMIFS('DBN Count'!$D:$D,'DBN Count'!$E:$E,$A145)-SUMIFS('Weekly Sales'!$F:$F,'Weekly Sales'!$H:$H,$A145,'Weekly Sales'!$I:$I,"DBN")+SUMIFS(Transfers!$F:$F,Transfers!$C:$C,$A145,Transfers!$J:$J,"DBN")-SUMIFS(Transfers!$F:$F,Transfers!$C:$C,$A145,Transfers!$I:$I,"DBN",Transfers!$H:$H,"&lt;&gt;Y")+SUMIFS('Stock Received'!$I:$I,'Stock Received'!$E:$E,$A145,'Stock Received'!$L:$L,"DBN")</f>
        <v>9.88</v>
      </c>
      <c r="H145" s="29" t="n">
        <f aca="false">E145+F145+G145</f>
        <v>356.94</v>
      </c>
      <c r="I145" s="19" t="n">
        <f aca="false">SUMIFS('Weekly Sales'!$F:$F,'Weekly Sales'!$H:$H,$A145)</f>
        <v>12.94</v>
      </c>
      <c r="J145" s="19" t="n">
        <f aca="false">SUMIFS(Orders!$L:$L,Orders!$D:$D,$A145,Orders!$F:$F,"&gt;="&amp;J$4,Orders!$F:$F,"&lt;"&amp;EDATE(J$4,1))</f>
        <v>300</v>
      </c>
      <c r="K145" s="19" t="n">
        <f aca="false">SUMIFS(Orders!$L:$L,Orders!$D:$D,$A145,Orders!$F:$F,"&gt;="&amp;K$4,Orders!$F:$F,"&lt;"&amp;EDATE(K$4,1))</f>
        <v>0</v>
      </c>
      <c r="L145" s="19" t="n">
        <f aca="false">SUMIFS(Orders!$L:$L,Orders!$D:$D,$A145,Orders!$F:$F,"&gt;="&amp;L$4,Orders!$F:$F,"&lt;"&amp;EDATE(L$4,1))</f>
        <v>0</v>
      </c>
      <c r="M145" s="19" t="n">
        <f aca="false">N145-J145-K145-L145</f>
        <v>0</v>
      </c>
      <c r="N145" s="19" t="n">
        <f aca="false">SUMIFS(Orders!$L:$L,Orders!$D:$D,$A145)</f>
        <v>300</v>
      </c>
      <c r="O145" s="19" t="n">
        <f aca="false">H145+N145</f>
        <v>656.94</v>
      </c>
      <c r="P145" s="30" t="n">
        <v>80</v>
      </c>
      <c r="Q145" s="19" t="n">
        <f aca="false">IF(SUMIFS('Sales History'!$E:$E,'Sales History'!$G:$G,$A145)&gt;0,SUMIFS('Sales History'!$E:$E,'Sales History'!$G:$G,$A145)/Settings!$B$4,N(P145))</f>
        <v>80</v>
      </c>
      <c r="R145" s="18" t="str">
        <f aca="false">IF(SUMIFS('Sales History'!$E:$E,'Sales History'!$G:$G,$A145)&gt;0,"6-month history",IF(N(P145)&gt;0,"Current sheet","No sales data"))</f>
        <v>Current sheet</v>
      </c>
      <c r="S145" s="31" t="n">
        <f aca="false">IF(Q145&gt;0,H145/Q145,"")</f>
        <v>4.46175</v>
      </c>
      <c r="T145" s="30" t="n">
        <v>300</v>
      </c>
      <c r="U145" s="19" t="n">
        <f aca="false">IF(T145="","",MAX(0,T145-O145))</f>
        <v>0</v>
      </c>
      <c r="V145" s="32" t="str">
        <f aca="false">IF(D145="End of range","END OF RANGE",IF(T145="","NO BUFFER SET",IF(H145&lt;=0,IF(O145&lt;T145,"OUT - REORDER","OUT - ON ORDER"),IF(O145&lt;T145,"REORDER",IF(H145&lt;T145,"LOW - ON ORDER",IF(AND(S145&lt;&gt;"",N(S145)&gt;Settings!$B$5),"SLOW MOVER","OK"))))))</f>
        <v>OK</v>
      </c>
      <c r="W145" s="18"/>
      <c r="X145" s="33" t="n">
        <f aca="false">IF(OR(D145="End of range",U145=""),0,IF(N(U145)&gt;0,U145+ROW()/1000000,0))</f>
        <v>0</v>
      </c>
    </row>
    <row r="146" customFormat="false" ht="14.25" hidden="false" customHeight="true" outlineLevel="0" collapsed="false">
      <c r="A146" s="18" t="s">
        <v>371</v>
      </c>
      <c r="B146" s="18" t="s">
        <v>372</v>
      </c>
      <c r="C146" s="18" t="s">
        <v>331</v>
      </c>
      <c r="D146" s="18" t="s">
        <v>80</v>
      </c>
      <c r="E146" s="19" t="n">
        <f aca="false">SUMIFS('CPT Count'!$D:$D,'CPT Count'!$A:$A,$A146)-SUMIFS('Weekly Sales'!$F:$F,'Weekly Sales'!$H:$H,$A146,'Weekly Sales'!$I:$I,"CPT")+SUMIFS(Transfers!$F:$F,Transfers!$C:$C,$A146,Transfers!$J:$J,"CPT")-SUMIFS(Transfers!$F:$F,Transfers!$C:$C,$A146,Transfers!$I:$I,"CPT",Transfers!$H:$H,"&lt;&gt;Y")+SUMIFS('Stock Received'!$I:$I,'Stock Received'!$E:$E,$A146,'Stock Received'!$L:$L,"CPT")</f>
        <v>252.46</v>
      </c>
      <c r="F146" s="19" t="n">
        <f aca="false">SUMIFS('JHB Count'!$E:$E,'JHB Count'!$F:$F,$A146)-SUMIFS('Weekly Sales'!$F:$F,'Weekly Sales'!$H:$H,$A146,'Weekly Sales'!$I:$I,"JHB")+SUMIFS(Transfers!$F:$F,Transfers!$C:$C,$A146,Transfers!$J:$J,"JHB")-SUMIFS(Transfers!$F:$F,Transfers!$C:$C,$A146,Transfers!$I:$I,"JHB",Transfers!$H:$H,"&lt;&gt;Y")+SUMIFS('Stock Received'!$I:$I,'Stock Received'!$E:$E,$A146,'Stock Received'!$L:$L,"JHB")</f>
        <v>55.36</v>
      </c>
      <c r="G146" s="19" t="n">
        <f aca="false">SUMIFS('DBN Count'!$D:$D,'DBN Count'!$E:$E,$A146)-SUMIFS('Weekly Sales'!$F:$F,'Weekly Sales'!$H:$H,$A146,'Weekly Sales'!$I:$I,"DBN")+SUMIFS(Transfers!$F:$F,Transfers!$C:$C,$A146,Transfers!$J:$J,"DBN")-SUMIFS(Transfers!$F:$F,Transfers!$C:$C,$A146,Transfers!$I:$I,"DBN",Transfers!$H:$H,"&lt;&gt;Y")+SUMIFS('Stock Received'!$I:$I,'Stock Received'!$E:$E,$A146,'Stock Received'!$L:$L,"DBN")</f>
        <v>60.53</v>
      </c>
      <c r="H146" s="29" t="n">
        <f aca="false">E146+F146+G146</f>
        <v>368.35</v>
      </c>
      <c r="I146" s="19" t="n">
        <f aca="false">SUMIFS('Weekly Sales'!$F:$F,'Weekly Sales'!$H:$H,$A146)</f>
        <v>30.38</v>
      </c>
      <c r="J146" s="19" t="n">
        <f aca="false">SUMIFS(Orders!$L:$L,Orders!$D:$D,$A146,Orders!$F:$F,"&gt;="&amp;J$4,Orders!$F:$F,"&lt;"&amp;EDATE(J$4,1))</f>
        <v>0</v>
      </c>
      <c r="K146" s="19" t="n">
        <f aca="false">SUMIFS(Orders!$L:$L,Orders!$D:$D,$A146,Orders!$F:$F,"&gt;="&amp;K$4,Orders!$F:$F,"&lt;"&amp;EDATE(K$4,1))</f>
        <v>300</v>
      </c>
      <c r="L146" s="19" t="n">
        <f aca="false">SUMIFS(Orders!$L:$L,Orders!$D:$D,$A146,Orders!$F:$F,"&gt;="&amp;L$4,Orders!$F:$F,"&lt;"&amp;EDATE(L$4,1))</f>
        <v>300</v>
      </c>
      <c r="M146" s="19" t="n">
        <f aca="false">N146-J146-K146-L146</f>
        <v>0</v>
      </c>
      <c r="N146" s="19" t="n">
        <f aca="false">SUMIFS(Orders!$L:$L,Orders!$D:$D,$A146)</f>
        <v>600</v>
      </c>
      <c r="O146" s="19" t="n">
        <f aca="false">H146+N146</f>
        <v>968.35</v>
      </c>
      <c r="P146" s="30" t="n">
        <v>190</v>
      </c>
      <c r="Q146" s="19" t="n">
        <f aca="false">IF(SUMIFS('Sales History'!$E:$E,'Sales History'!$G:$G,$A146)&gt;0,SUMIFS('Sales History'!$E:$E,'Sales History'!$G:$G,$A146)/Settings!$B$4,N(P146))</f>
        <v>190</v>
      </c>
      <c r="R146" s="18" t="str">
        <f aca="false">IF(SUMIFS('Sales History'!$E:$E,'Sales History'!$G:$G,$A146)&gt;0,"6-month history",IF(N(P146)&gt;0,"Current sheet","No sales data"))</f>
        <v>Current sheet</v>
      </c>
      <c r="S146" s="31" t="n">
        <f aca="false">IF(Q146&gt;0,H146/Q146,"")</f>
        <v>1.93868421052632</v>
      </c>
      <c r="T146" s="30" t="n">
        <v>300</v>
      </c>
      <c r="U146" s="19" t="n">
        <f aca="false">IF(T146="","",MAX(0,T146-O146))</f>
        <v>0</v>
      </c>
      <c r="V146" s="32" t="str">
        <f aca="false">IF(D146="End of range","END OF RANGE",IF(T146="","NO BUFFER SET",IF(H146&lt;=0,IF(O146&lt;T146,"OUT - REORDER","OUT - ON ORDER"),IF(O146&lt;T146,"REORDER",IF(H146&lt;T146,"LOW - ON ORDER",IF(AND(S146&lt;&gt;"",N(S146)&gt;Settings!$B$5),"SLOW MOVER","OK"))))))</f>
        <v>OK</v>
      </c>
      <c r="W146" s="18"/>
      <c r="X146" s="33" t="n">
        <f aca="false">IF(OR(D146="End of range",U146=""),0,IF(N(U146)&gt;0,U146+ROW()/1000000,0))</f>
        <v>0</v>
      </c>
    </row>
    <row r="147" customFormat="false" ht="14.25" hidden="false" customHeight="true" outlineLevel="0" collapsed="false">
      <c r="A147" s="18" t="s">
        <v>373</v>
      </c>
      <c r="B147" s="18" t="s">
        <v>374</v>
      </c>
      <c r="C147" s="18" t="s">
        <v>331</v>
      </c>
      <c r="D147" s="18" t="s">
        <v>80</v>
      </c>
      <c r="E147" s="19" t="n">
        <f aca="false">SUMIFS('CPT Count'!$D:$D,'CPT Count'!$A:$A,$A147)-SUMIFS('Weekly Sales'!$F:$F,'Weekly Sales'!$H:$H,$A147,'Weekly Sales'!$I:$I,"CPT")+SUMIFS(Transfers!$F:$F,Transfers!$C:$C,$A147,Transfers!$J:$J,"CPT")-SUMIFS(Transfers!$F:$F,Transfers!$C:$C,$A147,Transfers!$I:$I,"CPT",Transfers!$H:$H,"&lt;&gt;Y")+SUMIFS('Stock Received'!$I:$I,'Stock Received'!$E:$E,$A147,'Stock Received'!$L:$L,"CPT")</f>
        <v>48.52</v>
      </c>
      <c r="F147" s="19" t="n">
        <f aca="false">SUMIFS('JHB Count'!$E:$E,'JHB Count'!$F:$F,$A147)-SUMIFS('Weekly Sales'!$F:$F,'Weekly Sales'!$H:$H,$A147,'Weekly Sales'!$I:$I,"JHB")+SUMIFS(Transfers!$F:$F,Transfers!$C:$C,$A147,Transfers!$J:$J,"JHB")-SUMIFS(Transfers!$F:$F,Transfers!$C:$C,$A147,Transfers!$I:$I,"JHB",Transfers!$H:$H,"&lt;&gt;Y")+SUMIFS('Stock Received'!$I:$I,'Stock Received'!$E:$E,$A147,'Stock Received'!$L:$L,"JHB")</f>
        <v>53.66</v>
      </c>
      <c r="G147" s="19" t="n">
        <f aca="false">SUMIFS('DBN Count'!$D:$D,'DBN Count'!$E:$E,$A147)-SUMIFS('Weekly Sales'!$F:$F,'Weekly Sales'!$H:$H,$A147,'Weekly Sales'!$I:$I,"DBN")+SUMIFS(Transfers!$F:$F,Transfers!$C:$C,$A147,Transfers!$J:$J,"DBN")-SUMIFS(Transfers!$F:$F,Transfers!$C:$C,$A147,Transfers!$I:$I,"DBN",Transfers!$H:$H,"&lt;&gt;Y")+SUMIFS('Stock Received'!$I:$I,'Stock Received'!$E:$E,$A147,'Stock Received'!$L:$L,"DBN")</f>
        <v>16.49</v>
      </c>
      <c r="H147" s="29" t="n">
        <f aca="false">E147+F147+G147</f>
        <v>118.67</v>
      </c>
      <c r="I147" s="19" t="n">
        <f aca="false">SUMIFS('Weekly Sales'!$F:$F,'Weekly Sales'!$H:$H,$A147)</f>
        <v>9.42</v>
      </c>
      <c r="J147" s="19" t="n">
        <f aca="false">SUMIFS(Orders!$L:$L,Orders!$D:$D,$A147,Orders!$F:$F,"&gt;="&amp;J$4,Orders!$F:$F,"&lt;"&amp;EDATE(J$4,1))</f>
        <v>0</v>
      </c>
      <c r="K147" s="19" t="n">
        <f aca="false">SUMIFS(Orders!$L:$L,Orders!$D:$D,$A147,Orders!$F:$F,"&gt;="&amp;K$4,Orders!$F:$F,"&lt;"&amp;EDATE(K$4,1))</f>
        <v>300</v>
      </c>
      <c r="L147" s="19" t="n">
        <f aca="false">SUMIFS(Orders!$L:$L,Orders!$D:$D,$A147,Orders!$F:$F,"&gt;="&amp;L$4,Orders!$F:$F,"&lt;"&amp;EDATE(L$4,1))</f>
        <v>300</v>
      </c>
      <c r="M147" s="19" t="n">
        <f aca="false">N147-J147-K147-L147</f>
        <v>0</v>
      </c>
      <c r="N147" s="19" t="n">
        <f aca="false">SUMIFS(Orders!$L:$L,Orders!$D:$D,$A147)</f>
        <v>600</v>
      </c>
      <c r="O147" s="19" t="n">
        <f aca="false">H147+N147</f>
        <v>718.67</v>
      </c>
      <c r="P147" s="30" t="n">
        <v>140</v>
      </c>
      <c r="Q147" s="19" t="n">
        <f aca="false">IF(SUMIFS('Sales History'!$E:$E,'Sales History'!$G:$G,$A147)&gt;0,SUMIFS('Sales History'!$E:$E,'Sales History'!$G:$G,$A147)/Settings!$B$4,N(P147))</f>
        <v>140</v>
      </c>
      <c r="R147" s="18" t="str">
        <f aca="false">IF(SUMIFS('Sales History'!$E:$E,'Sales History'!$G:$G,$A147)&gt;0,"6-month history",IF(N(P147)&gt;0,"Current sheet","No sales data"))</f>
        <v>Current sheet</v>
      </c>
      <c r="S147" s="31" t="n">
        <f aca="false">IF(Q147&gt;0,H147/Q147,"")</f>
        <v>0.847642857142857</v>
      </c>
      <c r="T147" s="30" t="n">
        <v>300</v>
      </c>
      <c r="U147" s="19" t="n">
        <f aca="false">IF(T147="","",MAX(0,T147-O147))</f>
        <v>0</v>
      </c>
      <c r="V147" s="32" t="str">
        <f aca="false">IF(D147="End of range","END OF RANGE",IF(T147="","NO BUFFER SET",IF(H147&lt;=0,IF(O147&lt;T147,"OUT - REORDER","OUT - ON ORDER"),IF(O147&lt;T147,"REORDER",IF(H147&lt;T147,"LOW - ON ORDER",IF(AND(S147&lt;&gt;"",N(S147)&gt;Settings!$B$5),"SLOW MOVER","OK"))))))</f>
        <v>LOW - ON ORDER</v>
      </c>
      <c r="W147" s="18" t="s">
        <v>375</v>
      </c>
      <c r="X147" s="33" t="n">
        <f aca="false">IF(OR(D147="End of range",U147=""),0,IF(N(U147)&gt;0,U147+ROW()/1000000,0))</f>
        <v>0</v>
      </c>
    </row>
    <row r="148" customFormat="false" ht="14.25" hidden="false" customHeight="true" outlineLevel="0" collapsed="false">
      <c r="A148" s="18" t="s">
        <v>376</v>
      </c>
      <c r="B148" s="18" t="s">
        <v>377</v>
      </c>
      <c r="C148" s="18" t="s">
        <v>331</v>
      </c>
      <c r="D148" s="18" t="s">
        <v>80</v>
      </c>
      <c r="E148" s="19" t="n">
        <f aca="false">SUMIFS('CPT Count'!$D:$D,'CPT Count'!$A:$A,$A148)-SUMIFS('Weekly Sales'!$F:$F,'Weekly Sales'!$H:$H,$A148,'Weekly Sales'!$I:$I,"CPT")+SUMIFS(Transfers!$F:$F,Transfers!$C:$C,$A148,Transfers!$J:$J,"CPT")-SUMIFS(Transfers!$F:$F,Transfers!$C:$C,$A148,Transfers!$I:$I,"CPT",Transfers!$H:$H,"&lt;&gt;Y")+SUMIFS('Stock Received'!$I:$I,'Stock Received'!$E:$E,$A148,'Stock Received'!$L:$L,"CPT")</f>
        <v>9.63</v>
      </c>
      <c r="F148" s="19" t="n">
        <f aca="false">SUMIFS('JHB Count'!$E:$E,'JHB Count'!$F:$F,$A148)-SUMIFS('Weekly Sales'!$F:$F,'Weekly Sales'!$H:$H,$A148,'Weekly Sales'!$I:$I,"JHB")+SUMIFS(Transfers!$F:$F,Transfers!$C:$C,$A148,Transfers!$J:$J,"JHB")-SUMIFS(Transfers!$F:$F,Transfers!$C:$C,$A148,Transfers!$I:$I,"JHB",Transfers!$H:$H,"&lt;&gt;Y")+SUMIFS('Stock Received'!$I:$I,'Stock Received'!$E:$E,$A148,'Stock Received'!$L:$L,"JHB")</f>
        <v>0</v>
      </c>
      <c r="G148" s="19" t="n">
        <f aca="false">SUMIFS('DBN Count'!$D:$D,'DBN Count'!$E:$E,$A148)-SUMIFS('Weekly Sales'!$F:$F,'Weekly Sales'!$H:$H,$A148,'Weekly Sales'!$I:$I,"DBN")+SUMIFS(Transfers!$F:$F,Transfers!$C:$C,$A148,Transfers!$J:$J,"DBN")-SUMIFS(Transfers!$F:$F,Transfers!$C:$C,$A148,Transfers!$I:$I,"DBN",Transfers!$H:$H,"&lt;&gt;Y")+SUMIFS('Stock Received'!$I:$I,'Stock Received'!$E:$E,$A148,'Stock Received'!$L:$L,"DBN")</f>
        <v>1.58</v>
      </c>
      <c r="H148" s="29" t="n">
        <f aca="false">E148+F148+G148</f>
        <v>11.21</v>
      </c>
      <c r="I148" s="19" t="n">
        <f aca="false">SUMIFS('Weekly Sales'!$F:$F,'Weekly Sales'!$H:$H,$A148)</f>
        <v>1.57</v>
      </c>
      <c r="J148" s="19" t="n">
        <f aca="false">SUMIFS(Orders!$L:$L,Orders!$D:$D,$A148,Orders!$F:$F,"&gt;="&amp;J$4,Orders!$F:$F,"&lt;"&amp;EDATE(J$4,1))</f>
        <v>300</v>
      </c>
      <c r="K148" s="19" t="n">
        <f aca="false">SUMIFS(Orders!$L:$L,Orders!$D:$D,$A148,Orders!$F:$F,"&gt;="&amp;K$4,Orders!$F:$F,"&lt;"&amp;EDATE(K$4,1))</f>
        <v>300</v>
      </c>
      <c r="L148" s="19" t="n">
        <f aca="false">SUMIFS(Orders!$L:$L,Orders!$D:$D,$A148,Orders!$F:$F,"&gt;="&amp;L$4,Orders!$F:$F,"&lt;"&amp;EDATE(L$4,1))</f>
        <v>0</v>
      </c>
      <c r="M148" s="19" t="n">
        <f aca="false">N148-J148-K148-L148</f>
        <v>0</v>
      </c>
      <c r="N148" s="19" t="n">
        <f aca="false">SUMIFS(Orders!$L:$L,Orders!$D:$D,$A148)</f>
        <v>600</v>
      </c>
      <c r="O148" s="19" t="n">
        <f aca="false">H148+N148</f>
        <v>611.21</v>
      </c>
      <c r="P148" s="30" t="n">
        <v>130</v>
      </c>
      <c r="Q148" s="19" t="n">
        <f aca="false">IF(SUMIFS('Sales History'!$E:$E,'Sales History'!$G:$G,$A148)&gt;0,SUMIFS('Sales History'!$E:$E,'Sales History'!$G:$G,$A148)/Settings!$B$4,N(P148))</f>
        <v>130</v>
      </c>
      <c r="R148" s="18" t="str">
        <f aca="false">IF(SUMIFS('Sales History'!$E:$E,'Sales History'!$G:$G,$A148)&gt;0,"6-month history",IF(N(P148)&gt;0,"Current sheet","No sales data"))</f>
        <v>Current sheet</v>
      </c>
      <c r="S148" s="31" t="n">
        <f aca="false">IF(Q148&gt;0,H148/Q148,"")</f>
        <v>0.0862307692307692</v>
      </c>
      <c r="T148" s="30" t="n">
        <v>300</v>
      </c>
      <c r="U148" s="19" t="n">
        <f aca="false">IF(T148="","",MAX(0,T148-O148))</f>
        <v>0</v>
      </c>
      <c r="V148" s="32" t="str">
        <f aca="false">IF(D148="End of range","END OF RANGE",IF(T148="","NO BUFFER SET",IF(H148&lt;=0,IF(O148&lt;T148,"OUT - REORDER","OUT - ON ORDER"),IF(O148&lt;T148,"REORDER",IF(H148&lt;T148,"LOW - ON ORDER",IF(AND(S148&lt;&gt;"",N(S148)&gt;Settings!$B$5),"SLOW MOVER","OK"))))))</f>
        <v>LOW - ON ORDER</v>
      </c>
      <c r="W148" s="18"/>
      <c r="X148" s="33" t="n">
        <f aca="false">IF(OR(D148="End of range",U148=""),0,IF(N(U148)&gt;0,U148+ROW()/1000000,0))</f>
        <v>0</v>
      </c>
    </row>
    <row r="149" customFormat="false" ht="14.25" hidden="false" customHeight="true" outlineLevel="0" collapsed="false">
      <c r="A149" s="18" t="s">
        <v>378</v>
      </c>
      <c r="B149" s="18" t="s">
        <v>379</v>
      </c>
      <c r="C149" s="18" t="s">
        <v>331</v>
      </c>
      <c r="D149" s="18" t="s">
        <v>80</v>
      </c>
      <c r="E149" s="19" t="n">
        <f aca="false">SUMIFS('CPT Count'!$D:$D,'CPT Count'!$A:$A,$A149)-SUMIFS('Weekly Sales'!$F:$F,'Weekly Sales'!$H:$H,$A149,'Weekly Sales'!$I:$I,"CPT")+SUMIFS(Transfers!$F:$F,Transfers!$C:$C,$A149,Transfers!$J:$J,"CPT")-SUMIFS(Transfers!$F:$F,Transfers!$C:$C,$A149,Transfers!$I:$I,"CPT",Transfers!$H:$H,"&lt;&gt;Y")+SUMIFS('Stock Received'!$I:$I,'Stock Received'!$E:$E,$A149,'Stock Received'!$L:$L,"CPT")</f>
        <v>183.81</v>
      </c>
      <c r="F149" s="19" t="n">
        <f aca="false">SUMIFS('JHB Count'!$E:$E,'JHB Count'!$F:$F,$A149)-SUMIFS('Weekly Sales'!$F:$F,'Weekly Sales'!$H:$H,$A149,'Weekly Sales'!$I:$I,"JHB")+SUMIFS(Transfers!$F:$F,Transfers!$C:$C,$A149,Transfers!$J:$J,"JHB")-SUMIFS(Transfers!$F:$F,Transfers!$C:$C,$A149,Transfers!$I:$I,"JHB",Transfers!$H:$H,"&lt;&gt;Y")+SUMIFS('Stock Received'!$I:$I,'Stock Received'!$E:$E,$A149,'Stock Received'!$L:$L,"JHB")</f>
        <v>0</v>
      </c>
      <c r="G149" s="19" t="n">
        <f aca="false">SUMIFS('DBN Count'!$D:$D,'DBN Count'!$E:$E,$A149)-SUMIFS('Weekly Sales'!$F:$F,'Weekly Sales'!$H:$H,$A149,'Weekly Sales'!$I:$I,"DBN")+SUMIFS(Transfers!$F:$F,Transfers!$C:$C,$A149,Transfers!$J:$J,"DBN")-SUMIFS(Transfers!$F:$F,Transfers!$C:$C,$A149,Transfers!$I:$I,"DBN",Transfers!$H:$H,"&lt;&gt;Y")+SUMIFS('Stock Received'!$I:$I,'Stock Received'!$E:$E,$A149,'Stock Received'!$L:$L,"DBN")</f>
        <v>0</v>
      </c>
      <c r="H149" s="29" t="n">
        <f aca="false">E149+F149+G149</f>
        <v>183.81</v>
      </c>
      <c r="I149" s="19" t="n">
        <f aca="false">SUMIFS('Weekly Sales'!$F:$F,'Weekly Sales'!$H:$H,$A149)</f>
        <v>10.19</v>
      </c>
      <c r="J149" s="19" t="n">
        <f aca="false">SUMIFS(Orders!$L:$L,Orders!$D:$D,$A149,Orders!$F:$F,"&gt;="&amp;J$4,Orders!$F:$F,"&lt;"&amp;EDATE(J$4,1))</f>
        <v>0</v>
      </c>
      <c r="K149" s="19" t="n">
        <f aca="false">SUMIFS(Orders!$L:$L,Orders!$D:$D,$A149,Orders!$F:$F,"&gt;="&amp;K$4,Orders!$F:$F,"&lt;"&amp;EDATE(K$4,1))</f>
        <v>300</v>
      </c>
      <c r="L149" s="19" t="n">
        <f aca="false">SUMIFS(Orders!$L:$L,Orders!$D:$D,$A149,Orders!$F:$F,"&gt;="&amp;L$4,Orders!$F:$F,"&lt;"&amp;EDATE(L$4,1))</f>
        <v>300</v>
      </c>
      <c r="M149" s="19" t="n">
        <f aca="false">N149-J149-K149-L149</f>
        <v>0</v>
      </c>
      <c r="N149" s="19" t="n">
        <f aca="false">SUMIFS(Orders!$L:$L,Orders!$D:$D,$A149)</f>
        <v>600</v>
      </c>
      <c r="O149" s="19" t="n">
        <f aca="false">H149+N149</f>
        <v>783.81</v>
      </c>
      <c r="P149" s="30" t="n">
        <v>190</v>
      </c>
      <c r="Q149" s="19" t="n">
        <f aca="false">IF(SUMIFS('Sales History'!$E:$E,'Sales History'!$G:$G,$A149)&gt;0,SUMIFS('Sales History'!$E:$E,'Sales History'!$G:$G,$A149)/Settings!$B$4,N(P149))</f>
        <v>190</v>
      </c>
      <c r="R149" s="18" t="str">
        <f aca="false">IF(SUMIFS('Sales History'!$E:$E,'Sales History'!$G:$G,$A149)&gt;0,"6-month history",IF(N(P149)&gt;0,"Current sheet","No sales data"))</f>
        <v>Current sheet</v>
      </c>
      <c r="S149" s="31" t="n">
        <f aca="false">IF(Q149&gt;0,H149/Q149,"")</f>
        <v>0.967421052631579</v>
      </c>
      <c r="T149" s="30" t="n">
        <v>200</v>
      </c>
      <c r="U149" s="19" t="n">
        <f aca="false">IF(T149="","",MAX(0,T149-O149))</f>
        <v>0</v>
      </c>
      <c r="V149" s="32" t="str">
        <f aca="false">IF(D149="End of range","END OF RANGE",IF(T149="","NO BUFFER SET",IF(H149&lt;=0,IF(O149&lt;T149,"OUT - REORDER","OUT - ON ORDER"),IF(O149&lt;T149,"REORDER",IF(H149&lt;T149,"LOW - ON ORDER",IF(AND(S149&lt;&gt;"",N(S149)&gt;Settings!$B$5),"SLOW MOVER","OK"))))))</f>
        <v>LOW - ON ORDER</v>
      </c>
      <c r="W149" s="18"/>
      <c r="X149" s="33" t="n">
        <f aca="false">IF(OR(D149="End of range",U149=""),0,IF(N(U149)&gt;0,U149+ROW()/1000000,0))</f>
        <v>0</v>
      </c>
    </row>
    <row r="150" customFormat="false" ht="14.25" hidden="false" customHeight="true" outlineLevel="0" collapsed="false">
      <c r="A150" s="18" t="s">
        <v>380</v>
      </c>
      <c r="B150" s="18" t="s">
        <v>381</v>
      </c>
      <c r="C150" s="18" t="s">
        <v>331</v>
      </c>
      <c r="D150" s="18" t="s">
        <v>80</v>
      </c>
      <c r="E150" s="19" t="n">
        <f aca="false">SUMIFS('CPT Count'!$D:$D,'CPT Count'!$A:$A,$A150)-SUMIFS('Weekly Sales'!$F:$F,'Weekly Sales'!$H:$H,$A150,'Weekly Sales'!$I:$I,"CPT")+SUMIFS(Transfers!$F:$F,Transfers!$C:$C,$A150,Transfers!$J:$J,"CPT")-SUMIFS(Transfers!$F:$F,Transfers!$C:$C,$A150,Transfers!$I:$I,"CPT",Transfers!$H:$H,"&lt;&gt;Y")+SUMIFS('Stock Received'!$I:$I,'Stock Received'!$E:$E,$A150,'Stock Received'!$L:$L,"CPT")</f>
        <v>255.21</v>
      </c>
      <c r="F150" s="19" t="n">
        <f aca="false">SUMIFS('JHB Count'!$E:$E,'JHB Count'!$F:$F,$A150)-SUMIFS('Weekly Sales'!$F:$F,'Weekly Sales'!$H:$H,$A150,'Weekly Sales'!$I:$I,"JHB")+SUMIFS(Transfers!$F:$F,Transfers!$C:$C,$A150,Transfers!$J:$J,"JHB")-SUMIFS(Transfers!$F:$F,Transfers!$C:$C,$A150,Transfers!$I:$I,"JHB",Transfers!$H:$H,"&lt;&gt;Y")+SUMIFS('Stock Received'!$I:$I,'Stock Received'!$E:$E,$A150,'Stock Received'!$L:$L,"JHB")</f>
        <v>24.74</v>
      </c>
      <c r="G150" s="19" t="n">
        <f aca="false">SUMIFS('DBN Count'!$D:$D,'DBN Count'!$E:$E,$A150)-SUMIFS('Weekly Sales'!$F:$F,'Weekly Sales'!$H:$H,$A150,'Weekly Sales'!$I:$I,"DBN")+SUMIFS(Transfers!$F:$F,Transfers!$C:$C,$A150,Transfers!$J:$J,"DBN")-SUMIFS(Transfers!$F:$F,Transfers!$C:$C,$A150,Transfers!$I:$I,"DBN",Transfers!$H:$H,"&lt;&gt;Y")+SUMIFS('Stock Received'!$I:$I,'Stock Received'!$E:$E,$A150,'Stock Received'!$L:$L,"DBN")</f>
        <v>0</v>
      </c>
      <c r="H150" s="29" t="n">
        <f aca="false">E150+F150+G150</f>
        <v>279.95</v>
      </c>
      <c r="I150" s="19" t="n">
        <f aca="false">SUMIFS('Weekly Sales'!$F:$F,'Weekly Sales'!$H:$H,$A150)</f>
        <v>4.06</v>
      </c>
      <c r="J150" s="19" t="n">
        <f aca="false">SUMIFS(Orders!$L:$L,Orders!$D:$D,$A150,Orders!$F:$F,"&gt;="&amp;J$4,Orders!$F:$F,"&lt;"&amp;EDATE(J$4,1))</f>
        <v>0</v>
      </c>
      <c r="K150" s="19" t="n">
        <f aca="false">SUMIFS(Orders!$L:$L,Orders!$D:$D,$A150,Orders!$F:$F,"&gt;="&amp;K$4,Orders!$F:$F,"&lt;"&amp;EDATE(K$4,1))</f>
        <v>0</v>
      </c>
      <c r="L150" s="19" t="n">
        <f aca="false">SUMIFS(Orders!$L:$L,Orders!$D:$D,$A150,Orders!$F:$F,"&gt;="&amp;L$4,Orders!$F:$F,"&lt;"&amp;EDATE(L$4,1))</f>
        <v>0</v>
      </c>
      <c r="M150" s="19" t="n">
        <f aca="false">N150-J150-K150-L150</f>
        <v>0</v>
      </c>
      <c r="N150" s="19" t="n">
        <f aca="false">SUMIFS(Orders!$L:$L,Orders!$D:$D,$A150)</f>
        <v>0</v>
      </c>
      <c r="O150" s="19" t="n">
        <f aca="false">H150+N150</f>
        <v>279.95</v>
      </c>
      <c r="P150" s="30" t="n">
        <v>30</v>
      </c>
      <c r="Q150" s="19" t="n">
        <f aca="false">IF(SUMIFS('Sales History'!$E:$E,'Sales History'!$G:$G,$A150)&gt;0,SUMIFS('Sales History'!$E:$E,'Sales History'!$G:$G,$A150)/Settings!$B$4,N(P150))</f>
        <v>30</v>
      </c>
      <c r="R150" s="18" t="str">
        <f aca="false">IF(SUMIFS('Sales History'!$E:$E,'Sales History'!$G:$G,$A150)&gt;0,"6-month history",IF(N(P150)&gt;0,"Current sheet","No sales data"))</f>
        <v>Current sheet</v>
      </c>
      <c r="S150" s="31" t="n">
        <f aca="false">IF(Q150&gt;0,H150/Q150,"")</f>
        <v>9.33166666666667</v>
      </c>
      <c r="T150" s="30" t="n">
        <v>100</v>
      </c>
      <c r="U150" s="19" t="n">
        <f aca="false">IF(T150="","",MAX(0,T150-O150))</f>
        <v>0</v>
      </c>
      <c r="V150" s="32" t="str">
        <f aca="false">IF(D150="End of range","END OF RANGE",IF(T150="","NO BUFFER SET",IF(H150&lt;=0,IF(O150&lt;T150,"OUT - REORDER","OUT - ON ORDER"),IF(O150&lt;T150,"REORDER",IF(H150&lt;T150,"LOW - ON ORDER",IF(AND(S150&lt;&gt;"",N(S150)&gt;Settings!$B$5),"SLOW MOVER","OK"))))))</f>
        <v>OK</v>
      </c>
      <c r="W150" s="18"/>
      <c r="X150" s="33" t="n">
        <f aca="false">IF(OR(D150="End of range",U150=""),0,IF(N(U150)&gt;0,U150+ROW()/1000000,0))</f>
        <v>0</v>
      </c>
    </row>
    <row r="151" customFormat="false" ht="14.25" hidden="false" customHeight="true" outlineLevel="0" collapsed="false">
      <c r="A151" s="18" t="s">
        <v>382</v>
      </c>
      <c r="B151" s="18" t="s">
        <v>383</v>
      </c>
      <c r="C151" s="18" t="s">
        <v>331</v>
      </c>
      <c r="D151" s="18" t="s">
        <v>80</v>
      </c>
      <c r="E151" s="19" t="n">
        <f aca="false">SUMIFS('CPT Count'!$D:$D,'CPT Count'!$A:$A,$A151)-SUMIFS('Weekly Sales'!$F:$F,'Weekly Sales'!$H:$H,$A151,'Weekly Sales'!$I:$I,"CPT")+SUMIFS(Transfers!$F:$F,Transfers!$C:$C,$A151,Transfers!$J:$J,"CPT")-SUMIFS(Transfers!$F:$F,Transfers!$C:$C,$A151,Transfers!$I:$I,"CPT",Transfers!$H:$H,"&lt;&gt;Y")+SUMIFS('Stock Received'!$I:$I,'Stock Received'!$E:$E,$A151,'Stock Received'!$L:$L,"CPT")</f>
        <v>129.65</v>
      </c>
      <c r="F151" s="19" t="n">
        <f aca="false">SUMIFS('JHB Count'!$E:$E,'JHB Count'!$F:$F,$A151)-SUMIFS('Weekly Sales'!$F:$F,'Weekly Sales'!$H:$H,$A151,'Weekly Sales'!$I:$I,"JHB")+SUMIFS(Transfers!$F:$F,Transfers!$C:$C,$A151,Transfers!$J:$J,"JHB")-SUMIFS(Transfers!$F:$F,Transfers!$C:$C,$A151,Transfers!$I:$I,"JHB",Transfers!$H:$H,"&lt;&gt;Y")+SUMIFS('Stock Received'!$I:$I,'Stock Received'!$E:$E,$A151,'Stock Received'!$L:$L,"JHB")</f>
        <v>34.3</v>
      </c>
      <c r="G151" s="19" t="n">
        <f aca="false">SUMIFS('DBN Count'!$D:$D,'DBN Count'!$E:$E,$A151)-SUMIFS('Weekly Sales'!$F:$F,'Weekly Sales'!$H:$H,$A151,'Weekly Sales'!$I:$I,"DBN")+SUMIFS(Transfers!$F:$F,Transfers!$C:$C,$A151,Transfers!$J:$J,"DBN")-SUMIFS(Transfers!$F:$F,Transfers!$C:$C,$A151,Transfers!$I:$I,"DBN",Transfers!$H:$H,"&lt;&gt;Y")+SUMIFS('Stock Received'!$I:$I,'Stock Received'!$E:$E,$A151,'Stock Received'!$L:$L,"DBN")</f>
        <v>0</v>
      </c>
      <c r="H151" s="29" t="n">
        <f aca="false">E151+F151+G151</f>
        <v>163.95</v>
      </c>
      <c r="I151" s="19" t="n">
        <f aca="false">SUMIFS('Weekly Sales'!$F:$F,'Weekly Sales'!$H:$H,$A151)</f>
        <v>7.05</v>
      </c>
      <c r="J151" s="19" t="n">
        <f aca="false">SUMIFS(Orders!$L:$L,Orders!$D:$D,$A151,Orders!$F:$F,"&gt;="&amp;J$4,Orders!$F:$F,"&lt;"&amp;EDATE(J$4,1))</f>
        <v>0</v>
      </c>
      <c r="K151" s="19" t="n">
        <f aca="false">SUMIFS(Orders!$L:$L,Orders!$D:$D,$A151,Orders!$F:$F,"&gt;="&amp;K$4,Orders!$F:$F,"&lt;"&amp;EDATE(K$4,1))</f>
        <v>0</v>
      </c>
      <c r="L151" s="19" t="n">
        <f aca="false">SUMIFS(Orders!$L:$L,Orders!$D:$D,$A151,Orders!$F:$F,"&gt;="&amp;L$4,Orders!$F:$F,"&lt;"&amp;EDATE(L$4,1))</f>
        <v>0</v>
      </c>
      <c r="M151" s="19" t="n">
        <f aca="false">N151-J151-K151-L151</f>
        <v>0</v>
      </c>
      <c r="N151" s="19" t="n">
        <f aca="false">SUMIFS(Orders!$L:$L,Orders!$D:$D,$A151)</f>
        <v>0</v>
      </c>
      <c r="O151" s="19" t="n">
        <f aca="false">H151+N151</f>
        <v>163.95</v>
      </c>
      <c r="P151" s="30"/>
      <c r="Q151" s="19" t="n">
        <f aca="false">IF(SUMIFS('Sales History'!$E:$E,'Sales History'!$G:$G,$A151)&gt;0,SUMIFS('Sales History'!$E:$E,'Sales History'!$G:$G,$A151)/Settings!$B$4,N(P151))</f>
        <v>0</v>
      </c>
      <c r="R151" s="18" t="str">
        <f aca="false">IF(SUMIFS('Sales History'!$E:$E,'Sales History'!$G:$G,$A151)&gt;0,"6-month history",IF(N(P151)&gt;0,"Current sheet","No sales data"))</f>
        <v>No sales data</v>
      </c>
      <c r="S151" s="31" t="str">
        <f aca="false">IF(Q151&gt;0,H151/Q151,"")</f>
        <v/>
      </c>
      <c r="T151" s="30" t="n">
        <v>100</v>
      </c>
      <c r="U151" s="19" t="n">
        <f aca="false">IF(T151="","",MAX(0,T151-O151))</f>
        <v>0</v>
      </c>
      <c r="V151" s="32" t="str">
        <f aca="false">IF(D151="End of range","END OF RANGE",IF(T151="","NO BUFFER SET",IF(H151&lt;=0,IF(O151&lt;T151,"OUT - REORDER","OUT - ON ORDER"),IF(O151&lt;T151,"REORDER",IF(H151&lt;T151,"LOW - ON ORDER",IF(AND(S151&lt;&gt;"",N(S151)&gt;Settings!$B$5),"SLOW MOVER","OK"))))))</f>
        <v>OK</v>
      </c>
      <c r="W151" s="18"/>
      <c r="X151" s="33" t="n">
        <f aca="false">IF(OR(D151="End of range",U151=""),0,IF(N(U151)&gt;0,U151+ROW()/1000000,0))</f>
        <v>0</v>
      </c>
    </row>
    <row r="152" customFormat="false" ht="14.25" hidden="false" customHeight="true" outlineLevel="0" collapsed="false">
      <c r="A152" s="18" t="s">
        <v>384</v>
      </c>
      <c r="B152" s="18" t="s">
        <v>385</v>
      </c>
      <c r="C152" s="18" t="s">
        <v>331</v>
      </c>
      <c r="D152" s="18" t="s">
        <v>80</v>
      </c>
      <c r="E152" s="19" t="n">
        <f aca="false">SUMIFS('CPT Count'!$D:$D,'CPT Count'!$A:$A,$A152)-SUMIFS('Weekly Sales'!$F:$F,'Weekly Sales'!$H:$H,$A152,'Weekly Sales'!$I:$I,"CPT")+SUMIFS(Transfers!$F:$F,Transfers!$C:$C,$A152,Transfers!$J:$J,"CPT")-SUMIFS(Transfers!$F:$F,Transfers!$C:$C,$A152,Transfers!$I:$I,"CPT",Transfers!$H:$H,"&lt;&gt;Y")+SUMIFS('Stock Received'!$I:$I,'Stock Received'!$E:$E,$A152,'Stock Received'!$L:$L,"CPT")</f>
        <v>27.65</v>
      </c>
      <c r="F152" s="19" t="n">
        <f aca="false">SUMIFS('JHB Count'!$E:$E,'JHB Count'!$F:$F,$A152)-SUMIFS('Weekly Sales'!$F:$F,'Weekly Sales'!$H:$H,$A152,'Weekly Sales'!$I:$I,"JHB")+SUMIFS(Transfers!$F:$F,Transfers!$C:$C,$A152,Transfers!$J:$J,"JHB")-SUMIFS(Transfers!$F:$F,Transfers!$C:$C,$A152,Transfers!$I:$I,"JHB",Transfers!$H:$H,"&lt;&gt;Y")+SUMIFS('Stock Received'!$I:$I,'Stock Received'!$E:$E,$A152,'Stock Received'!$L:$L,"JHB")</f>
        <v>0</v>
      </c>
      <c r="G152" s="19" t="n">
        <f aca="false">SUMIFS('DBN Count'!$D:$D,'DBN Count'!$E:$E,$A152)-SUMIFS('Weekly Sales'!$F:$F,'Weekly Sales'!$H:$H,$A152,'Weekly Sales'!$I:$I,"DBN")+SUMIFS(Transfers!$F:$F,Transfers!$C:$C,$A152,Transfers!$J:$J,"DBN")-SUMIFS(Transfers!$F:$F,Transfers!$C:$C,$A152,Transfers!$I:$I,"DBN",Transfers!$H:$H,"&lt;&gt;Y")+SUMIFS('Stock Received'!$I:$I,'Stock Received'!$E:$E,$A152,'Stock Received'!$L:$L,"DBN")</f>
        <v>11.89</v>
      </c>
      <c r="H152" s="29" t="n">
        <f aca="false">E152+F152+G152</f>
        <v>39.54</v>
      </c>
      <c r="I152" s="19" t="n">
        <f aca="false">SUMIFS('Weekly Sales'!$F:$F,'Weekly Sales'!$H:$H,$A152)</f>
        <v>0</v>
      </c>
      <c r="J152" s="19" t="n">
        <f aca="false">SUMIFS(Orders!$L:$L,Orders!$D:$D,$A152,Orders!$F:$F,"&gt;="&amp;J$4,Orders!$F:$F,"&lt;"&amp;EDATE(J$4,1))</f>
        <v>600</v>
      </c>
      <c r="K152" s="19" t="n">
        <f aca="false">SUMIFS(Orders!$L:$L,Orders!$D:$D,$A152,Orders!$F:$F,"&gt;="&amp;K$4,Orders!$F:$F,"&lt;"&amp;EDATE(K$4,1))</f>
        <v>0</v>
      </c>
      <c r="L152" s="19" t="n">
        <f aca="false">SUMIFS(Orders!$L:$L,Orders!$D:$D,$A152,Orders!$F:$F,"&gt;="&amp;L$4,Orders!$F:$F,"&lt;"&amp;EDATE(L$4,1))</f>
        <v>0</v>
      </c>
      <c r="M152" s="19" t="n">
        <f aca="false">N152-J152-K152-L152</f>
        <v>0</v>
      </c>
      <c r="N152" s="19" t="n">
        <f aca="false">SUMIFS(Orders!$L:$L,Orders!$D:$D,$A152)</f>
        <v>600</v>
      </c>
      <c r="O152" s="19" t="n">
        <f aca="false">H152+N152</f>
        <v>639.54</v>
      </c>
      <c r="P152" s="30" t="n">
        <v>60</v>
      </c>
      <c r="Q152" s="19" t="n">
        <f aca="false">IF(SUMIFS('Sales History'!$E:$E,'Sales History'!$G:$G,$A152)&gt;0,SUMIFS('Sales History'!$E:$E,'Sales History'!$G:$G,$A152)/Settings!$B$4,N(P152))</f>
        <v>60</v>
      </c>
      <c r="R152" s="18" t="str">
        <f aca="false">IF(SUMIFS('Sales History'!$E:$E,'Sales History'!$G:$G,$A152)&gt;0,"6-month history",IF(N(P152)&gt;0,"Current sheet","No sales data"))</f>
        <v>Current sheet</v>
      </c>
      <c r="S152" s="31" t="n">
        <f aca="false">IF(Q152&gt;0,H152/Q152,"")</f>
        <v>0.659</v>
      </c>
      <c r="T152" s="30" t="n">
        <v>100</v>
      </c>
      <c r="U152" s="19" t="n">
        <f aca="false">IF(T152="","",MAX(0,T152-O152))</f>
        <v>0</v>
      </c>
      <c r="V152" s="32" t="str">
        <f aca="false">IF(D152="End of range","END OF RANGE",IF(T152="","NO BUFFER SET",IF(H152&lt;=0,IF(O152&lt;T152,"OUT - REORDER","OUT - ON ORDER"),IF(O152&lt;T152,"REORDER",IF(H152&lt;T152,"LOW - ON ORDER",IF(AND(S152&lt;&gt;"",N(S152)&gt;Settings!$B$5),"SLOW MOVER","OK"))))))</f>
        <v>LOW - ON ORDER</v>
      </c>
      <c r="W152" s="18"/>
      <c r="X152" s="33" t="n">
        <f aca="false">IF(OR(D152="End of range",U152=""),0,IF(N(U152)&gt;0,U152+ROW()/1000000,0))</f>
        <v>0</v>
      </c>
    </row>
    <row r="153" customFormat="false" ht="14.25" hidden="false" customHeight="true" outlineLevel="0" collapsed="false">
      <c r="A153" s="18" t="s">
        <v>386</v>
      </c>
      <c r="B153" s="18" t="s">
        <v>387</v>
      </c>
      <c r="C153" s="18" t="s">
        <v>331</v>
      </c>
      <c r="D153" s="18" t="s">
        <v>80</v>
      </c>
      <c r="E153" s="19" t="n">
        <f aca="false">SUMIFS('CPT Count'!$D:$D,'CPT Count'!$A:$A,$A153)-SUMIFS('Weekly Sales'!$F:$F,'Weekly Sales'!$H:$H,$A153,'Weekly Sales'!$I:$I,"CPT")+SUMIFS(Transfers!$F:$F,Transfers!$C:$C,$A153,Transfers!$J:$J,"CPT")-SUMIFS(Transfers!$F:$F,Transfers!$C:$C,$A153,Transfers!$I:$I,"CPT",Transfers!$H:$H,"&lt;&gt;Y")+SUMIFS('Stock Received'!$I:$I,'Stock Received'!$E:$E,$A153,'Stock Received'!$L:$L,"CPT")</f>
        <v>525</v>
      </c>
      <c r="F153" s="19" t="n">
        <f aca="false">SUMIFS('JHB Count'!$E:$E,'JHB Count'!$F:$F,$A153)-SUMIFS('Weekly Sales'!$F:$F,'Weekly Sales'!$H:$H,$A153,'Weekly Sales'!$I:$I,"JHB")+SUMIFS(Transfers!$F:$F,Transfers!$C:$C,$A153,Transfers!$J:$J,"JHB")-SUMIFS(Transfers!$F:$F,Transfers!$C:$C,$A153,Transfers!$I:$I,"JHB",Transfers!$H:$H,"&lt;&gt;Y")+SUMIFS('Stock Received'!$I:$I,'Stock Received'!$E:$E,$A153,'Stock Received'!$L:$L,"JHB")</f>
        <v>85.03</v>
      </c>
      <c r="G153" s="19" t="n">
        <f aca="false">SUMIFS('DBN Count'!$D:$D,'DBN Count'!$E:$E,$A153)-SUMIFS('Weekly Sales'!$F:$F,'Weekly Sales'!$H:$H,$A153,'Weekly Sales'!$I:$I,"DBN")+SUMIFS(Transfers!$F:$F,Transfers!$C:$C,$A153,Transfers!$J:$J,"DBN")-SUMIFS(Transfers!$F:$F,Transfers!$C:$C,$A153,Transfers!$I:$I,"DBN",Transfers!$H:$H,"&lt;&gt;Y")+SUMIFS('Stock Received'!$I:$I,'Stock Received'!$E:$E,$A153,'Stock Received'!$L:$L,"DBN")</f>
        <v>7.67</v>
      </c>
      <c r="H153" s="29" t="n">
        <f aca="false">E153+F153+G153</f>
        <v>617.7</v>
      </c>
      <c r="I153" s="19" t="n">
        <f aca="false">SUMIFS('Weekly Sales'!$F:$F,'Weekly Sales'!$H:$H,$A153)</f>
        <v>6.77</v>
      </c>
      <c r="J153" s="19" t="n">
        <f aca="false">SUMIFS(Orders!$L:$L,Orders!$D:$D,$A153,Orders!$F:$F,"&gt;="&amp;J$4,Orders!$F:$F,"&lt;"&amp;EDATE(J$4,1))</f>
        <v>0</v>
      </c>
      <c r="K153" s="19" t="n">
        <f aca="false">SUMIFS(Orders!$L:$L,Orders!$D:$D,$A153,Orders!$F:$F,"&gt;="&amp;K$4,Orders!$F:$F,"&lt;"&amp;EDATE(K$4,1))</f>
        <v>0</v>
      </c>
      <c r="L153" s="19" t="n">
        <f aca="false">SUMIFS(Orders!$L:$L,Orders!$D:$D,$A153,Orders!$F:$F,"&gt;="&amp;L$4,Orders!$F:$F,"&lt;"&amp;EDATE(L$4,1))</f>
        <v>300</v>
      </c>
      <c r="M153" s="19" t="n">
        <f aca="false">N153-J153-K153-L153</f>
        <v>0</v>
      </c>
      <c r="N153" s="19" t="n">
        <f aca="false">SUMIFS(Orders!$L:$L,Orders!$D:$D,$A153)</f>
        <v>300</v>
      </c>
      <c r="O153" s="19" t="n">
        <f aca="false">H153+N153</f>
        <v>917.7</v>
      </c>
      <c r="P153" s="30" t="n">
        <v>205</v>
      </c>
      <c r="Q153" s="19" t="n">
        <f aca="false">IF(SUMIFS('Sales History'!$E:$E,'Sales History'!$G:$G,$A153)&gt;0,SUMIFS('Sales History'!$E:$E,'Sales History'!$G:$G,$A153)/Settings!$B$4,N(P153))</f>
        <v>205</v>
      </c>
      <c r="R153" s="18" t="str">
        <f aca="false">IF(SUMIFS('Sales History'!$E:$E,'Sales History'!$G:$G,$A153)&gt;0,"6-month history",IF(N(P153)&gt;0,"Current sheet","No sales data"))</f>
        <v>Current sheet</v>
      </c>
      <c r="S153" s="31" t="n">
        <f aca="false">IF(Q153&gt;0,H153/Q153,"")</f>
        <v>3.01317073170732</v>
      </c>
      <c r="T153" s="30" t="n">
        <v>500</v>
      </c>
      <c r="U153" s="19" t="n">
        <f aca="false">IF(T153="","",MAX(0,T153-O153))</f>
        <v>0</v>
      </c>
      <c r="V153" s="32" t="str">
        <f aca="false">IF(D153="End of range","END OF RANGE",IF(T153="","NO BUFFER SET",IF(H153&lt;=0,IF(O153&lt;T153,"OUT - REORDER","OUT - ON ORDER"),IF(O153&lt;T153,"REORDER",IF(H153&lt;T153,"LOW - ON ORDER",IF(AND(S153&lt;&gt;"",N(S153)&gt;Settings!$B$5),"SLOW MOVER","OK"))))))</f>
        <v>OK</v>
      </c>
      <c r="W153" s="18"/>
      <c r="X153" s="33" t="n">
        <f aca="false">IF(OR(D153="End of range",U153=""),0,IF(N(U153)&gt;0,U153+ROW()/1000000,0))</f>
        <v>0</v>
      </c>
    </row>
    <row r="154" customFormat="false" ht="14.25" hidden="false" customHeight="true" outlineLevel="0" collapsed="false">
      <c r="A154" s="18" t="s">
        <v>388</v>
      </c>
      <c r="B154" s="18" t="s">
        <v>389</v>
      </c>
      <c r="C154" s="18" t="s">
        <v>331</v>
      </c>
      <c r="D154" s="18" t="s">
        <v>80</v>
      </c>
      <c r="E154" s="19" t="n">
        <f aca="false">SUMIFS('CPT Count'!$D:$D,'CPT Count'!$A:$A,$A154)-SUMIFS('Weekly Sales'!$F:$F,'Weekly Sales'!$H:$H,$A154,'Weekly Sales'!$I:$I,"CPT")+SUMIFS(Transfers!$F:$F,Transfers!$C:$C,$A154,Transfers!$J:$J,"CPT")-SUMIFS(Transfers!$F:$F,Transfers!$C:$C,$A154,Transfers!$I:$I,"CPT",Transfers!$H:$H,"&lt;&gt;Y")+SUMIFS('Stock Received'!$I:$I,'Stock Received'!$E:$E,$A154,'Stock Received'!$L:$L,"CPT")</f>
        <v>77</v>
      </c>
      <c r="F154" s="19" t="n">
        <f aca="false">SUMIFS('JHB Count'!$E:$E,'JHB Count'!$F:$F,$A154)-SUMIFS('Weekly Sales'!$F:$F,'Weekly Sales'!$H:$H,$A154,'Weekly Sales'!$I:$I,"JHB")+SUMIFS(Transfers!$F:$F,Transfers!$C:$C,$A154,Transfers!$J:$J,"JHB")-SUMIFS(Transfers!$F:$F,Transfers!$C:$C,$A154,Transfers!$I:$I,"JHB",Transfers!$H:$H,"&lt;&gt;Y")+SUMIFS('Stock Received'!$I:$I,'Stock Received'!$E:$E,$A154,'Stock Received'!$L:$L,"JHB")</f>
        <v>12.6</v>
      </c>
      <c r="G154" s="19" t="n">
        <f aca="false">SUMIFS('DBN Count'!$D:$D,'DBN Count'!$E:$E,$A154)-SUMIFS('Weekly Sales'!$F:$F,'Weekly Sales'!$H:$H,$A154,'Weekly Sales'!$I:$I,"DBN")+SUMIFS(Transfers!$F:$F,Transfers!$C:$C,$A154,Transfers!$J:$J,"DBN")-SUMIFS(Transfers!$F:$F,Transfers!$C:$C,$A154,Transfers!$I:$I,"DBN",Transfers!$H:$H,"&lt;&gt;Y")+SUMIFS('Stock Received'!$I:$I,'Stock Received'!$E:$E,$A154,'Stock Received'!$L:$L,"DBN")</f>
        <v>51.45</v>
      </c>
      <c r="H154" s="29" t="n">
        <f aca="false">E154+F154+G154</f>
        <v>141.05</v>
      </c>
      <c r="I154" s="19" t="n">
        <f aca="false">SUMIFS('Weekly Sales'!$F:$F,'Weekly Sales'!$H:$H,$A154)</f>
        <v>0</v>
      </c>
      <c r="J154" s="19" t="n">
        <f aca="false">SUMIFS(Orders!$L:$L,Orders!$D:$D,$A154,Orders!$F:$F,"&gt;="&amp;J$4,Orders!$F:$F,"&lt;"&amp;EDATE(J$4,1))</f>
        <v>0</v>
      </c>
      <c r="K154" s="19" t="n">
        <f aca="false">SUMIFS(Orders!$L:$L,Orders!$D:$D,$A154,Orders!$F:$F,"&gt;="&amp;K$4,Orders!$F:$F,"&lt;"&amp;EDATE(K$4,1))</f>
        <v>300</v>
      </c>
      <c r="L154" s="19" t="n">
        <f aca="false">SUMIFS(Orders!$L:$L,Orders!$D:$D,$A154,Orders!$F:$F,"&gt;="&amp;L$4,Orders!$F:$F,"&lt;"&amp;EDATE(L$4,1))</f>
        <v>0</v>
      </c>
      <c r="M154" s="19" t="n">
        <f aca="false">N154-J154-K154-L154</f>
        <v>0</v>
      </c>
      <c r="N154" s="19" t="n">
        <f aca="false">SUMIFS(Orders!$L:$L,Orders!$D:$D,$A154)</f>
        <v>300</v>
      </c>
      <c r="O154" s="19" t="n">
        <f aca="false">H154+N154</f>
        <v>441.05</v>
      </c>
      <c r="P154" s="30" t="n">
        <v>65</v>
      </c>
      <c r="Q154" s="19" t="n">
        <f aca="false">IF(SUMIFS('Sales History'!$E:$E,'Sales History'!$G:$G,$A154)&gt;0,SUMIFS('Sales History'!$E:$E,'Sales History'!$G:$G,$A154)/Settings!$B$4,N(P154))</f>
        <v>65</v>
      </c>
      <c r="R154" s="18" t="str">
        <f aca="false">IF(SUMIFS('Sales History'!$E:$E,'Sales History'!$G:$G,$A154)&gt;0,"6-month history",IF(N(P154)&gt;0,"Current sheet","No sales data"))</f>
        <v>Current sheet</v>
      </c>
      <c r="S154" s="31" t="n">
        <f aca="false">IF(Q154&gt;0,H154/Q154,"")</f>
        <v>2.17</v>
      </c>
      <c r="T154" s="30" t="n">
        <v>300</v>
      </c>
      <c r="U154" s="19" t="n">
        <f aca="false">IF(T154="","",MAX(0,T154-O154))</f>
        <v>0</v>
      </c>
      <c r="V154" s="32" t="str">
        <f aca="false">IF(D154="End of range","END OF RANGE",IF(T154="","NO BUFFER SET",IF(H154&lt;=0,IF(O154&lt;T154,"OUT - REORDER","OUT - ON ORDER"),IF(O154&lt;T154,"REORDER",IF(H154&lt;T154,"LOW - ON ORDER",IF(AND(S154&lt;&gt;"",N(S154)&gt;Settings!$B$5),"SLOW MOVER","OK"))))))</f>
        <v>LOW - ON ORDER</v>
      </c>
      <c r="W154" s="18"/>
      <c r="X154" s="33" t="n">
        <f aca="false">IF(OR(D154="End of range",U154=""),0,IF(N(U154)&gt;0,U154+ROW()/1000000,0))</f>
        <v>0</v>
      </c>
    </row>
    <row r="155" customFormat="false" ht="14.25" hidden="false" customHeight="true" outlineLevel="0" collapsed="false">
      <c r="A155" s="18" t="s">
        <v>390</v>
      </c>
      <c r="B155" s="18" t="s">
        <v>391</v>
      </c>
      <c r="C155" s="18" t="s">
        <v>331</v>
      </c>
      <c r="D155" s="18" t="s">
        <v>80</v>
      </c>
      <c r="E155" s="19" t="n">
        <f aca="false">SUMIFS('CPT Count'!$D:$D,'CPT Count'!$A:$A,$A155)-SUMIFS('Weekly Sales'!$F:$F,'Weekly Sales'!$H:$H,$A155,'Weekly Sales'!$I:$I,"CPT")+SUMIFS(Transfers!$F:$F,Transfers!$C:$C,$A155,Transfers!$J:$J,"CPT")-SUMIFS(Transfers!$F:$F,Transfers!$C:$C,$A155,Transfers!$I:$I,"CPT",Transfers!$H:$H,"&lt;&gt;Y")+SUMIFS('Stock Received'!$I:$I,'Stock Received'!$E:$E,$A155,'Stock Received'!$L:$L,"CPT")</f>
        <v>132.7</v>
      </c>
      <c r="F155" s="19" t="n">
        <f aca="false">SUMIFS('JHB Count'!$E:$E,'JHB Count'!$F:$F,$A155)-SUMIFS('Weekly Sales'!$F:$F,'Weekly Sales'!$H:$H,$A155,'Weekly Sales'!$I:$I,"JHB")+SUMIFS(Transfers!$F:$F,Transfers!$C:$C,$A155,Transfers!$J:$J,"JHB")-SUMIFS(Transfers!$F:$F,Transfers!$C:$C,$A155,Transfers!$I:$I,"JHB",Transfers!$H:$H,"&lt;&gt;Y")+SUMIFS('Stock Received'!$I:$I,'Stock Received'!$E:$E,$A155,'Stock Received'!$L:$L,"JHB")</f>
        <v>27</v>
      </c>
      <c r="G155" s="19" t="n">
        <f aca="false">SUMIFS('DBN Count'!$D:$D,'DBN Count'!$E:$E,$A155)-SUMIFS('Weekly Sales'!$F:$F,'Weekly Sales'!$H:$H,$A155,'Weekly Sales'!$I:$I,"DBN")+SUMIFS(Transfers!$F:$F,Transfers!$C:$C,$A155,Transfers!$J:$J,"DBN")-SUMIFS(Transfers!$F:$F,Transfers!$C:$C,$A155,Transfers!$I:$I,"DBN",Transfers!$H:$H,"&lt;&gt;Y")+SUMIFS('Stock Received'!$I:$I,'Stock Received'!$E:$E,$A155,'Stock Received'!$L:$L,"DBN")</f>
        <v>41.8</v>
      </c>
      <c r="H155" s="29" t="n">
        <f aca="false">E155+F155+G155</f>
        <v>201.5</v>
      </c>
      <c r="I155" s="19" t="n">
        <f aca="false">SUMIFS('Weekly Sales'!$F:$F,'Weekly Sales'!$H:$H,$A155)</f>
        <v>2.3</v>
      </c>
      <c r="J155" s="19" t="n">
        <f aca="false">SUMIFS(Orders!$L:$L,Orders!$D:$D,$A155,Orders!$F:$F,"&gt;="&amp;J$4,Orders!$F:$F,"&lt;"&amp;EDATE(J$4,1))</f>
        <v>0</v>
      </c>
      <c r="K155" s="19" t="n">
        <f aca="false">SUMIFS(Orders!$L:$L,Orders!$D:$D,$A155,Orders!$F:$F,"&gt;="&amp;K$4,Orders!$F:$F,"&lt;"&amp;EDATE(K$4,1))</f>
        <v>0</v>
      </c>
      <c r="L155" s="19" t="n">
        <f aca="false">SUMIFS(Orders!$L:$L,Orders!$D:$D,$A155,Orders!$F:$F,"&gt;="&amp;L$4,Orders!$F:$F,"&lt;"&amp;EDATE(L$4,1))</f>
        <v>300</v>
      </c>
      <c r="M155" s="19" t="n">
        <f aca="false">N155-J155-K155-L155</f>
        <v>0</v>
      </c>
      <c r="N155" s="19" t="n">
        <f aca="false">SUMIFS(Orders!$L:$L,Orders!$D:$D,$A155)</f>
        <v>300</v>
      </c>
      <c r="O155" s="19" t="n">
        <f aca="false">H155+N155</f>
        <v>501.5</v>
      </c>
      <c r="P155" s="30" t="n">
        <v>40</v>
      </c>
      <c r="Q155" s="19" t="n">
        <f aca="false">IF(SUMIFS('Sales History'!$E:$E,'Sales History'!$G:$G,$A155)&gt;0,SUMIFS('Sales History'!$E:$E,'Sales History'!$G:$G,$A155)/Settings!$B$4,N(P155))</f>
        <v>40</v>
      </c>
      <c r="R155" s="18" t="str">
        <f aca="false">IF(SUMIFS('Sales History'!$E:$E,'Sales History'!$G:$G,$A155)&gt;0,"6-month history",IF(N(P155)&gt;0,"Current sheet","No sales data"))</f>
        <v>Current sheet</v>
      </c>
      <c r="S155" s="31" t="n">
        <f aca="false">IF(Q155&gt;0,H155/Q155,"")</f>
        <v>5.0375</v>
      </c>
      <c r="T155" s="30" t="n">
        <v>300</v>
      </c>
      <c r="U155" s="19" t="n">
        <f aca="false">IF(T155="","",MAX(0,T155-O155))</f>
        <v>0</v>
      </c>
      <c r="V155" s="32" t="str">
        <f aca="false">IF(D155="End of range","END OF RANGE",IF(T155="","NO BUFFER SET",IF(H155&lt;=0,IF(O155&lt;T155,"OUT - REORDER","OUT - ON ORDER"),IF(O155&lt;T155,"REORDER",IF(H155&lt;T155,"LOW - ON ORDER",IF(AND(S155&lt;&gt;"",N(S155)&gt;Settings!$B$5),"SLOW MOVER","OK"))))))</f>
        <v>LOW - ON ORDER</v>
      </c>
      <c r="W155" s="18"/>
      <c r="X155" s="33" t="n">
        <f aca="false">IF(OR(D155="End of range",U155=""),0,IF(N(U155)&gt;0,U155+ROW()/1000000,0))</f>
        <v>0</v>
      </c>
    </row>
    <row r="156" customFormat="false" ht="14.25" hidden="false" customHeight="true" outlineLevel="0" collapsed="false">
      <c r="A156" s="18" t="s">
        <v>392</v>
      </c>
      <c r="B156" s="18" t="s">
        <v>393</v>
      </c>
      <c r="C156" s="18" t="s">
        <v>331</v>
      </c>
      <c r="D156" s="18" t="s">
        <v>181</v>
      </c>
      <c r="E156" s="19" t="n">
        <f aca="false">SUMIFS('CPT Count'!$D:$D,'CPT Count'!$A:$A,$A156)-SUMIFS('Weekly Sales'!$F:$F,'Weekly Sales'!$H:$H,$A156,'Weekly Sales'!$I:$I,"CPT")+SUMIFS(Transfers!$F:$F,Transfers!$C:$C,$A156,Transfers!$J:$J,"CPT")-SUMIFS(Transfers!$F:$F,Transfers!$C:$C,$A156,Transfers!$I:$I,"CPT",Transfers!$H:$H,"&lt;&gt;Y")+SUMIFS('Stock Received'!$I:$I,'Stock Received'!$E:$E,$A156,'Stock Received'!$L:$L,"CPT")</f>
        <v>72</v>
      </c>
      <c r="F156" s="19" t="n">
        <f aca="false">SUMIFS('JHB Count'!$E:$E,'JHB Count'!$F:$F,$A156)-SUMIFS('Weekly Sales'!$F:$F,'Weekly Sales'!$H:$H,$A156,'Weekly Sales'!$I:$I,"JHB")+SUMIFS(Transfers!$F:$F,Transfers!$C:$C,$A156,Transfers!$J:$J,"JHB")-SUMIFS(Transfers!$F:$F,Transfers!$C:$C,$A156,Transfers!$I:$I,"JHB",Transfers!$H:$H,"&lt;&gt;Y")+SUMIFS('Stock Received'!$I:$I,'Stock Received'!$E:$E,$A156,'Stock Received'!$L:$L,"JHB")</f>
        <v>14.4</v>
      </c>
      <c r="G156" s="19" t="n">
        <f aca="false">SUMIFS('DBN Count'!$D:$D,'DBN Count'!$E:$E,$A156)-SUMIFS('Weekly Sales'!$F:$F,'Weekly Sales'!$H:$H,$A156,'Weekly Sales'!$I:$I,"DBN")+SUMIFS(Transfers!$F:$F,Transfers!$C:$C,$A156,Transfers!$J:$J,"DBN")-SUMIFS(Transfers!$F:$F,Transfers!$C:$C,$A156,Transfers!$I:$I,"DBN",Transfers!$H:$H,"&lt;&gt;Y")+SUMIFS('Stock Received'!$I:$I,'Stock Received'!$E:$E,$A156,'Stock Received'!$L:$L,"DBN")</f>
        <v>0</v>
      </c>
      <c r="H156" s="29" t="n">
        <f aca="false">E156+F156+G156</f>
        <v>86.4</v>
      </c>
      <c r="I156" s="19" t="n">
        <f aca="false">SUMIFS('Weekly Sales'!$F:$F,'Weekly Sales'!$H:$H,$A156)</f>
        <v>0</v>
      </c>
      <c r="J156" s="19" t="n">
        <f aca="false">SUMIFS(Orders!$L:$L,Orders!$D:$D,$A156,Orders!$F:$F,"&gt;="&amp;J$4,Orders!$F:$F,"&lt;"&amp;EDATE(J$4,1))</f>
        <v>0</v>
      </c>
      <c r="K156" s="19" t="n">
        <f aca="false">SUMIFS(Orders!$L:$L,Orders!$D:$D,$A156,Orders!$F:$F,"&gt;="&amp;K$4,Orders!$F:$F,"&lt;"&amp;EDATE(K$4,1))</f>
        <v>0</v>
      </c>
      <c r="L156" s="19" t="n">
        <f aca="false">SUMIFS(Orders!$L:$L,Orders!$D:$D,$A156,Orders!$F:$F,"&gt;="&amp;L$4,Orders!$F:$F,"&lt;"&amp;EDATE(L$4,1))</f>
        <v>0</v>
      </c>
      <c r="M156" s="19" t="n">
        <f aca="false">N156-J156-K156-L156</f>
        <v>0</v>
      </c>
      <c r="N156" s="19" t="n">
        <f aca="false">SUMIFS(Orders!$L:$L,Orders!$D:$D,$A156)</f>
        <v>0</v>
      </c>
      <c r="O156" s="19" t="n">
        <f aca="false">H156+N156</f>
        <v>86.4</v>
      </c>
      <c r="P156" s="30"/>
      <c r="Q156" s="19" t="n">
        <f aca="false">IF(SUMIFS('Sales History'!$E:$E,'Sales History'!$G:$G,$A156)&gt;0,SUMIFS('Sales History'!$E:$E,'Sales History'!$G:$G,$A156)/Settings!$B$4,N(P156))</f>
        <v>0</v>
      </c>
      <c r="R156" s="18" t="str">
        <f aca="false">IF(SUMIFS('Sales History'!$E:$E,'Sales History'!$G:$G,$A156)&gt;0,"6-month history",IF(N(P156)&gt;0,"Current sheet","No sales data"))</f>
        <v>No sales data</v>
      </c>
      <c r="S156" s="31" t="str">
        <f aca="false">IF(Q156&gt;0,H156/Q156,"")</f>
        <v/>
      </c>
      <c r="T156" s="30" t="n">
        <v>200</v>
      </c>
      <c r="U156" s="19" t="n">
        <f aca="false">IF(T156="","",MAX(0,T156-O156))</f>
        <v>113.6</v>
      </c>
      <c r="V156" s="32" t="str">
        <f aca="false">IF(D156="End of range","END OF RANGE",IF(T156="","NO BUFFER SET",IF(H156&lt;=0,IF(O156&lt;T156,"OUT - REORDER","OUT - ON ORDER"),IF(O156&lt;T156,"REORDER",IF(H156&lt;T156,"LOW - ON ORDER",IF(AND(S156&lt;&gt;"",N(S156)&gt;Settings!$B$5),"SLOW MOVER","OK"))))))</f>
        <v>END OF RANGE</v>
      </c>
      <c r="W156" s="18"/>
      <c r="X156" s="33" t="n">
        <f aca="false">IF(OR(D156="End of range",U156=""),0,IF(N(U156)&gt;0,U156+ROW()/1000000,0))</f>
        <v>0</v>
      </c>
    </row>
    <row r="157" customFormat="false" ht="14.25" hidden="false" customHeight="true" outlineLevel="0" collapsed="false">
      <c r="A157" s="18" t="s">
        <v>394</v>
      </c>
      <c r="B157" s="18" t="s">
        <v>395</v>
      </c>
      <c r="C157" s="18" t="s">
        <v>331</v>
      </c>
      <c r="D157" s="18" t="s">
        <v>181</v>
      </c>
      <c r="E157" s="19" t="n">
        <f aca="false">SUMIFS('CPT Count'!$D:$D,'CPT Count'!$A:$A,$A157)-SUMIFS('Weekly Sales'!$F:$F,'Weekly Sales'!$H:$H,$A157,'Weekly Sales'!$I:$I,"CPT")+SUMIFS(Transfers!$F:$F,Transfers!$C:$C,$A157,Transfers!$J:$J,"CPT")-SUMIFS(Transfers!$F:$F,Transfers!$C:$C,$A157,Transfers!$I:$I,"CPT",Transfers!$H:$H,"&lt;&gt;Y")+SUMIFS('Stock Received'!$I:$I,'Stock Received'!$E:$E,$A157,'Stock Received'!$L:$L,"CPT")</f>
        <v>173.17</v>
      </c>
      <c r="F157" s="19" t="n">
        <f aca="false">SUMIFS('JHB Count'!$E:$E,'JHB Count'!$F:$F,$A157)-SUMIFS('Weekly Sales'!$F:$F,'Weekly Sales'!$H:$H,$A157,'Weekly Sales'!$I:$I,"JHB")+SUMIFS(Transfers!$F:$F,Transfers!$C:$C,$A157,Transfers!$J:$J,"JHB")-SUMIFS(Transfers!$F:$F,Transfers!$C:$C,$A157,Transfers!$I:$I,"JHB",Transfers!$H:$H,"&lt;&gt;Y")+SUMIFS('Stock Received'!$I:$I,'Stock Received'!$E:$E,$A157,'Stock Received'!$L:$L,"JHB")</f>
        <v>46.8</v>
      </c>
      <c r="G157" s="19" t="n">
        <f aca="false">SUMIFS('DBN Count'!$D:$D,'DBN Count'!$E:$E,$A157)-SUMIFS('Weekly Sales'!$F:$F,'Weekly Sales'!$H:$H,$A157,'Weekly Sales'!$I:$I,"DBN")+SUMIFS(Transfers!$F:$F,Transfers!$C:$C,$A157,Transfers!$J:$J,"DBN")-SUMIFS(Transfers!$F:$F,Transfers!$C:$C,$A157,Transfers!$I:$I,"DBN",Transfers!$H:$H,"&lt;&gt;Y")+SUMIFS('Stock Received'!$I:$I,'Stock Received'!$E:$E,$A157,'Stock Received'!$L:$L,"DBN")</f>
        <v>0</v>
      </c>
      <c r="H157" s="29" t="n">
        <f aca="false">E157+F157+G157</f>
        <v>219.97</v>
      </c>
      <c r="I157" s="19" t="n">
        <f aca="false">SUMIFS('Weekly Sales'!$F:$F,'Weekly Sales'!$H:$H,$A157)</f>
        <v>105.83</v>
      </c>
      <c r="J157" s="19" t="n">
        <f aca="false">SUMIFS(Orders!$L:$L,Orders!$D:$D,$A157,Orders!$F:$F,"&gt;="&amp;J$4,Orders!$F:$F,"&lt;"&amp;EDATE(J$4,1))</f>
        <v>0</v>
      </c>
      <c r="K157" s="19" t="n">
        <f aca="false">SUMIFS(Orders!$L:$L,Orders!$D:$D,$A157,Orders!$F:$F,"&gt;="&amp;K$4,Orders!$F:$F,"&lt;"&amp;EDATE(K$4,1))</f>
        <v>0</v>
      </c>
      <c r="L157" s="19" t="n">
        <f aca="false">SUMIFS(Orders!$L:$L,Orders!$D:$D,$A157,Orders!$F:$F,"&gt;="&amp;L$4,Orders!$F:$F,"&lt;"&amp;EDATE(L$4,1))</f>
        <v>0</v>
      </c>
      <c r="M157" s="19" t="n">
        <f aca="false">N157-J157-K157-L157</f>
        <v>0</v>
      </c>
      <c r="N157" s="19" t="n">
        <f aca="false">SUMIFS(Orders!$L:$L,Orders!$D:$D,$A157)</f>
        <v>0</v>
      </c>
      <c r="O157" s="19" t="n">
        <f aca="false">H157+N157</f>
        <v>219.97</v>
      </c>
      <c r="P157" s="30"/>
      <c r="Q157" s="19" t="n">
        <f aca="false">IF(SUMIFS('Sales History'!$E:$E,'Sales History'!$G:$G,$A157)&gt;0,SUMIFS('Sales History'!$E:$E,'Sales History'!$G:$G,$A157)/Settings!$B$4,N(P157))</f>
        <v>0</v>
      </c>
      <c r="R157" s="18" t="str">
        <f aca="false">IF(SUMIFS('Sales History'!$E:$E,'Sales History'!$G:$G,$A157)&gt;0,"6-month history",IF(N(P157)&gt;0,"Current sheet","No sales data"))</f>
        <v>No sales data</v>
      </c>
      <c r="S157" s="31" t="str">
        <f aca="false">IF(Q157&gt;0,H157/Q157,"")</f>
        <v/>
      </c>
      <c r="T157" s="30" t="n">
        <v>200</v>
      </c>
      <c r="U157" s="19" t="n">
        <f aca="false">IF(T157="","",MAX(0,T157-O157))</f>
        <v>0</v>
      </c>
      <c r="V157" s="32" t="str">
        <f aca="false">IF(D157="End of range","END OF RANGE",IF(T157="","NO BUFFER SET",IF(H157&lt;=0,IF(O157&lt;T157,"OUT - REORDER","OUT - ON ORDER"),IF(O157&lt;T157,"REORDER",IF(H157&lt;T157,"LOW - ON ORDER",IF(AND(S157&lt;&gt;"",N(S157)&gt;Settings!$B$5),"SLOW MOVER","OK"))))))</f>
        <v>END OF RANGE</v>
      </c>
      <c r="W157" s="18"/>
      <c r="X157" s="33" t="n">
        <f aca="false">IF(OR(D157="End of range",U157=""),0,IF(N(U157)&gt;0,U157+ROW()/1000000,0))</f>
        <v>0</v>
      </c>
    </row>
    <row r="158" customFormat="false" ht="14.25" hidden="false" customHeight="true" outlineLevel="0" collapsed="false">
      <c r="A158" s="18" t="s">
        <v>396</v>
      </c>
      <c r="B158" s="18" t="s">
        <v>397</v>
      </c>
      <c r="C158" s="18" t="s">
        <v>331</v>
      </c>
      <c r="D158" s="18" t="s">
        <v>181</v>
      </c>
      <c r="E158" s="19" t="n">
        <f aca="false">SUMIFS('CPT Count'!$D:$D,'CPT Count'!$A:$A,$A158)-SUMIFS('Weekly Sales'!$F:$F,'Weekly Sales'!$H:$H,$A158,'Weekly Sales'!$I:$I,"CPT")+SUMIFS(Transfers!$F:$F,Transfers!$C:$C,$A158,Transfers!$J:$J,"CPT")-SUMIFS(Transfers!$F:$F,Transfers!$C:$C,$A158,Transfers!$I:$I,"CPT",Transfers!$H:$H,"&lt;&gt;Y")+SUMIFS('Stock Received'!$I:$I,'Stock Received'!$E:$E,$A158,'Stock Received'!$L:$L,"CPT")</f>
        <v>131</v>
      </c>
      <c r="F158" s="19" t="n">
        <f aca="false">SUMIFS('JHB Count'!$E:$E,'JHB Count'!$F:$F,$A158)-SUMIFS('Weekly Sales'!$F:$F,'Weekly Sales'!$H:$H,$A158,'Weekly Sales'!$I:$I,"JHB")+SUMIFS(Transfers!$F:$F,Transfers!$C:$C,$A158,Transfers!$J:$J,"JHB")-SUMIFS(Transfers!$F:$F,Transfers!$C:$C,$A158,Transfers!$I:$I,"JHB",Transfers!$H:$H,"&lt;&gt;Y")+SUMIFS('Stock Received'!$I:$I,'Stock Received'!$E:$E,$A158,'Stock Received'!$L:$L,"JHB")</f>
        <v>64.8</v>
      </c>
      <c r="G158" s="19" t="n">
        <f aca="false">SUMIFS('DBN Count'!$D:$D,'DBN Count'!$E:$E,$A158)-SUMIFS('Weekly Sales'!$F:$F,'Weekly Sales'!$H:$H,$A158,'Weekly Sales'!$I:$I,"DBN")+SUMIFS(Transfers!$F:$F,Transfers!$C:$C,$A158,Transfers!$J:$J,"DBN")-SUMIFS(Transfers!$F:$F,Transfers!$C:$C,$A158,Transfers!$I:$I,"DBN",Transfers!$H:$H,"&lt;&gt;Y")+SUMIFS('Stock Received'!$I:$I,'Stock Received'!$E:$E,$A158,'Stock Received'!$L:$L,"DBN")</f>
        <v>0</v>
      </c>
      <c r="H158" s="29" t="n">
        <f aca="false">E158+F158+G158</f>
        <v>195.8</v>
      </c>
      <c r="I158" s="19" t="n">
        <f aca="false">SUMIFS('Weekly Sales'!$F:$F,'Weekly Sales'!$H:$H,$A158)</f>
        <v>0</v>
      </c>
      <c r="J158" s="19" t="n">
        <f aca="false">SUMIFS(Orders!$L:$L,Orders!$D:$D,$A158,Orders!$F:$F,"&gt;="&amp;J$4,Orders!$F:$F,"&lt;"&amp;EDATE(J$4,1))</f>
        <v>0</v>
      </c>
      <c r="K158" s="19" t="n">
        <f aca="false">SUMIFS(Orders!$L:$L,Orders!$D:$D,$A158,Orders!$F:$F,"&gt;="&amp;K$4,Orders!$F:$F,"&lt;"&amp;EDATE(K$4,1))</f>
        <v>0</v>
      </c>
      <c r="L158" s="19" t="n">
        <f aca="false">SUMIFS(Orders!$L:$L,Orders!$D:$D,$A158,Orders!$F:$F,"&gt;="&amp;L$4,Orders!$F:$F,"&lt;"&amp;EDATE(L$4,1))</f>
        <v>0</v>
      </c>
      <c r="M158" s="19" t="n">
        <f aca="false">N158-J158-K158-L158</f>
        <v>0</v>
      </c>
      <c r="N158" s="19" t="n">
        <f aca="false">SUMIFS(Orders!$L:$L,Orders!$D:$D,$A158)</f>
        <v>0</v>
      </c>
      <c r="O158" s="19" t="n">
        <f aca="false">H158+N158</f>
        <v>195.8</v>
      </c>
      <c r="P158" s="30"/>
      <c r="Q158" s="19" t="n">
        <f aca="false">IF(SUMIFS('Sales History'!$E:$E,'Sales History'!$G:$G,$A158)&gt;0,SUMIFS('Sales History'!$E:$E,'Sales History'!$G:$G,$A158)/Settings!$B$4,N(P158))</f>
        <v>0</v>
      </c>
      <c r="R158" s="18" t="str">
        <f aca="false">IF(SUMIFS('Sales History'!$E:$E,'Sales History'!$G:$G,$A158)&gt;0,"6-month history",IF(N(P158)&gt;0,"Current sheet","No sales data"))</f>
        <v>No sales data</v>
      </c>
      <c r="S158" s="31" t="str">
        <f aca="false">IF(Q158&gt;0,H158/Q158,"")</f>
        <v/>
      </c>
      <c r="T158" s="30" t="n">
        <v>200</v>
      </c>
      <c r="U158" s="19" t="n">
        <f aca="false">IF(T158="","",MAX(0,T158-O158))</f>
        <v>4.19999999999999</v>
      </c>
      <c r="V158" s="32" t="str">
        <f aca="false">IF(D158="End of range","END OF RANGE",IF(T158="","NO BUFFER SET",IF(H158&lt;=0,IF(O158&lt;T158,"OUT - REORDER","OUT - ON ORDER"),IF(O158&lt;T158,"REORDER",IF(H158&lt;T158,"LOW - ON ORDER",IF(AND(S158&lt;&gt;"",N(S158)&gt;Settings!$B$5),"SLOW MOVER","OK"))))))</f>
        <v>END OF RANGE</v>
      </c>
      <c r="W158" s="18"/>
      <c r="X158" s="33" t="n">
        <f aca="false">IF(OR(D158="End of range",U158=""),0,IF(N(U158)&gt;0,U158+ROW()/1000000,0))</f>
        <v>0</v>
      </c>
    </row>
    <row r="159" customFormat="false" ht="14.25" hidden="false" customHeight="true" outlineLevel="0" collapsed="false">
      <c r="A159" s="18" t="s">
        <v>398</v>
      </c>
      <c r="B159" s="18" t="s">
        <v>399</v>
      </c>
      <c r="C159" s="18" t="s">
        <v>331</v>
      </c>
      <c r="D159" s="18" t="s">
        <v>80</v>
      </c>
      <c r="E159" s="19" t="n">
        <f aca="false">SUMIFS('CPT Count'!$D:$D,'CPT Count'!$A:$A,$A159)-SUMIFS('Weekly Sales'!$F:$F,'Weekly Sales'!$H:$H,$A159,'Weekly Sales'!$I:$I,"CPT")+SUMIFS(Transfers!$F:$F,Transfers!$C:$C,$A159,Transfers!$J:$J,"CPT")-SUMIFS(Transfers!$F:$F,Transfers!$C:$C,$A159,Transfers!$I:$I,"CPT",Transfers!$H:$H,"&lt;&gt;Y")+SUMIFS('Stock Received'!$I:$I,'Stock Received'!$E:$E,$A159,'Stock Received'!$L:$L,"CPT")</f>
        <v>289.2</v>
      </c>
      <c r="F159" s="19" t="n">
        <f aca="false">SUMIFS('JHB Count'!$E:$E,'JHB Count'!$F:$F,$A159)-SUMIFS('Weekly Sales'!$F:$F,'Weekly Sales'!$H:$H,$A159,'Weekly Sales'!$I:$I,"JHB")+SUMIFS(Transfers!$F:$F,Transfers!$C:$C,$A159,Transfers!$J:$J,"JHB")-SUMIFS(Transfers!$F:$F,Transfers!$C:$C,$A159,Transfers!$I:$I,"JHB",Transfers!$H:$H,"&lt;&gt;Y")+SUMIFS('Stock Received'!$I:$I,'Stock Received'!$E:$E,$A159,'Stock Received'!$L:$L,"JHB")</f>
        <v>0</v>
      </c>
      <c r="G159" s="19" t="n">
        <f aca="false">SUMIFS('DBN Count'!$D:$D,'DBN Count'!$E:$E,$A159)-SUMIFS('Weekly Sales'!$F:$F,'Weekly Sales'!$H:$H,$A159,'Weekly Sales'!$I:$I,"DBN")+SUMIFS(Transfers!$F:$F,Transfers!$C:$C,$A159,Transfers!$J:$J,"DBN")-SUMIFS(Transfers!$F:$F,Transfers!$C:$C,$A159,Transfers!$I:$I,"DBN",Transfers!$H:$H,"&lt;&gt;Y")+SUMIFS('Stock Received'!$I:$I,'Stock Received'!$E:$E,$A159,'Stock Received'!$L:$L,"DBN")</f>
        <v>0</v>
      </c>
      <c r="H159" s="29" t="n">
        <f aca="false">E159+F159+G159</f>
        <v>289.2</v>
      </c>
      <c r="I159" s="19" t="n">
        <f aca="false">SUMIFS('Weekly Sales'!$F:$F,'Weekly Sales'!$H:$H,$A159)</f>
        <v>0</v>
      </c>
      <c r="J159" s="19" t="n">
        <f aca="false">SUMIFS(Orders!$L:$L,Orders!$D:$D,$A159,Orders!$F:$F,"&gt;="&amp;J$4,Orders!$F:$F,"&lt;"&amp;EDATE(J$4,1))</f>
        <v>0</v>
      </c>
      <c r="K159" s="19" t="n">
        <f aca="false">SUMIFS(Orders!$L:$L,Orders!$D:$D,$A159,Orders!$F:$F,"&gt;="&amp;K$4,Orders!$F:$F,"&lt;"&amp;EDATE(K$4,1))</f>
        <v>0</v>
      </c>
      <c r="L159" s="19" t="n">
        <f aca="false">SUMIFS(Orders!$L:$L,Orders!$D:$D,$A159,Orders!$F:$F,"&gt;="&amp;L$4,Orders!$F:$F,"&lt;"&amp;EDATE(L$4,1))</f>
        <v>0</v>
      </c>
      <c r="M159" s="19" t="n">
        <f aca="false">N159-J159-K159-L159</f>
        <v>0</v>
      </c>
      <c r="N159" s="19" t="n">
        <f aca="false">SUMIFS(Orders!$L:$L,Orders!$D:$D,$A159)</f>
        <v>0</v>
      </c>
      <c r="O159" s="19" t="n">
        <f aca="false">H159+N159</f>
        <v>289.2</v>
      </c>
      <c r="P159" s="30" t="n">
        <v>50</v>
      </c>
      <c r="Q159" s="19" t="n">
        <f aca="false">IF(SUMIFS('Sales History'!$E:$E,'Sales History'!$G:$G,$A159)&gt;0,SUMIFS('Sales History'!$E:$E,'Sales History'!$G:$G,$A159)/Settings!$B$4,N(P159))</f>
        <v>50</v>
      </c>
      <c r="R159" s="18" t="str">
        <f aca="false">IF(SUMIFS('Sales History'!$E:$E,'Sales History'!$G:$G,$A159)&gt;0,"6-month history",IF(N(P159)&gt;0,"Current sheet","No sales data"))</f>
        <v>Current sheet</v>
      </c>
      <c r="S159" s="31" t="n">
        <f aca="false">IF(Q159&gt;0,H159/Q159,"")</f>
        <v>5.784</v>
      </c>
      <c r="T159" s="30" t="n">
        <v>200</v>
      </c>
      <c r="U159" s="19" t="n">
        <f aca="false">IF(T159="","",MAX(0,T159-O159))</f>
        <v>0</v>
      </c>
      <c r="V159" s="32" t="str">
        <f aca="false">IF(D159="End of range","END OF RANGE",IF(T159="","NO BUFFER SET",IF(H159&lt;=0,IF(O159&lt;T159,"OUT - REORDER","OUT - ON ORDER"),IF(O159&lt;T159,"REORDER",IF(H159&lt;T159,"LOW - ON ORDER",IF(AND(S159&lt;&gt;"",N(S159)&gt;Settings!$B$5),"SLOW MOVER","OK"))))))</f>
        <v>OK</v>
      </c>
      <c r="W159" s="18"/>
      <c r="X159" s="33" t="n">
        <f aca="false">IF(OR(D159="End of range",U159=""),0,IF(N(U159)&gt;0,U159+ROW()/1000000,0))</f>
        <v>0</v>
      </c>
    </row>
    <row r="160" customFormat="false" ht="14.25" hidden="false" customHeight="true" outlineLevel="0" collapsed="false">
      <c r="A160" s="18" t="s">
        <v>400</v>
      </c>
      <c r="B160" s="18" t="s">
        <v>401</v>
      </c>
      <c r="C160" s="18" t="s">
        <v>331</v>
      </c>
      <c r="D160" s="18" t="s">
        <v>80</v>
      </c>
      <c r="E160" s="19" t="n">
        <f aca="false">SUMIFS('CPT Count'!$D:$D,'CPT Count'!$A:$A,$A160)-SUMIFS('Weekly Sales'!$F:$F,'Weekly Sales'!$H:$H,$A160,'Weekly Sales'!$I:$I,"CPT")+SUMIFS(Transfers!$F:$F,Transfers!$C:$C,$A160,Transfers!$J:$J,"CPT")-SUMIFS(Transfers!$F:$F,Transfers!$C:$C,$A160,Transfers!$I:$I,"CPT",Transfers!$H:$H,"&lt;&gt;Y")+SUMIFS('Stock Received'!$I:$I,'Stock Received'!$E:$E,$A160,'Stock Received'!$L:$L,"CPT")</f>
        <v>649.01</v>
      </c>
      <c r="F160" s="19" t="n">
        <f aca="false">SUMIFS('JHB Count'!$E:$E,'JHB Count'!$F:$F,$A160)-SUMIFS('Weekly Sales'!$F:$F,'Weekly Sales'!$H:$H,$A160,'Weekly Sales'!$I:$I,"JHB")+SUMIFS(Transfers!$F:$F,Transfers!$C:$C,$A160,Transfers!$J:$J,"JHB")-SUMIFS(Transfers!$F:$F,Transfers!$C:$C,$A160,Transfers!$I:$I,"JHB",Transfers!$H:$H,"&lt;&gt;Y")+SUMIFS('Stock Received'!$I:$I,'Stock Received'!$E:$E,$A160,'Stock Received'!$L:$L,"JHB")</f>
        <v>32.25</v>
      </c>
      <c r="G160" s="19" t="n">
        <f aca="false">SUMIFS('DBN Count'!$D:$D,'DBN Count'!$E:$E,$A160)-SUMIFS('Weekly Sales'!$F:$F,'Weekly Sales'!$H:$H,$A160,'Weekly Sales'!$I:$I,"DBN")+SUMIFS(Transfers!$F:$F,Transfers!$C:$C,$A160,Transfers!$J:$J,"DBN")-SUMIFS(Transfers!$F:$F,Transfers!$C:$C,$A160,Transfers!$I:$I,"DBN",Transfers!$H:$H,"&lt;&gt;Y")+SUMIFS('Stock Received'!$I:$I,'Stock Received'!$E:$E,$A160,'Stock Received'!$L:$L,"DBN")</f>
        <v>26.53</v>
      </c>
      <c r="H160" s="29" t="n">
        <f aca="false">E160+F160+G160</f>
        <v>707.79</v>
      </c>
      <c r="I160" s="19" t="n">
        <f aca="false">SUMIFS('Weekly Sales'!$F:$F,'Weekly Sales'!$H:$H,$A160)</f>
        <v>55.14</v>
      </c>
      <c r="J160" s="19" t="n">
        <f aca="false">SUMIFS(Orders!$L:$L,Orders!$D:$D,$A160,Orders!$F:$F,"&gt;="&amp;J$4,Orders!$F:$F,"&lt;"&amp;EDATE(J$4,1))</f>
        <v>0</v>
      </c>
      <c r="K160" s="19" t="n">
        <f aca="false">SUMIFS(Orders!$L:$L,Orders!$D:$D,$A160,Orders!$F:$F,"&gt;="&amp;K$4,Orders!$F:$F,"&lt;"&amp;EDATE(K$4,1))</f>
        <v>300</v>
      </c>
      <c r="L160" s="19" t="n">
        <f aca="false">SUMIFS(Orders!$L:$L,Orders!$D:$D,$A160,Orders!$F:$F,"&gt;="&amp;L$4,Orders!$F:$F,"&lt;"&amp;EDATE(L$4,1))</f>
        <v>300</v>
      </c>
      <c r="M160" s="19" t="n">
        <f aca="false">N160-J160-K160-L160</f>
        <v>0</v>
      </c>
      <c r="N160" s="19" t="n">
        <f aca="false">SUMIFS(Orders!$L:$L,Orders!$D:$D,$A160)</f>
        <v>600</v>
      </c>
      <c r="O160" s="19" t="n">
        <f aca="false">H160+N160</f>
        <v>1307.79</v>
      </c>
      <c r="P160" s="30" t="n">
        <v>310</v>
      </c>
      <c r="Q160" s="19" t="n">
        <f aca="false">IF(SUMIFS('Sales History'!$E:$E,'Sales History'!$G:$G,$A160)&gt;0,SUMIFS('Sales History'!$E:$E,'Sales History'!$G:$G,$A160)/Settings!$B$4,N(P160))</f>
        <v>310</v>
      </c>
      <c r="R160" s="18" t="str">
        <f aca="false">IF(SUMIFS('Sales History'!$E:$E,'Sales History'!$G:$G,$A160)&gt;0,"6-month history",IF(N(P160)&gt;0,"Current sheet","No sales data"))</f>
        <v>Current sheet</v>
      </c>
      <c r="S160" s="31" t="n">
        <f aca="false">IF(Q160&gt;0,H160/Q160,"")</f>
        <v>2.2831935483871</v>
      </c>
      <c r="T160" s="30" t="n">
        <v>600</v>
      </c>
      <c r="U160" s="19" t="n">
        <f aca="false">IF(T160="","",MAX(0,T160-O160))</f>
        <v>0</v>
      </c>
      <c r="V160" s="32" t="str">
        <f aca="false">IF(D160="End of range","END OF RANGE",IF(T160="","NO BUFFER SET",IF(H160&lt;=0,IF(O160&lt;T160,"OUT - REORDER","OUT - ON ORDER"),IF(O160&lt;T160,"REORDER",IF(H160&lt;T160,"LOW - ON ORDER",IF(AND(S160&lt;&gt;"",N(S160)&gt;Settings!$B$5),"SLOW MOVER","OK"))))))</f>
        <v>OK</v>
      </c>
      <c r="W160" s="18"/>
      <c r="X160" s="33" t="n">
        <f aca="false">IF(OR(D160="End of range",U160=""),0,IF(N(U160)&gt;0,U160+ROW()/1000000,0))</f>
        <v>0</v>
      </c>
    </row>
    <row r="161" customFormat="false" ht="14.25" hidden="false" customHeight="true" outlineLevel="0" collapsed="false">
      <c r="A161" s="18" t="s">
        <v>402</v>
      </c>
      <c r="B161" s="18" t="s">
        <v>403</v>
      </c>
      <c r="C161" s="18" t="s">
        <v>331</v>
      </c>
      <c r="D161" s="18" t="s">
        <v>80</v>
      </c>
      <c r="E161" s="19" t="n">
        <f aca="false">SUMIFS('CPT Count'!$D:$D,'CPT Count'!$A:$A,$A161)-SUMIFS('Weekly Sales'!$F:$F,'Weekly Sales'!$H:$H,$A161,'Weekly Sales'!$I:$I,"CPT")+SUMIFS(Transfers!$F:$F,Transfers!$C:$C,$A161,Transfers!$J:$J,"CPT")-SUMIFS(Transfers!$F:$F,Transfers!$C:$C,$A161,Transfers!$I:$I,"CPT",Transfers!$H:$H,"&lt;&gt;Y")+SUMIFS('Stock Received'!$I:$I,'Stock Received'!$E:$E,$A161,'Stock Received'!$L:$L,"CPT")</f>
        <v>267</v>
      </c>
      <c r="F161" s="19" t="n">
        <f aca="false">SUMIFS('JHB Count'!$E:$E,'JHB Count'!$F:$F,$A161)-SUMIFS('Weekly Sales'!$F:$F,'Weekly Sales'!$H:$H,$A161,'Weekly Sales'!$I:$I,"JHB")+SUMIFS(Transfers!$F:$F,Transfers!$C:$C,$A161,Transfers!$J:$J,"JHB")-SUMIFS(Transfers!$F:$F,Transfers!$C:$C,$A161,Transfers!$I:$I,"JHB",Transfers!$H:$H,"&lt;&gt;Y")+SUMIFS('Stock Received'!$I:$I,'Stock Received'!$E:$E,$A161,'Stock Received'!$L:$L,"JHB")</f>
        <v>7.2</v>
      </c>
      <c r="G161" s="19" t="n">
        <f aca="false">SUMIFS('DBN Count'!$D:$D,'DBN Count'!$E:$E,$A161)-SUMIFS('Weekly Sales'!$F:$F,'Weekly Sales'!$H:$H,$A161,'Weekly Sales'!$I:$I,"DBN")+SUMIFS(Transfers!$F:$F,Transfers!$C:$C,$A161,Transfers!$J:$J,"DBN")-SUMIFS(Transfers!$F:$F,Transfers!$C:$C,$A161,Transfers!$I:$I,"DBN",Transfers!$H:$H,"&lt;&gt;Y")+SUMIFS('Stock Received'!$I:$I,'Stock Received'!$E:$E,$A161,'Stock Received'!$L:$L,"DBN")</f>
        <v>16.4</v>
      </c>
      <c r="H161" s="29" t="n">
        <f aca="false">E161+F161+G161</f>
        <v>290.6</v>
      </c>
      <c r="I161" s="19" t="n">
        <f aca="false">SUMIFS('Weekly Sales'!$F:$F,'Weekly Sales'!$H:$H,$A161)</f>
        <v>0</v>
      </c>
      <c r="J161" s="19" t="n">
        <f aca="false">SUMIFS(Orders!$L:$L,Orders!$D:$D,$A161,Orders!$F:$F,"&gt;="&amp;J$4,Orders!$F:$F,"&lt;"&amp;EDATE(J$4,1))</f>
        <v>0</v>
      </c>
      <c r="K161" s="19" t="n">
        <f aca="false">SUMIFS(Orders!$L:$L,Orders!$D:$D,$A161,Orders!$F:$F,"&gt;="&amp;K$4,Orders!$F:$F,"&lt;"&amp;EDATE(K$4,1))</f>
        <v>0</v>
      </c>
      <c r="L161" s="19" t="n">
        <f aca="false">SUMIFS(Orders!$L:$L,Orders!$D:$D,$A161,Orders!$F:$F,"&gt;="&amp;L$4,Orders!$F:$F,"&lt;"&amp;EDATE(L$4,1))</f>
        <v>0</v>
      </c>
      <c r="M161" s="19" t="n">
        <f aca="false">N161-J161-K161-L161</f>
        <v>0</v>
      </c>
      <c r="N161" s="19" t="n">
        <f aca="false">SUMIFS(Orders!$L:$L,Orders!$D:$D,$A161)</f>
        <v>0</v>
      </c>
      <c r="O161" s="19" t="n">
        <f aca="false">H161+N161</f>
        <v>290.6</v>
      </c>
      <c r="P161" s="30" t="n">
        <v>70</v>
      </c>
      <c r="Q161" s="19" t="n">
        <f aca="false">IF(SUMIFS('Sales History'!$E:$E,'Sales History'!$G:$G,$A161)&gt;0,SUMIFS('Sales History'!$E:$E,'Sales History'!$G:$G,$A161)/Settings!$B$4,N(P161))</f>
        <v>70</v>
      </c>
      <c r="R161" s="18" t="str">
        <f aca="false">IF(SUMIFS('Sales History'!$E:$E,'Sales History'!$G:$G,$A161)&gt;0,"6-month history",IF(N(P161)&gt;0,"Current sheet","No sales data"))</f>
        <v>Current sheet</v>
      </c>
      <c r="S161" s="31" t="n">
        <f aca="false">IF(Q161&gt;0,H161/Q161,"")</f>
        <v>4.15142857142857</v>
      </c>
      <c r="T161" s="30" t="n">
        <v>200</v>
      </c>
      <c r="U161" s="19" t="n">
        <f aca="false">IF(T161="","",MAX(0,T161-O161))</f>
        <v>0</v>
      </c>
      <c r="V161" s="32" t="str">
        <f aca="false">IF(D161="End of range","END OF RANGE",IF(T161="","NO BUFFER SET",IF(H161&lt;=0,IF(O161&lt;T161,"OUT - REORDER","OUT - ON ORDER"),IF(O161&lt;T161,"REORDER",IF(H161&lt;T161,"LOW - ON ORDER",IF(AND(S161&lt;&gt;"",N(S161)&gt;Settings!$B$5),"SLOW MOVER","OK"))))))</f>
        <v>OK</v>
      </c>
      <c r="W161" s="18" t="s">
        <v>404</v>
      </c>
      <c r="X161" s="33" t="n">
        <f aca="false">IF(OR(D161="End of range",U161=""),0,IF(N(U161)&gt;0,U161+ROW()/1000000,0))</f>
        <v>0</v>
      </c>
    </row>
    <row r="162" customFormat="false" ht="14.25" hidden="false" customHeight="true" outlineLevel="0" collapsed="false">
      <c r="A162" s="18" t="s">
        <v>405</v>
      </c>
      <c r="B162" s="18" t="s">
        <v>406</v>
      </c>
      <c r="C162" s="18" t="s">
        <v>331</v>
      </c>
      <c r="D162" s="18" t="s">
        <v>80</v>
      </c>
      <c r="E162" s="19" t="n">
        <f aca="false">SUMIFS('CPT Count'!$D:$D,'CPT Count'!$A:$A,$A162)-SUMIFS('Weekly Sales'!$F:$F,'Weekly Sales'!$H:$H,$A162,'Weekly Sales'!$I:$I,"CPT")+SUMIFS(Transfers!$F:$F,Transfers!$C:$C,$A162,Transfers!$J:$J,"CPT")-SUMIFS(Transfers!$F:$F,Transfers!$C:$C,$A162,Transfers!$I:$I,"CPT",Transfers!$H:$H,"&lt;&gt;Y")+SUMIFS('Stock Received'!$I:$I,'Stock Received'!$E:$E,$A162,'Stock Received'!$L:$L,"CPT")</f>
        <v>777.37</v>
      </c>
      <c r="F162" s="19" t="n">
        <f aca="false">SUMIFS('JHB Count'!$E:$E,'JHB Count'!$F:$F,$A162)-SUMIFS('Weekly Sales'!$F:$F,'Weekly Sales'!$H:$H,$A162,'Weekly Sales'!$I:$I,"JHB")+SUMIFS(Transfers!$F:$F,Transfers!$C:$C,$A162,Transfers!$J:$J,"JHB")-SUMIFS(Transfers!$F:$F,Transfers!$C:$C,$A162,Transfers!$I:$I,"JHB",Transfers!$H:$H,"&lt;&gt;Y")+SUMIFS('Stock Received'!$I:$I,'Stock Received'!$E:$E,$A162,'Stock Received'!$L:$L,"JHB")</f>
        <v>15.68</v>
      </c>
      <c r="G162" s="19" t="n">
        <f aca="false">SUMIFS('DBN Count'!$D:$D,'DBN Count'!$E:$E,$A162)-SUMIFS('Weekly Sales'!$F:$F,'Weekly Sales'!$H:$H,$A162,'Weekly Sales'!$I:$I,"DBN")+SUMIFS(Transfers!$F:$F,Transfers!$C:$C,$A162,Transfers!$J:$J,"DBN")-SUMIFS(Transfers!$F:$F,Transfers!$C:$C,$A162,Transfers!$I:$I,"DBN",Transfers!$H:$H,"&lt;&gt;Y")+SUMIFS('Stock Received'!$I:$I,'Stock Received'!$E:$E,$A162,'Stock Received'!$L:$L,"DBN")</f>
        <v>11.84</v>
      </c>
      <c r="H162" s="29" t="n">
        <f aca="false">E162+F162+G162</f>
        <v>804.89</v>
      </c>
      <c r="I162" s="19" t="n">
        <f aca="false">SUMIFS('Weekly Sales'!$F:$F,'Weekly Sales'!$H:$H,$A162)</f>
        <v>2.32</v>
      </c>
      <c r="J162" s="19" t="n">
        <f aca="false">SUMIFS(Orders!$L:$L,Orders!$D:$D,$A162,Orders!$F:$F,"&gt;="&amp;J$4,Orders!$F:$F,"&lt;"&amp;EDATE(J$4,1))</f>
        <v>0</v>
      </c>
      <c r="K162" s="19" t="n">
        <f aca="false">SUMIFS(Orders!$L:$L,Orders!$D:$D,$A162,Orders!$F:$F,"&gt;="&amp;K$4,Orders!$F:$F,"&lt;"&amp;EDATE(K$4,1))</f>
        <v>0</v>
      </c>
      <c r="L162" s="19" t="n">
        <f aca="false">SUMIFS(Orders!$L:$L,Orders!$D:$D,$A162,Orders!$F:$F,"&gt;="&amp;L$4,Orders!$F:$F,"&lt;"&amp;EDATE(L$4,1))</f>
        <v>0</v>
      </c>
      <c r="M162" s="19" t="n">
        <f aca="false">N162-J162-K162-L162</f>
        <v>0</v>
      </c>
      <c r="N162" s="19" t="n">
        <f aca="false">SUMIFS(Orders!$L:$L,Orders!$D:$D,$A162)</f>
        <v>0</v>
      </c>
      <c r="O162" s="19" t="n">
        <f aca="false">H162+N162</f>
        <v>804.89</v>
      </c>
      <c r="P162" s="30" t="n">
        <v>135</v>
      </c>
      <c r="Q162" s="19" t="n">
        <f aca="false">IF(SUMIFS('Sales History'!$E:$E,'Sales History'!$G:$G,$A162)&gt;0,SUMIFS('Sales History'!$E:$E,'Sales History'!$G:$G,$A162)/Settings!$B$4,N(P162))</f>
        <v>135</v>
      </c>
      <c r="R162" s="18" t="str">
        <f aca="false">IF(SUMIFS('Sales History'!$E:$E,'Sales History'!$G:$G,$A162)&gt;0,"6-month history",IF(N(P162)&gt;0,"Current sheet","No sales data"))</f>
        <v>Current sheet</v>
      </c>
      <c r="S162" s="31" t="n">
        <f aca="false">IF(Q162&gt;0,H162/Q162,"")</f>
        <v>5.96214814814815</v>
      </c>
      <c r="T162" s="30" t="n">
        <v>400</v>
      </c>
      <c r="U162" s="19" t="n">
        <f aca="false">IF(T162="","",MAX(0,T162-O162))</f>
        <v>0</v>
      </c>
      <c r="V162" s="32" t="str">
        <f aca="false">IF(D162="End of range","END OF RANGE",IF(T162="","NO BUFFER SET",IF(H162&lt;=0,IF(O162&lt;T162,"OUT - REORDER","OUT - ON ORDER"),IF(O162&lt;T162,"REORDER",IF(H162&lt;T162,"LOW - ON ORDER",IF(AND(S162&lt;&gt;"",N(S162)&gt;Settings!$B$5),"SLOW MOVER","OK"))))))</f>
        <v>OK</v>
      </c>
      <c r="W162" s="18"/>
      <c r="X162" s="33" t="n">
        <f aca="false">IF(OR(D162="End of range",U162=""),0,IF(N(U162)&gt;0,U162+ROW()/1000000,0))</f>
        <v>0</v>
      </c>
    </row>
    <row r="163" customFormat="false" ht="14.25" hidden="false" customHeight="true" outlineLevel="0" collapsed="false">
      <c r="A163" s="18" t="s">
        <v>407</v>
      </c>
      <c r="B163" s="18" t="s">
        <v>408</v>
      </c>
      <c r="C163" s="18" t="s">
        <v>331</v>
      </c>
      <c r="D163" s="18" t="s">
        <v>80</v>
      </c>
      <c r="E163" s="19" t="n">
        <f aca="false">SUMIFS('CPT Count'!$D:$D,'CPT Count'!$A:$A,$A163)-SUMIFS('Weekly Sales'!$F:$F,'Weekly Sales'!$H:$H,$A163,'Weekly Sales'!$I:$I,"CPT")+SUMIFS(Transfers!$F:$F,Transfers!$C:$C,$A163,Transfers!$J:$J,"CPT")-SUMIFS(Transfers!$F:$F,Transfers!$C:$C,$A163,Transfers!$I:$I,"CPT",Transfers!$H:$H,"&lt;&gt;Y")+SUMIFS('Stock Received'!$I:$I,'Stock Received'!$E:$E,$A163,'Stock Received'!$L:$L,"CPT")</f>
        <v>504.38</v>
      </c>
      <c r="F163" s="19" t="n">
        <f aca="false">SUMIFS('JHB Count'!$E:$E,'JHB Count'!$F:$F,$A163)-SUMIFS('Weekly Sales'!$F:$F,'Weekly Sales'!$H:$H,$A163,'Weekly Sales'!$I:$I,"JHB")+SUMIFS(Transfers!$F:$F,Transfers!$C:$C,$A163,Transfers!$J:$J,"JHB")-SUMIFS(Transfers!$F:$F,Transfers!$C:$C,$A163,Transfers!$I:$I,"JHB",Transfers!$H:$H,"&lt;&gt;Y")+SUMIFS('Stock Received'!$I:$I,'Stock Received'!$E:$E,$A163,'Stock Received'!$L:$L,"JHB")</f>
        <v>19.8</v>
      </c>
      <c r="G163" s="19" t="n">
        <f aca="false">SUMIFS('DBN Count'!$D:$D,'DBN Count'!$E:$E,$A163)-SUMIFS('Weekly Sales'!$F:$F,'Weekly Sales'!$H:$H,$A163,'Weekly Sales'!$I:$I,"DBN")+SUMIFS(Transfers!$F:$F,Transfers!$C:$C,$A163,Transfers!$J:$J,"DBN")-SUMIFS(Transfers!$F:$F,Transfers!$C:$C,$A163,Transfers!$I:$I,"DBN",Transfers!$H:$H,"&lt;&gt;Y")+SUMIFS('Stock Received'!$I:$I,'Stock Received'!$E:$E,$A163,'Stock Received'!$L:$L,"DBN")</f>
        <v>4.64</v>
      </c>
      <c r="H163" s="29" t="n">
        <f aca="false">E163+F163+G163</f>
        <v>528.82</v>
      </c>
      <c r="I163" s="19" t="n">
        <f aca="false">SUMIFS('Weekly Sales'!$F:$F,'Weekly Sales'!$H:$H,$A163)</f>
        <v>46.51</v>
      </c>
      <c r="J163" s="19" t="n">
        <f aca="false">SUMIFS(Orders!$L:$L,Orders!$D:$D,$A163,Orders!$F:$F,"&gt;="&amp;J$4,Orders!$F:$F,"&lt;"&amp;EDATE(J$4,1))</f>
        <v>0</v>
      </c>
      <c r="K163" s="19" t="n">
        <f aca="false">SUMIFS(Orders!$L:$L,Orders!$D:$D,$A163,Orders!$F:$F,"&gt;="&amp;K$4,Orders!$F:$F,"&lt;"&amp;EDATE(K$4,1))</f>
        <v>0</v>
      </c>
      <c r="L163" s="19" t="n">
        <f aca="false">SUMIFS(Orders!$L:$L,Orders!$D:$D,$A163,Orders!$F:$F,"&gt;="&amp;L$4,Orders!$F:$F,"&lt;"&amp;EDATE(L$4,1))</f>
        <v>300</v>
      </c>
      <c r="M163" s="19" t="n">
        <f aca="false">N163-J163-K163-L163</f>
        <v>0</v>
      </c>
      <c r="N163" s="19" t="n">
        <f aca="false">SUMIFS(Orders!$L:$L,Orders!$D:$D,$A163)</f>
        <v>300</v>
      </c>
      <c r="O163" s="19" t="n">
        <f aca="false">H163+N163</f>
        <v>828.82</v>
      </c>
      <c r="P163" s="30" t="n">
        <v>200</v>
      </c>
      <c r="Q163" s="19" t="n">
        <f aca="false">IF(SUMIFS('Sales History'!$E:$E,'Sales History'!$G:$G,$A163)&gt;0,SUMIFS('Sales History'!$E:$E,'Sales History'!$G:$G,$A163)/Settings!$B$4,N(P163))</f>
        <v>200</v>
      </c>
      <c r="R163" s="18" t="str">
        <f aca="false">IF(SUMIFS('Sales History'!$E:$E,'Sales History'!$G:$G,$A163)&gt;0,"6-month history",IF(N(P163)&gt;0,"Current sheet","No sales data"))</f>
        <v>Current sheet</v>
      </c>
      <c r="S163" s="31" t="n">
        <f aca="false">IF(Q163&gt;0,H163/Q163,"")</f>
        <v>2.6441</v>
      </c>
      <c r="T163" s="30" t="n">
        <v>500</v>
      </c>
      <c r="U163" s="19" t="n">
        <f aca="false">IF(T163="","",MAX(0,T163-O163))</f>
        <v>0</v>
      </c>
      <c r="V163" s="32" t="str">
        <f aca="false">IF(D163="End of range","END OF RANGE",IF(T163="","NO BUFFER SET",IF(H163&lt;=0,IF(O163&lt;T163,"OUT - REORDER","OUT - ON ORDER"),IF(O163&lt;T163,"REORDER",IF(H163&lt;T163,"LOW - ON ORDER",IF(AND(S163&lt;&gt;"",N(S163)&gt;Settings!$B$5),"SLOW MOVER","OK"))))))</f>
        <v>OK</v>
      </c>
      <c r="W163" s="18"/>
      <c r="X163" s="33" t="n">
        <f aca="false">IF(OR(D163="End of range",U163=""),0,IF(N(U163)&gt;0,U163+ROW()/1000000,0))</f>
        <v>0</v>
      </c>
    </row>
    <row r="164" customFormat="false" ht="14.25" hidden="false" customHeight="true" outlineLevel="0" collapsed="false">
      <c r="A164" s="18" t="s">
        <v>409</v>
      </c>
      <c r="B164" s="18" t="s">
        <v>410</v>
      </c>
      <c r="C164" s="18" t="s">
        <v>331</v>
      </c>
      <c r="D164" s="18" t="s">
        <v>80</v>
      </c>
      <c r="E164" s="19" t="n">
        <f aca="false">SUMIFS('CPT Count'!$D:$D,'CPT Count'!$A:$A,$A164)-SUMIFS('Weekly Sales'!$F:$F,'Weekly Sales'!$H:$H,$A164,'Weekly Sales'!$I:$I,"CPT")+SUMIFS(Transfers!$F:$F,Transfers!$C:$C,$A164,Transfers!$J:$J,"CPT")-SUMIFS(Transfers!$F:$F,Transfers!$C:$C,$A164,Transfers!$I:$I,"CPT",Transfers!$H:$H,"&lt;&gt;Y")+SUMIFS('Stock Received'!$I:$I,'Stock Received'!$E:$E,$A164,'Stock Received'!$L:$L,"CPT")</f>
        <v>79.01</v>
      </c>
      <c r="F164" s="19" t="n">
        <f aca="false">SUMIFS('JHB Count'!$E:$E,'JHB Count'!$F:$F,$A164)-SUMIFS('Weekly Sales'!$F:$F,'Weekly Sales'!$H:$H,$A164,'Weekly Sales'!$I:$I,"JHB")+SUMIFS(Transfers!$F:$F,Transfers!$C:$C,$A164,Transfers!$J:$J,"JHB")-SUMIFS(Transfers!$F:$F,Transfers!$C:$C,$A164,Transfers!$I:$I,"JHB",Transfers!$H:$H,"&lt;&gt;Y")+SUMIFS('Stock Received'!$I:$I,'Stock Received'!$E:$E,$A164,'Stock Received'!$L:$L,"JHB")</f>
        <v>3.6</v>
      </c>
      <c r="G164" s="19" t="n">
        <f aca="false">SUMIFS('DBN Count'!$D:$D,'DBN Count'!$E:$E,$A164)-SUMIFS('Weekly Sales'!$F:$F,'Weekly Sales'!$H:$H,$A164,'Weekly Sales'!$I:$I,"DBN")+SUMIFS(Transfers!$F:$F,Transfers!$C:$C,$A164,Transfers!$J:$J,"DBN")-SUMIFS(Transfers!$F:$F,Transfers!$C:$C,$A164,Transfers!$I:$I,"DBN",Transfers!$H:$H,"&lt;&gt;Y")+SUMIFS('Stock Received'!$I:$I,'Stock Received'!$E:$E,$A164,'Stock Received'!$L:$L,"DBN")</f>
        <v>13.83</v>
      </c>
      <c r="H164" s="29" t="n">
        <f aca="false">E164+F164+G164</f>
        <v>96.44</v>
      </c>
      <c r="I164" s="19" t="n">
        <f aca="false">SUMIFS('Weekly Sales'!$F:$F,'Weekly Sales'!$H:$H,$A164)</f>
        <v>1.99</v>
      </c>
      <c r="J164" s="19" t="n">
        <f aca="false">SUMIFS(Orders!$L:$L,Orders!$D:$D,$A164,Orders!$F:$F,"&gt;="&amp;J$4,Orders!$F:$F,"&lt;"&amp;EDATE(J$4,1))</f>
        <v>0</v>
      </c>
      <c r="K164" s="19" t="n">
        <f aca="false">SUMIFS(Orders!$L:$L,Orders!$D:$D,$A164,Orders!$F:$F,"&gt;="&amp;K$4,Orders!$F:$F,"&lt;"&amp;EDATE(K$4,1))</f>
        <v>0</v>
      </c>
      <c r="L164" s="19" t="n">
        <f aca="false">SUMIFS(Orders!$L:$L,Orders!$D:$D,$A164,Orders!$F:$F,"&gt;="&amp;L$4,Orders!$F:$F,"&lt;"&amp;EDATE(L$4,1))</f>
        <v>100</v>
      </c>
      <c r="M164" s="19" t="n">
        <f aca="false">N164-J164-K164-L164</f>
        <v>0</v>
      </c>
      <c r="N164" s="19" t="n">
        <f aca="false">SUMIFS(Orders!$L:$L,Orders!$D:$D,$A164)</f>
        <v>100</v>
      </c>
      <c r="O164" s="19" t="n">
        <f aca="false">H164+N164</f>
        <v>196.44</v>
      </c>
      <c r="P164" s="30" t="n">
        <v>20</v>
      </c>
      <c r="Q164" s="19" t="n">
        <f aca="false">IF(SUMIFS('Sales History'!$E:$E,'Sales History'!$G:$G,$A164)&gt;0,SUMIFS('Sales History'!$E:$E,'Sales History'!$G:$G,$A164)/Settings!$B$4,N(P164))</f>
        <v>20</v>
      </c>
      <c r="R164" s="18" t="str">
        <f aca="false">IF(SUMIFS('Sales History'!$E:$E,'Sales History'!$G:$G,$A164)&gt;0,"6-month history",IF(N(P164)&gt;0,"Current sheet","No sales data"))</f>
        <v>Current sheet</v>
      </c>
      <c r="S164" s="31" t="n">
        <f aca="false">IF(Q164&gt;0,H164/Q164,"")</f>
        <v>4.822</v>
      </c>
      <c r="T164" s="30" t="n">
        <v>100</v>
      </c>
      <c r="U164" s="19" t="n">
        <f aca="false">IF(T164="","",MAX(0,T164-O164))</f>
        <v>0</v>
      </c>
      <c r="V164" s="32" t="str">
        <f aca="false">IF(D164="End of range","END OF RANGE",IF(T164="","NO BUFFER SET",IF(H164&lt;=0,IF(O164&lt;T164,"OUT - REORDER","OUT - ON ORDER"),IF(O164&lt;T164,"REORDER",IF(H164&lt;T164,"LOW - ON ORDER",IF(AND(S164&lt;&gt;"",N(S164)&gt;Settings!$B$5),"SLOW MOVER","OK"))))))</f>
        <v>LOW - ON ORDER</v>
      </c>
      <c r="W164" s="18"/>
      <c r="X164" s="33" t="n">
        <f aca="false">IF(OR(D164="End of range",U164=""),0,IF(N(U164)&gt;0,U164+ROW()/1000000,0))</f>
        <v>0</v>
      </c>
    </row>
    <row r="165" customFormat="false" ht="14.25" hidden="false" customHeight="true" outlineLevel="0" collapsed="false">
      <c r="A165" s="18" t="s">
        <v>411</v>
      </c>
      <c r="B165" s="18" t="s">
        <v>412</v>
      </c>
      <c r="C165" s="18" t="s">
        <v>331</v>
      </c>
      <c r="D165" s="18" t="s">
        <v>80</v>
      </c>
      <c r="E165" s="19" t="n">
        <f aca="false">SUMIFS('CPT Count'!$D:$D,'CPT Count'!$A:$A,$A165)-SUMIFS('Weekly Sales'!$F:$F,'Weekly Sales'!$H:$H,$A165,'Weekly Sales'!$I:$I,"CPT")+SUMIFS(Transfers!$F:$F,Transfers!$C:$C,$A165,Transfers!$J:$J,"CPT")-SUMIFS(Transfers!$F:$F,Transfers!$C:$C,$A165,Transfers!$I:$I,"CPT",Transfers!$H:$H,"&lt;&gt;Y")+SUMIFS('Stock Received'!$I:$I,'Stock Received'!$E:$E,$A165,'Stock Received'!$L:$L,"CPT")</f>
        <v>360.46</v>
      </c>
      <c r="F165" s="19" t="n">
        <f aca="false">SUMIFS('JHB Count'!$E:$E,'JHB Count'!$F:$F,$A165)-SUMIFS('Weekly Sales'!$F:$F,'Weekly Sales'!$H:$H,$A165,'Weekly Sales'!$I:$I,"JHB")+SUMIFS(Transfers!$F:$F,Transfers!$C:$C,$A165,Transfers!$J:$J,"JHB")-SUMIFS(Transfers!$F:$F,Transfers!$C:$C,$A165,Transfers!$I:$I,"JHB",Transfers!$H:$H,"&lt;&gt;Y")+SUMIFS('Stock Received'!$I:$I,'Stock Received'!$E:$E,$A165,'Stock Received'!$L:$L,"JHB")</f>
        <v>16.2</v>
      </c>
      <c r="G165" s="19" t="n">
        <f aca="false">SUMIFS('DBN Count'!$D:$D,'DBN Count'!$E:$E,$A165)-SUMIFS('Weekly Sales'!$F:$F,'Weekly Sales'!$H:$H,$A165,'Weekly Sales'!$I:$I,"DBN")+SUMIFS(Transfers!$F:$F,Transfers!$C:$C,$A165,Transfers!$J:$J,"DBN")-SUMIFS(Transfers!$F:$F,Transfers!$C:$C,$A165,Transfers!$I:$I,"DBN",Transfers!$H:$H,"&lt;&gt;Y")+SUMIFS('Stock Received'!$I:$I,'Stock Received'!$E:$E,$A165,'Stock Received'!$L:$L,"DBN")</f>
        <v>18.61</v>
      </c>
      <c r="H165" s="29" t="n">
        <f aca="false">E165+F165+G165</f>
        <v>395.27</v>
      </c>
      <c r="I165" s="19" t="n">
        <f aca="false">SUMIFS('Weekly Sales'!$F:$F,'Weekly Sales'!$H:$H,$A165)</f>
        <v>26.54</v>
      </c>
      <c r="J165" s="19" t="n">
        <f aca="false">SUMIFS(Orders!$L:$L,Orders!$D:$D,$A165,Orders!$F:$F,"&gt;="&amp;J$4,Orders!$F:$F,"&lt;"&amp;EDATE(J$4,1))</f>
        <v>0</v>
      </c>
      <c r="K165" s="19" t="n">
        <f aca="false">SUMIFS(Orders!$L:$L,Orders!$D:$D,$A165,Orders!$F:$F,"&gt;="&amp;K$4,Orders!$F:$F,"&lt;"&amp;EDATE(K$4,1))</f>
        <v>0</v>
      </c>
      <c r="L165" s="19" t="n">
        <f aca="false">SUMIFS(Orders!$L:$L,Orders!$D:$D,$A165,Orders!$F:$F,"&gt;="&amp;L$4,Orders!$F:$F,"&lt;"&amp;EDATE(L$4,1))</f>
        <v>0</v>
      </c>
      <c r="M165" s="19" t="n">
        <f aca="false">N165-J165-K165-L165</f>
        <v>0</v>
      </c>
      <c r="N165" s="19" t="n">
        <f aca="false">SUMIFS(Orders!$L:$L,Orders!$D:$D,$A165)</f>
        <v>0</v>
      </c>
      <c r="O165" s="19" t="n">
        <f aca="false">H165+N165</f>
        <v>395.27</v>
      </c>
      <c r="P165" s="30" t="n">
        <v>65</v>
      </c>
      <c r="Q165" s="19" t="n">
        <f aca="false">IF(SUMIFS('Sales History'!$E:$E,'Sales History'!$G:$G,$A165)&gt;0,SUMIFS('Sales History'!$E:$E,'Sales History'!$G:$G,$A165)/Settings!$B$4,N(P165))</f>
        <v>65</v>
      </c>
      <c r="R165" s="18" t="str">
        <f aca="false">IF(SUMIFS('Sales History'!$E:$E,'Sales History'!$G:$G,$A165)&gt;0,"6-month history",IF(N(P165)&gt;0,"Current sheet","No sales data"))</f>
        <v>Current sheet</v>
      </c>
      <c r="S165" s="31" t="n">
        <f aca="false">IF(Q165&gt;0,H165/Q165,"")</f>
        <v>6.08107692307692</v>
      </c>
      <c r="T165" s="30" t="n">
        <v>300</v>
      </c>
      <c r="U165" s="19" t="n">
        <f aca="false">IF(T165="","",MAX(0,T165-O165))</f>
        <v>0</v>
      </c>
      <c r="V165" s="32" t="str">
        <f aca="false">IF(D165="End of range","END OF RANGE",IF(T165="","NO BUFFER SET",IF(H165&lt;=0,IF(O165&lt;T165,"OUT - REORDER","OUT - ON ORDER"),IF(O165&lt;T165,"REORDER",IF(H165&lt;T165,"LOW - ON ORDER",IF(AND(S165&lt;&gt;"",N(S165)&gt;Settings!$B$5),"SLOW MOVER","OK"))))))</f>
        <v>OK</v>
      </c>
      <c r="W165" s="18"/>
      <c r="X165" s="33" t="n">
        <f aca="false">IF(OR(D165="End of range",U165=""),0,IF(N(U165)&gt;0,U165+ROW()/1000000,0))</f>
        <v>0</v>
      </c>
    </row>
    <row r="166" customFormat="false" ht="14.25" hidden="false" customHeight="true" outlineLevel="0" collapsed="false">
      <c r="A166" s="18" t="s">
        <v>413</v>
      </c>
      <c r="B166" s="18" t="s">
        <v>414</v>
      </c>
      <c r="C166" s="18" t="s">
        <v>331</v>
      </c>
      <c r="D166" s="18" t="s">
        <v>80</v>
      </c>
      <c r="E166" s="19" t="n">
        <f aca="false">SUMIFS('CPT Count'!$D:$D,'CPT Count'!$A:$A,$A166)-SUMIFS('Weekly Sales'!$F:$F,'Weekly Sales'!$H:$H,$A166,'Weekly Sales'!$I:$I,"CPT")+SUMIFS(Transfers!$F:$F,Transfers!$C:$C,$A166,Transfers!$J:$J,"CPT")-SUMIFS(Transfers!$F:$F,Transfers!$C:$C,$A166,Transfers!$I:$I,"CPT",Transfers!$H:$H,"&lt;&gt;Y")+SUMIFS('Stock Received'!$I:$I,'Stock Received'!$E:$E,$A166,'Stock Received'!$L:$L,"CPT")</f>
        <v>501.41</v>
      </c>
      <c r="F166" s="19" t="n">
        <f aca="false">SUMIFS('JHB Count'!$E:$E,'JHB Count'!$F:$F,$A166)-SUMIFS('Weekly Sales'!$F:$F,'Weekly Sales'!$H:$H,$A166,'Weekly Sales'!$I:$I,"JHB")+SUMIFS(Transfers!$F:$F,Transfers!$C:$C,$A166,Transfers!$J:$J,"JHB")-SUMIFS(Transfers!$F:$F,Transfers!$C:$C,$A166,Transfers!$I:$I,"JHB",Transfers!$H:$H,"&lt;&gt;Y")+SUMIFS('Stock Received'!$I:$I,'Stock Received'!$E:$E,$A166,'Stock Received'!$L:$L,"JHB")</f>
        <v>45.94</v>
      </c>
      <c r="G166" s="19" t="n">
        <f aca="false">SUMIFS('DBN Count'!$D:$D,'DBN Count'!$E:$E,$A166)-SUMIFS('Weekly Sales'!$F:$F,'Weekly Sales'!$H:$H,$A166,'Weekly Sales'!$I:$I,"DBN")+SUMIFS(Transfers!$F:$F,Transfers!$C:$C,$A166,Transfers!$J:$J,"DBN")-SUMIFS(Transfers!$F:$F,Transfers!$C:$C,$A166,Transfers!$I:$I,"DBN",Transfers!$H:$H,"&lt;&gt;Y")+SUMIFS('Stock Received'!$I:$I,'Stock Received'!$E:$E,$A166,'Stock Received'!$L:$L,"DBN")</f>
        <v>49.36</v>
      </c>
      <c r="H166" s="29" t="n">
        <f aca="false">E166+F166+G166</f>
        <v>596.71</v>
      </c>
      <c r="I166" s="19" t="n">
        <f aca="false">SUMIFS('Weekly Sales'!$F:$F,'Weekly Sales'!$H:$H,$A166)</f>
        <v>45.85</v>
      </c>
      <c r="J166" s="19" t="n">
        <f aca="false">SUMIFS(Orders!$L:$L,Orders!$D:$D,$A166,Orders!$F:$F,"&gt;="&amp;J$4,Orders!$F:$F,"&lt;"&amp;EDATE(J$4,1))</f>
        <v>0</v>
      </c>
      <c r="K166" s="19" t="n">
        <f aca="false">SUMIFS(Orders!$L:$L,Orders!$D:$D,$A166,Orders!$F:$F,"&gt;="&amp;K$4,Orders!$F:$F,"&lt;"&amp;EDATE(K$4,1))</f>
        <v>0</v>
      </c>
      <c r="L166" s="19" t="n">
        <f aca="false">SUMIFS(Orders!$L:$L,Orders!$D:$D,$A166,Orders!$F:$F,"&gt;="&amp;L$4,Orders!$F:$F,"&lt;"&amp;EDATE(L$4,1))</f>
        <v>300</v>
      </c>
      <c r="M166" s="19" t="n">
        <f aca="false">N166-J166-K166-L166</f>
        <v>0</v>
      </c>
      <c r="N166" s="19" t="n">
        <f aca="false">SUMIFS(Orders!$L:$L,Orders!$D:$D,$A166)</f>
        <v>300</v>
      </c>
      <c r="O166" s="19" t="n">
        <f aca="false">H166+N166</f>
        <v>896.71</v>
      </c>
      <c r="P166" s="30" t="n">
        <v>180</v>
      </c>
      <c r="Q166" s="19" t="n">
        <f aca="false">IF(SUMIFS('Sales History'!$E:$E,'Sales History'!$G:$G,$A166)&gt;0,SUMIFS('Sales History'!$E:$E,'Sales History'!$G:$G,$A166)/Settings!$B$4,N(P166))</f>
        <v>180</v>
      </c>
      <c r="R166" s="18" t="str">
        <f aca="false">IF(SUMIFS('Sales History'!$E:$E,'Sales History'!$G:$G,$A166)&gt;0,"6-month history",IF(N(P166)&gt;0,"Current sheet","No sales data"))</f>
        <v>Current sheet</v>
      </c>
      <c r="S166" s="31" t="n">
        <f aca="false">IF(Q166&gt;0,H166/Q166,"")</f>
        <v>3.31505555555556</v>
      </c>
      <c r="T166" s="30" t="n">
        <v>400</v>
      </c>
      <c r="U166" s="19" t="n">
        <f aca="false">IF(T166="","",MAX(0,T166-O166))</f>
        <v>0</v>
      </c>
      <c r="V166" s="32" t="str">
        <f aca="false">IF(D166="End of range","END OF RANGE",IF(T166="","NO BUFFER SET",IF(H166&lt;=0,IF(O166&lt;T166,"OUT - REORDER","OUT - ON ORDER"),IF(O166&lt;T166,"REORDER",IF(H166&lt;T166,"LOW - ON ORDER",IF(AND(S166&lt;&gt;"",N(S166)&gt;Settings!$B$5),"SLOW MOVER","OK"))))))</f>
        <v>OK</v>
      </c>
      <c r="W166" s="18"/>
      <c r="X166" s="33" t="n">
        <f aca="false">IF(OR(D166="End of range",U166=""),0,IF(N(U166)&gt;0,U166+ROW()/1000000,0))</f>
        <v>0</v>
      </c>
    </row>
    <row r="167" customFormat="false" ht="14.25" hidden="false" customHeight="true" outlineLevel="0" collapsed="false">
      <c r="A167" s="18" t="s">
        <v>415</v>
      </c>
      <c r="B167" s="18" t="s">
        <v>416</v>
      </c>
      <c r="C167" s="18" t="s">
        <v>331</v>
      </c>
      <c r="D167" s="18" t="s">
        <v>80</v>
      </c>
      <c r="E167" s="19" t="n">
        <f aca="false">SUMIFS('CPT Count'!$D:$D,'CPT Count'!$A:$A,$A167)-SUMIFS('Weekly Sales'!$F:$F,'Weekly Sales'!$H:$H,$A167,'Weekly Sales'!$I:$I,"CPT")+SUMIFS(Transfers!$F:$F,Transfers!$C:$C,$A167,Transfers!$J:$J,"CPT")-SUMIFS(Transfers!$F:$F,Transfers!$C:$C,$A167,Transfers!$I:$I,"CPT",Transfers!$H:$H,"&lt;&gt;Y")+SUMIFS('Stock Received'!$I:$I,'Stock Received'!$E:$E,$A167,'Stock Received'!$L:$L,"CPT")</f>
        <v>254.24</v>
      </c>
      <c r="F167" s="19" t="n">
        <f aca="false">SUMIFS('JHB Count'!$E:$E,'JHB Count'!$F:$F,$A167)-SUMIFS('Weekly Sales'!$F:$F,'Weekly Sales'!$H:$H,$A167,'Weekly Sales'!$I:$I,"JHB")+SUMIFS(Transfers!$F:$F,Transfers!$C:$C,$A167,Transfers!$J:$J,"JHB")-SUMIFS(Transfers!$F:$F,Transfers!$C:$C,$A167,Transfers!$I:$I,"JHB",Transfers!$H:$H,"&lt;&gt;Y")+SUMIFS('Stock Received'!$I:$I,'Stock Received'!$E:$E,$A167,'Stock Received'!$L:$L,"JHB")</f>
        <v>0.54</v>
      </c>
      <c r="G167" s="19" t="n">
        <f aca="false">SUMIFS('DBN Count'!$D:$D,'DBN Count'!$E:$E,$A167)-SUMIFS('Weekly Sales'!$F:$F,'Weekly Sales'!$H:$H,$A167,'Weekly Sales'!$I:$I,"DBN")+SUMIFS(Transfers!$F:$F,Transfers!$C:$C,$A167,Transfers!$J:$J,"DBN")-SUMIFS(Transfers!$F:$F,Transfers!$C:$C,$A167,Transfers!$I:$I,"DBN",Transfers!$H:$H,"&lt;&gt;Y")+SUMIFS('Stock Received'!$I:$I,'Stock Received'!$E:$E,$A167,'Stock Received'!$L:$L,"DBN")</f>
        <v>10.19</v>
      </c>
      <c r="H167" s="29" t="n">
        <f aca="false">E167+F167+G167</f>
        <v>264.97</v>
      </c>
      <c r="I167" s="19" t="n">
        <f aca="false">SUMIFS('Weekly Sales'!$F:$F,'Weekly Sales'!$H:$H,$A167)</f>
        <v>16.02</v>
      </c>
      <c r="J167" s="19" t="n">
        <f aca="false">SUMIFS(Orders!$L:$L,Orders!$D:$D,$A167,Orders!$F:$F,"&gt;="&amp;J$4,Orders!$F:$F,"&lt;"&amp;EDATE(J$4,1))</f>
        <v>0</v>
      </c>
      <c r="K167" s="19" t="n">
        <f aca="false">SUMIFS(Orders!$L:$L,Orders!$D:$D,$A167,Orders!$F:$F,"&gt;="&amp;K$4,Orders!$F:$F,"&lt;"&amp;EDATE(K$4,1))</f>
        <v>0</v>
      </c>
      <c r="L167" s="19" t="n">
        <f aca="false">SUMIFS(Orders!$L:$L,Orders!$D:$D,$A167,Orders!$F:$F,"&gt;="&amp;L$4,Orders!$F:$F,"&lt;"&amp;EDATE(L$4,1))</f>
        <v>0</v>
      </c>
      <c r="M167" s="19" t="n">
        <f aca="false">N167-J167-K167-L167</f>
        <v>0</v>
      </c>
      <c r="N167" s="19" t="n">
        <f aca="false">SUMIFS(Orders!$L:$L,Orders!$D:$D,$A167)</f>
        <v>0</v>
      </c>
      <c r="O167" s="19" t="n">
        <f aca="false">H167+N167</f>
        <v>264.97</v>
      </c>
      <c r="P167" s="30" t="n">
        <v>55</v>
      </c>
      <c r="Q167" s="19" t="n">
        <f aca="false">IF(SUMIFS('Sales History'!$E:$E,'Sales History'!$G:$G,$A167)&gt;0,SUMIFS('Sales History'!$E:$E,'Sales History'!$G:$G,$A167)/Settings!$B$4,N(P167))</f>
        <v>55</v>
      </c>
      <c r="R167" s="18" t="str">
        <f aca="false">IF(SUMIFS('Sales History'!$E:$E,'Sales History'!$G:$G,$A167)&gt;0,"6-month history",IF(N(P167)&gt;0,"Current sheet","No sales data"))</f>
        <v>Current sheet</v>
      </c>
      <c r="S167" s="31" t="n">
        <f aca="false">IF(Q167&gt;0,H167/Q167,"")</f>
        <v>4.81763636363636</v>
      </c>
      <c r="T167" s="30" t="n">
        <v>200</v>
      </c>
      <c r="U167" s="19" t="n">
        <f aca="false">IF(T167="","",MAX(0,T167-O167))</f>
        <v>0</v>
      </c>
      <c r="V167" s="32" t="str">
        <f aca="false">IF(D167="End of range","END OF RANGE",IF(T167="","NO BUFFER SET",IF(H167&lt;=0,IF(O167&lt;T167,"OUT - REORDER","OUT - ON ORDER"),IF(O167&lt;T167,"REORDER",IF(H167&lt;T167,"LOW - ON ORDER",IF(AND(S167&lt;&gt;"",N(S167)&gt;Settings!$B$5),"SLOW MOVER","OK"))))))</f>
        <v>OK</v>
      </c>
      <c r="W167" s="18"/>
      <c r="X167" s="33" t="n">
        <f aca="false">IF(OR(D167="End of range",U167=""),0,IF(N(U167)&gt;0,U167+ROW()/1000000,0))</f>
        <v>0</v>
      </c>
    </row>
    <row r="168" customFormat="false" ht="14.25" hidden="false" customHeight="true" outlineLevel="0" collapsed="false">
      <c r="A168" s="18" t="s">
        <v>417</v>
      </c>
      <c r="B168" s="18" t="s">
        <v>418</v>
      </c>
      <c r="C168" s="18" t="s">
        <v>331</v>
      </c>
      <c r="D168" s="18" t="s">
        <v>80</v>
      </c>
      <c r="E168" s="19" t="n">
        <f aca="false">SUMIFS('CPT Count'!$D:$D,'CPT Count'!$A:$A,$A168)-SUMIFS('Weekly Sales'!$F:$F,'Weekly Sales'!$H:$H,$A168,'Weekly Sales'!$I:$I,"CPT")+SUMIFS(Transfers!$F:$F,Transfers!$C:$C,$A168,Transfers!$J:$J,"CPT")-SUMIFS(Transfers!$F:$F,Transfers!$C:$C,$A168,Transfers!$I:$I,"CPT",Transfers!$H:$H,"&lt;&gt;Y")+SUMIFS('Stock Received'!$I:$I,'Stock Received'!$E:$E,$A168,'Stock Received'!$L:$L,"CPT")</f>
        <v>291</v>
      </c>
      <c r="F168" s="19" t="n">
        <f aca="false">SUMIFS('JHB Count'!$E:$E,'JHB Count'!$F:$F,$A168)-SUMIFS('Weekly Sales'!$F:$F,'Weekly Sales'!$H:$H,$A168,'Weekly Sales'!$I:$I,"JHB")+SUMIFS(Transfers!$F:$F,Transfers!$C:$C,$A168,Transfers!$J:$J,"JHB")-SUMIFS(Transfers!$F:$F,Transfers!$C:$C,$A168,Transfers!$I:$I,"JHB",Transfers!$H:$H,"&lt;&gt;Y")+SUMIFS('Stock Received'!$I:$I,'Stock Received'!$E:$E,$A168,'Stock Received'!$L:$L,"JHB")</f>
        <v>73.8</v>
      </c>
      <c r="G168" s="19" t="n">
        <f aca="false">SUMIFS('DBN Count'!$D:$D,'DBN Count'!$E:$E,$A168)-SUMIFS('Weekly Sales'!$F:$F,'Weekly Sales'!$H:$H,$A168,'Weekly Sales'!$I:$I,"DBN")+SUMIFS(Transfers!$F:$F,Transfers!$C:$C,$A168,Transfers!$J:$J,"DBN")-SUMIFS(Transfers!$F:$F,Transfers!$C:$C,$A168,Transfers!$I:$I,"DBN",Transfers!$H:$H,"&lt;&gt;Y")+SUMIFS('Stock Received'!$I:$I,'Stock Received'!$E:$E,$A168,'Stock Received'!$L:$L,"DBN")</f>
        <v>14.2</v>
      </c>
      <c r="H168" s="29" t="n">
        <f aca="false">E168+F168+G168</f>
        <v>379</v>
      </c>
      <c r="I168" s="19" t="n">
        <f aca="false">SUMIFS('Weekly Sales'!$F:$F,'Weekly Sales'!$H:$H,$A168)</f>
        <v>14</v>
      </c>
      <c r="J168" s="19" t="n">
        <f aca="false">SUMIFS(Orders!$L:$L,Orders!$D:$D,$A168,Orders!$F:$F,"&gt;="&amp;J$4,Orders!$F:$F,"&lt;"&amp;EDATE(J$4,1))</f>
        <v>0</v>
      </c>
      <c r="K168" s="19" t="n">
        <f aca="false">SUMIFS(Orders!$L:$L,Orders!$D:$D,$A168,Orders!$F:$F,"&gt;="&amp;K$4,Orders!$F:$F,"&lt;"&amp;EDATE(K$4,1))</f>
        <v>0</v>
      </c>
      <c r="L168" s="19" t="n">
        <f aca="false">SUMIFS(Orders!$L:$L,Orders!$D:$D,$A168,Orders!$F:$F,"&gt;="&amp;L$4,Orders!$F:$F,"&lt;"&amp;EDATE(L$4,1))</f>
        <v>300</v>
      </c>
      <c r="M168" s="19" t="n">
        <f aca="false">N168-J168-K168-L168</f>
        <v>0</v>
      </c>
      <c r="N168" s="19" t="n">
        <f aca="false">SUMIFS(Orders!$L:$L,Orders!$D:$D,$A168)</f>
        <v>300</v>
      </c>
      <c r="O168" s="19" t="n">
        <f aca="false">H168+N168</f>
        <v>679</v>
      </c>
      <c r="P168" s="30" t="n">
        <v>100</v>
      </c>
      <c r="Q168" s="19" t="n">
        <f aca="false">IF(SUMIFS('Sales History'!$E:$E,'Sales History'!$G:$G,$A168)&gt;0,SUMIFS('Sales History'!$E:$E,'Sales History'!$G:$G,$A168)/Settings!$B$4,N(P168))</f>
        <v>100</v>
      </c>
      <c r="R168" s="18" t="str">
        <f aca="false">IF(SUMIFS('Sales History'!$E:$E,'Sales History'!$G:$G,$A168)&gt;0,"6-month history",IF(N(P168)&gt;0,"Current sheet","No sales data"))</f>
        <v>Current sheet</v>
      </c>
      <c r="S168" s="31" t="n">
        <f aca="false">IF(Q168&gt;0,H168/Q168,"")</f>
        <v>3.79</v>
      </c>
      <c r="T168" s="30" t="n">
        <v>300</v>
      </c>
      <c r="U168" s="19" t="n">
        <f aca="false">IF(T168="","",MAX(0,T168-O168))</f>
        <v>0</v>
      </c>
      <c r="V168" s="32" t="str">
        <f aca="false">IF(D168="End of range","END OF RANGE",IF(T168="","NO BUFFER SET",IF(H168&lt;=0,IF(O168&lt;T168,"OUT - REORDER","OUT - ON ORDER"),IF(O168&lt;T168,"REORDER",IF(H168&lt;T168,"LOW - ON ORDER",IF(AND(S168&lt;&gt;"",N(S168)&gt;Settings!$B$5),"SLOW MOVER","OK"))))))</f>
        <v>OK</v>
      </c>
      <c r="W168" s="18"/>
      <c r="X168" s="33" t="n">
        <f aca="false">IF(OR(D168="End of range",U168=""),0,IF(N(U168)&gt;0,U168+ROW()/1000000,0))</f>
        <v>0</v>
      </c>
    </row>
    <row r="169" customFormat="false" ht="14.25" hidden="false" customHeight="true" outlineLevel="0" collapsed="false">
      <c r="A169" s="18" t="s">
        <v>419</v>
      </c>
      <c r="B169" s="18" t="s">
        <v>420</v>
      </c>
      <c r="C169" s="18" t="s">
        <v>331</v>
      </c>
      <c r="D169" s="18" t="s">
        <v>80</v>
      </c>
      <c r="E169" s="19" t="n">
        <f aca="false">SUMIFS('CPT Count'!$D:$D,'CPT Count'!$A:$A,$A169)-SUMIFS('Weekly Sales'!$F:$F,'Weekly Sales'!$H:$H,$A169,'Weekly Sales'!$I:$I,"CPT")+SUMIFS(Transfers!$F:$F,Transfers!$C:$C,$A169,Transfers!$J:$J,"CPT")-SUMIFS(Transfers!$F:$F,Transfers!$C:$C,$A169,Transfers!$I:$I,"CPT",Transfers!$H:$H,"&lt;&gt;Y")+SUMIFS('Stock Received'!$I:$I,'Stock Received'!$E:$E,$A169,'Stock Received'!$L:$L,"CPT")</f>
        <v>146.78</v>
      </c>
      <c r="F169" s="19" t="n">
        <f aca="false">SUMIFS('JHB Count'!$E:$E,'JHB Count'!$F:$F,$A169)-SUMIFS('Weekly Sales'!$F:$F,'Weekly Sales'!$H:$H,$A169,'Weekly Sales'!$I:$I,"JHB")+SUMIFS(Transfers!$F:$F,Transfers!$C:$C,$A169,Transfers!$J:$J,"JHB")-SUMIFS(Transfers!$F:$F,Transfers!$C:$C,$A169,Transfers!$I:$I,"JHB",Transfers!$H:$H,"&lt;&gt;Y")+SUMIFS('Stock Received'!$I:$I,'Stock Received'!$E:$E,$A169,'Stock Received'!$L:$L,"JHB")</f>
        <v>15.44</v>
      </c>
      <c r="G169" s="19" t="n">
        <f aca="false">SUMIFS('DBN Count'!$D:$D,'DBN Count'!$E:$E,$A169)-SUMIFS('Weekly Sales'!$F:$F,'Weekly Sales'!$H:$H,$A169,'Weekly Sales'!$I:$I,"DBN")+SUMIFS(Transfers!$F:$F,Transfers!$C:$C,$A169,Transfers!$J:$J,"DBN")-SUMIFS(Transfers!$F:$F,Transfers!$C:$C,$A169,Transfers!$I:$I,"DBN",Transfers!$H:$H,"&lt;&gt;Y")+SUMIFS('Stock Received'!$I:$I,'Stock Received'!$E:$E,$A169,'Stock Received'!$L:$L,"DBN")</f>
        <v>24.01</v>
      </c>
      <c r="H169" s="29" t="n">
        <f aca="false">E169+F169+G169</f>
        <v>186.23</v>
      </c>
      <c r="I169" s="19" t="n">
        <f aca="false">SUMIFS('Weekly Sales'!$F:$F,'Weekly Sales'!$H:$H,$A169)</f>
        <v>45.24</v>
      </c>
      <c r="J169" s="19" t="n">
        <f aca="false">SUMIFS(Orders!$L:$L,Orders!$D:$D,$A169,Orders!$F:$F,"&gt;="&amp;J$4,Orders!$F:$F,"&lt;"&amp;EDATE(J$4,1))</f>
        <v>0</v>
      </c>
      <c r="K169" s="19" t="n">
        <f aca="false">SUMIFS(Orders!$L:$L,Orders!$D:$D,$A169,Orders!$F:$F,"&gt;="&amp;K$4,Orders!$F:$F,"&lt;"&amp;EDATE(K$4,1))</f>
        <v>300</v>
      </c>
      <c r="L169" s="19" t="n">
        <f aca="false">SUMIFS(Orders!$L:$L,Orders!$D:$D,$A169,Orders!$F:$F,"&gt;="&amp;L$4,Orders!$F:$F,"&lt;"&amp;EDATE(L$4,1))</f>
        <v>0</v>
      </c>
      <c r="M169" s="19" t="n">
        <f aca="false">N169-J169-K169-L169</f>
        <v>0</v>
      </c>
      <c r="N169" s="19" t="n">
        <f aca="false">SUMIFS(Orders!$L:$L,Orders!$D:$D,$A169)</f>
        <v>300</v>
      </c>
      <c r="O169" s="19" t="n">
        <f aca="false">H169+N169</f>
        <v>486.23</v>
      </c>
      <c r="P169" s="30" t="n">
        <v>100</v>
      </c>
      <c r="Q169" s="19" t="n">
        <f aca="false">IF(SUMIFS('Sales History'!$E:$E,'Sales History'!$G:$G,$A169)&gt;0,SUMIFS('Sales History'!$E:$E,'Sales History'!$G:$G,$A169)/Settings!$B$4,N(P169))</f>
        <v>100</v>
      </c>
      <c r="R169" s="18" t="str">
        <f aca="false">IF(SUMIFS('Sales History'!$E:$E,'Sales History'!$G:$G,$A169)&gt;0,"6-month history",IF(N(P169)&gt;0,"Current sheet","No sales data"))</f>
        <v>Current sheet</v>
      </c>
      <c r="S169" s="31" t="n">
        <f aca="false">IF(Q169&gt;0,H169/Q169,"")</f>
        <v>1.8623</v>
      </c>
      <c r="T169" s="30" t="n">
        <v>300</v>
      </c>
      <c r="U169" s="19" t="n">
        <f aca="false">IF(T169="","",MAX(0,T169-O169))</f>
        <v>0</v>
      </c>
      <c r="V169" s="32" t="str">
        <f aca="false">IF(D169="End of range","END OF RANGE",IF(T169="","NO BUFFER SET",IF(H169&lt;=0,IF(O169&lt;T169,"OUT - REORDER","OUT - ON ORDER"),IF(O169&lt;T169,"REORDER",IF(H169&lt;T169,"LOW - ON ORDER",IF(AND(S169&lt;&gt;"",N(S169)&gt;Settings!$B$5),"SLOW MOVER","OK"))))))</f>
        <v>LOW - ON ORDER</v>
      </c>
      <c r="W169" s="18"/>
      <c r="X169" s="33" t="n">
        <f aca="false">IF(OR(D169="End of range",U169=""),0,IF(N(U169)&gt;0,U169+ROW()/1000000,0))</f>
        <v>0</v>
      </c>
    </row>
    <row r="170" customFormat="false" ht="14.25" hidden="false" customHeight="true" outlineLevel="0" collapsed="false">
      <c r="A170" s="18" t="s">
        <v>421</v>
      </c>
      <c r="B170" s="18" t="s">
        <v>422</v>
      </c>
      <c r="C170" s="18" t="s">
        <v>331</v>
      </c>
      <c r="D170" s="18" t="s">
        <v>80</v>
      </c>
      <c r="E170" s="19" t="n">
        <f aca="false">SUMIFS('CPT Count'!$D:$D,'CPT Count'!$A:$A,$A170)-SUMIFS('Weekly Sales'!$F:$F,'Weekly Sales'!$H:$H,$A170,'Weekly Sales'!$I:$I,"CPT")+SUMIFS(Transfers!$F:$F,Transfers!$C:$C,$A170,Transfers!$J:$J,"CPT")-SUMIFS(Transfers!$F:$F,Transfers!$C:$C,$A170,Transfers!$I:$I,"CPT",Transfers!$H:$H,"&lt;&gt;Y")+SUMIFS('Stock Received'!$I:$I,'Stock Received'!$E:$E,$A170,'Stock Received'!$L:$L,"CPT")</f>
        <v>157.61</v>
      </c>
      <c r="F170" s="19" t="n">
        <f aca="false">SUMIFS('JHB Count'!$E:$E,'JHB Count'!$F:$F,$A170)-SUMIFS('Weekly Sales'!$F:$F,'Weekly Sales'!$H:$H,$A170,'Weekly Sales'!$I:$I,"JHB")+SUMIFS(Transfers!$F:$F,Transfers!$C:$C,$A170,Transfers!$J:$J,"JHB")-SUMIFS(Transfers!$F:$F,Transfers!$C:$C,$A170,Transfers!$I:$I,"JHB",Transfers!$H:$H,"&lt;&gt;Y")+SUMIFS('Stock Received'!$I:$I,'Stock Received'!$E:$E,$A170,'Stock Received'!$L:$L,"JHB")</f>
        <v>16.65</v>
      </c>
      <c r="G170" s="19" t="n">
        <f aca="false">SUMIFS('DBN Count'!$D:$D,'DBN Count'!$E:$E,$A170)-SUMIFS('Weekly Sales'!$F:$F,'Weekly Sales'!$H:$H,$A170,'Weekly Sales'!$I:$I,"DBN")+SUMIFS(Transfers!$F:$F,Transfers!$C:$C,$A170,Transfers!$J:$J,"DBN")-SUMIFS(Transfers!$F:$F,Transfers!$C:$C,$A170,Transfers!$I:$I,"DBN",Transfers!$H:$H,"&lt;&gt;Y")+SUMIFS('Stock Received'!$I:$I,'Stock Received'!$E:$E,$A170,'Stock Received'!$L:$L,"DBN")</f>
        <v>10.32</v>
      </c>
      <c r="H170" s="29" t="n">
        <f aca="false">E170+F170+G170</f>
        <v>184.58</v>
      </c>
      <c r="I170" s="19" t="n">
        <f aca="false">SUMIFS('Weekly Sales'!$F:$F,'Weekly Sales'!$H:$H,$A170)</f>
        <v>3.74</v>
      </c>
      <c r="J170" s="19" t="n">
        <f aca="false">SUMIFS(Orders!$L:$L,Orders!$D:$D,$A170,Orders!$F:$F,"&gt;="&amp;J$4,Orders!$F:$F,"&lt;"&amp;EDATE(J$4,1))</f>
        <v>0</v>
      </c>
      <c r="K170" s="19" t="n">
        <f aca="false">SUMIFS(Orders!$L:$L,Orders!$D:$D,$A170,Orders!$F:$F,"&gt;="&amp;K$4,Orders!$F:$F,"&lt;"&amp;EDATE(K$4,1))</f>
        <v>0</v>
      </c>
      <c r="L170" s="19" t="n">
        <f aca="false">SUMIFS(Orders!$L:$L,Orders!$D:$D,$A170,Orders!$F:$F,"&gt;="&amp;L$4,Orders!$F:$F,"&lt;"&amp;EDATE(L$4,1))</f>
        <v>0</v>
      </c>
      <c r="M170" s="19" t="n">
        <f aca="false">N170-J170-K170-L170</f>
        <v>0</v>
      </c>
      <c r="N170" s="19" t="n">
        <f aca="false">SUMIFS(Orders!$L:$L,Orders!$D:$D,$A170)</f>
        <v>0</v>
      </c>
      <c r="O170" s="19" t="n">
        <f aca="false">H170+N170</f>
        <v>184.58</v>
      </c>
      <c r="P170" s="30" t="n">
        <v>35</v>
      </c>
      <c r="Q170" s="19" t="n">
        <f aca="false">IF(SUMIFS('Sales History'!$E:$E,'Sales History'!$G:$G,$A170)&gt;0,SUMIFS('Sales History'!$E:$E,'Sales History'!$G:$G,$A170)/Settings!$B$4,N(P170))</f>
        <v>35</v>
      </c>
      <c r="R170" s="18" t="str">
        <f aca="false">IF(SUMIFS('Sales History'!$E:$E,'Sales History'!$G:$G,$A170)&gt;0,"6-month history",IF(N(P170)&gt;0,"Current sheet","No sales data"))</f>
        <v>Current sheet</v>
      </c>
      <c r="S170" s="31" t="n">
        <f aca="false">IF(Q170&gt;0,H170/Q170,"")</f>
        <v>5.27371428571429</v>
      </c>
      <c r="T170" s="30" t="n">
        <v>200</v>
      </c>
      <c r="U170" s="19" t="n">
        <f aca="false">IF(T170="","",MAX(0,T170-O170))</f>
        <v>15.42</v>
      </c>
      <c r="V170" s="32" t="str">
        <f aca="false">IF(D170="End of range","END OF RANGE",IF(T170="","NO BUFFER SET",IF(H170&lt;=0,IF(O170&lt;T170,"OUT - REORDER","OUT - ON ORDER"),IF(O170&lt;T170,"REORDER",IF(H170&lt;T170,"LOW - ON ORDER",IF(AND(S170&lt;&gt;"",N(S170)&gt;Settings!$B$5),"SLOW MOVER","OK"))))))</f>
        <v>REORDER</v>
      </c>
      <c r="W170" s="18" t="s">
        <v>404</v>
      </c>
      <c r="X170" s="33" t="n">
        <f aca="false">IF(OR(D170="End of range",U170=""),0,IF(N(U170)&gt;0,U170+ROW()/1000000,0))</f>
        <v>15.42017</v>
      </c>
    </row>
    <row r="171" customFormat="false" ht="14.25" hidden="false" customHeight="true" outlineLevel="0" collapsed="false">
      <c r="A171" s="18" t="s">
        <v>423</v>
      </c>
      <c r="B171" s="18" t="s">
        <v>424</v>
      </c>
      <c r="C171" s="18" t="s">
        <v>331</v>
      </c>
      <c r="D171" s="18" t="s">
        <v>80</v>
      </c>
      <c r="E171" s="19" t="n">
        <f aca="false">SUMIFS('CPT Count'!$D:$D,'CPT Count'!$A:$A,$A171)-SUMIFS('Weekly Sales'!$F:$F,'Weekly Sales'!$H:$H,$A171,'Weekly Sales'!$I:$I,"CPT")+SUMIFS(Transfers!$F:$F,Transfers!$C:$C,$A171,Transfers!$J:$J,"CPT")-SUMIFS(Transfers!$F:$F,Transfers!$C:$C,$A171,Transfers!$I:$I,"CPT",Transfers!$H:$H,"&lt;&gt;Y")+SUMIFS('Stock Received'!$I:$I,'Stock Received'!$E:$E,$A171,'Stock Received'!$L:$L,"CPT")</f>
        <v>438</v>
      </c>
      <c r="F171" s="19" t="n">
        <f aca="false">SUMIFS('JHB Count'!$E:$E,'JHB Count'!$F:$F,$A171)-SUMIFS('Weekly Sales'!$F:$F,'Weekly Sales'!$H:$H,$A171,'Weekly Sales'!$I:$I,"JHB")+SUMIFS(Transfers!$F:$F,Transfers!$C:$C,$A171,Transfers!$J:$J,"JHB")-SUMIFS(Transfers!$F:$F,Transfers!$C:$C,$A171,Transfers!$I:$I,"JHB",Transfers!$H:$H,"&lt;&gt;Y")+SUMIFS('Stock Received'!$I:$I,'Stock Received'!$E:$E,$A171,'Stock Received'!$L:$L,"JHB")</f>
        <v>41.4</v>
      </c>
      <c r="G171" s="19" t="n">
        <f aca="false">SUMIFS('DBN Count'!$D:$D,'DBN Count'!$E:$E,$A171)-SUMIFS('Weekly Sales'!$F:$F,'Weekly Sales'!$H:$H,$A171,'Weekly Sales'!$I:$I,"DBN")+SUMIFS(Transfers!$F:$F,Transfers!$C:$C,$A171,Transfers!$J:$J,"DBN")-SUMIFS(Transfers!$F:$F,Transfers!$C:$C,$A171,Transfers!$I:$I,"DBN",Transfers!$H:$H,"&lt;&gt;Y")+SUMIFS('Stock Received'!$I:$I,'Stock Received'!$E:$E,$A171,'Stock Received'!$L:$L,"DBN")</f>
        <v>27.25</v>
      </c>
      <c r="H171" s="29" t="n">
        <f aca="false">E171+F171+G171</f>
        <v>506.65</v>
      </c>
      <c r="I171" s="19" t="n">
        <f aca="false">SUMIFS('Weekly Sales'!$F:$F,'Weekly Sales'!$H:$H,$A171)</f>
        <v>0</v>
      </c>
      <c r="J171" s="19" t="n">
        <f aca="false">SUMIFS(Orders!$L:$L,Orders!$D:$D,$A171,Orders!$F:$F,"&gt;="&amp;J$4,Orders!$F:$F,"&lt;"&amp;EDATE(J$4,1))</f>
        <v>0</v>
      </c>
      <c r="K171" s="19" t="n">
        <f aca="false">SUMIFS(Orders!$L:$L,Orders!$D:$D,$A171,Orders!$F:$F,"&gt;="&amp;K$4,Orders!$F:$F,"&lt;"&amp;EDATE(K$4,1))</f>
        <v>0</v>
      </c>
      <c r="L171" s="19" t="n">
        <f aca="false">SUMIFS(Orders!$L:$L,Orders!$D:$D,$A171,Orders!$F:$F,"&gt;="&amp;L$4,Orders!$F:$F,"&lt;"&amp;EDATE(L$4,1))</f>
        <v>0</v>
      </c>
      <c r="M171" s="19" t="n">
        <f aca="false">N171-J171-K171-L171</f>
        <v>0</v>
      </c>
      <c r="N171" s="19" t="n">
        <f aca="false">SUMIFS(Orders!$L:$L,Orders!$D:$D,$A171)</f>
        <v>0</v>
      </c>
      <c r="O171" s="19" t="n">
        <f aca="false">H171+N171</f>
        <v>506.65</v>
      </c>
      <c r="P171" s="30" t="n">
        <v>50</v>
      </c>
      <c r="Q171" s="19" t="n">
        <f aca="false">IF(SUMIFS('Sales History'!$E:$E,'Sales History'!$G:$G,$A171)&gt;0,SUMIFS('Sales History'!$E:$E,'Sales History'!$G:$G,$A171)/Settings!$B$4,N(P171))</f>
        <v>50</v>
      </c>
      <c r="R171" s="18" t="str">
        <f aca="false">IF(SUMIFS('Sales History'!$E:$E,'Sales History'!$G:$G,$A171)&gt;0,"6-month history",IF(N(P171)&gt;0,"Current sheet","No sales data"))</f>
        <v>Current sheet</v>
      </c>
      <c r="S171" s="31" t="n">
        <f aca="false">IF(Q171&gt;0,H171/Q171,"")</f>
        <v>10.133</v>
      </c>
      <c r="T171" s="30" t="n">
        <v>300</v>
      </c>
      <c r="U171" s="19" t="n">
        <f aca="false">IF(T171="","",MAX(0,T171-O171))</f>
        <v>0</v>
      </c>
      <c r="V171" s="32" t="str">
        <f aca="false">IF(D171="End of range","END OF RANGE",IF(T171="","NO BUFFER SET",IF(H171&lt;=0,IF(O171&lt;T171,"OUT - REORDER","OUT - ON ORDER"),IF(O171&lt;T171,"REORDER",IF(H171&lt;T171,"LOW - ON ORDER",IF(AND(S171&lt;&gt;"",N(S171)&gt;Settings!$B$5),"SLOW MOVER","OK"))))))</f>
        <v>OK</v>
      </c>
      <c r="W171" s="18"/>
      <c r="X171" s="33" t="n">
        <f aca="false">IF(OR(D171="End of range",U171=""),0,IF(N(U171)&gt;0,U171+ROW()/1000000,0))</f>
        <v>0</v>
      </c>
    </row>
    <row r="172" customFormat="false" ht="14.25" hidden="false" customHeight="true" outlineLevel="0" collapsed="false">
      <c r="A172" s="18" t="s">
        <v>425</v>
      </c>
      <c r="B172" s="18" t="s">
        <v>426</v>
      </c>
      <c r="C172" s="18" t="s">
        <v>331</v>
      </c>
      <c r="D172" s="18" t="s">
        <v>80</v>
      </c>
      <c r="E172" s="19" t="n">
        <f aca="false">SUMIFS('CPT Count'!$D:$D,'CPT Count'!$A:$A,$A172)-SUMIFS('Weekly Sales'!$F:$F,'Weekly Sales'!$H:$H,$A172,'Weekly Sales'!$I:$I,"CPT")+SUMIFS(Transfers!$F:$F,Transfers!$C:$C,$A172,Transfers!$J:$J,"CPT")-SUMIFS(Transfers!$F:$F,Transfers!$C:$C,$A172,Transfers!$I:$I,"CPT",Transfers!$H:$H,"&lt;&gt;Y")+SUMIFS('Stock Received'!$I:$I,'Stock Received'!$E:$E,$A172,'Stock Received'!$L:$L,"CPT")</f>
        <v>74.3</v>
      </c>
      <c r="F172" s="19" t="n">
        <f aca="false">SUMIFS('JHB Count'!$E:$E,'JHB Count'!$F:$F,$A172)-SUMIFS('Weekly Sales'!$F:$F,'Weekly Sales'!$H:$H,$A172,'Weekly Sales'!$I:$I,"JHB")+SUMIFS(Transfers!$F:$F,Transfers!$C:$C,$A172,Transfers!$J:$J,"JHB")-SUMIFS(Transfers!$F:$F,Transfers!$C:$C,$A172,Transfers!$I:$I,"JHB",Transfers!$H:$H,"&lt;&gt;Y")+SUMIFS('Stock Received'!$I:$I,'Stock Received'!$E:$E,$A172,'Stock Received'!$L:$L,"JHB")</f>
        <v>23.4</v>
      </c>
      <c r="G172" s="19" t="n">
        <f aca="false">SUMIFS('DBN Count'!$D:$D,'DBN Count'!$E:$E,$A172)-SUMIFS('Weekly Sales'!$F:$F,'Weekly Sales'!$H:$H,$A172,'Weekly Sales'!$I:$I,"DBN")+SUMIFS(Transfers!$F:$F,Transfers!$C:$C,$A172,Transfers!$J:$J,"DBN")-SUMIFS(Transfers!$F:$F,Transfers!$C:$C,$A172,Transfers!$I:$I,"DBN",Transfers!$H:$H,"&lt;&gt;Y")+SUMIFS('Stock Received'!$I:$I,'Stock Received'!$E:$E,$A172,'Stock Received'!$L:$L,"DBN")</f>
        <v>34.1</v>
      </c>
      <c r="H172" s="29" t="n">
        <f aca="false">E172+F172+G172</f>
        <v>131.8</v>
      </c>
      <c r="I172" s="19" t="n">
        <f aca="false">SUMIFS('Weekly Sales'!$F:$F,'Weekly Sales'!$H:$H,$A172)</f>
        <v>51.15</v>
      </c>
      <c r="J172" s="19" t="n">
        <f aca="false">SUMIFS(Orders!$L:$L,Orders!$D:$D,$A172,Orders!$F:$F,"&gt;="&amp;J$4,Orders!$F:$F,"&lt;"&amp;EDATE(J$4,1))</f>
        <v>0</v>
      </c>
      <c r="K172" s="19" t="n">
        <f aca="false">SUMIFS(Orders!$L:$L,Orders!$D:$D,$A172,Orders!$F:$F,"&gt;="&amp;K$4,Orders!$F:$F,"&lt;"&amp;EDATE(K$4,1))</f>
        <v>300</v>
      </c>
      <c r="L172" s="19" t="n">
        <f aca="false">SUMIFS(Orders!$L:$L,Orders!$D:$D,$A172,Orders!$F:$F,"&gt;="&amp;L$4,Orders!$F:$F,"&lt;"&amp;EDATE(L$4,1))</f>
        <v>0</v>
      </c>
      <c r="M172" s="19" t="n">
        <f aca="false">N172-J172-K172-L172</f>
        <v>0</v>
      </c>
      <c r="N172" s="19" t="n">
        <f aca="false">SUMIFS(Orders!$L:$L,Orders!$D:$D,$A172)</f>
        <v>300</v>
      </c>
      <c r="O172" s="19" t="n">
        <f aca="false">H172+N172</f>
        <v>431.8</v>
      </c>
      <c r="P172" s="30" t="n">
        <v>130</v>
      </c>
      <c r="Q172" s="19" t="n">
        <f aca="false">IF(SUMIFS('Sales History'!$E:$E,'Sales History'!$G:$G,$A172)&gt;0,SUMIFS('Sales History'!$E:$E,'Sales History'!$G:$G,$A172)/Settings!$B$4,N(P172))</f>
        <v>130</v>
      </c>
      <c r="R172" s="18" t="str">
        <f aca="false">IF(SUMIFS('Sales History'!$E:$E,'Sales History'!$G:$G,$A172)&gt;0,"6-month history",IF(N(P172)&gt;0,"Current sheet","No sales data"))</f>
        <v>Current sheet</v>
      </c>
      <c r="S172" s="31" t="n">
        <f aca="false">IF(Q172&gt;0,H172/Q172,"")</f>
        <v>1.01384615384615</v>
      </c>
      <c r="T172" s="30" t="n">
        <v>300</v>
      </c>
      <c r="U172" s="19" t="n">
        <f aca="false">IF(T172="","",MAX(0,T172-O172))</f>
        <v>0</v>
      </c>
      <c r="V172" s="32" t="str">
        <f aca="false">IF(D172="End of range","END OF RANGE",IF(T172="","NO BUFFER SET",IF(H172&lt;=0,IF(O172&lt;T172,"OUT - REORDER","OUT - ON ORDER"),IF(O172&lt;T172,"REORDER",IF(H172&lt;T172,"LOW - ON ORDER",IF(AND(S172&lt;&gt;"",N(S172)&gt;Settings!$B$5),"SLOW MOVER","OK"))))))</f>
        <v>LOW - ON ORDER</v>
      </c>
      <c r="W172" s="18" t="s">
        <v>404</v>
      </c>
      <c r="X172" s="33" t="n">
        <f aca="false">IF(OR(D172="End of range",U172=""),0,IF(N(U172)&gt;0,U172+ROW()/1000000,0))</f>
        <v>0</v>
      </c>
    </row>
    <row r="173" customFormat="false" ht="14.25" hidden="false" customHeight="true" outlineLevel="0" collapsed="false">
      <c r="A173" s="18" t="s">
        <v>427</v>
      </c>
      <c r="B173" s="18" t="s">
        <v>428</v>
      </c>
      <c r="C173" s="18" t="s">
        <v>331</v>
      </c>
      <c r="D173" s="18" t="s">
        <v>80</v>
      </c>
      <c r="E173" s="19" t="n">
        <f aca="false">SUMIFS('CPT Count'!$D:$D,'CPT Count'!$A:$A,$A173)-SUMIFS('Weekly Sales'!$F:$F,'Weekly Sales'!$H:$H,$A173,'Weekly Sales'!$I:$I,"CPT")+SUMIFS(Transfers!$F:$F,Transfers!$C:$C,$A173,Transfers!$J:$J,"CPT")-SUMIFS(Transfers!$F:$F,Transfers!$C:$C,$A173,Transfers!$I:$I,"CPT",Transfers!$H:$H,"&lt;&gt;Y")+SUMIFS('Stock Received'!$I:$I,'Stock Received'!$E:$E,$A173,'Stock Received'!$L:$L,"CPT")</f>
        <v>114.52</v>
      </c>
      <c r="F173" s="19" t="n">
        <f aca="false">SUMIFS('JHB Count'!$E:$E,'JHB Count'!$F:$F,$A173)-SUMIFS('Weekly Sales'!$F:$F,'Weekly Sales'!$H:$H,$A173,'Weekly Sales'!$I:$I,"JHB")+SUMIFS(Transfers!$F:$F,Transfers!$C:$C,$A173,Transfers!$J:$J,"JHB")-SUMIFS(Transfers!$F:$F,Transfers!$C:$C,$A173,Transfers!$I:$I,"JHB",Transfers!$H:$H,"&lt;&gt;Y")+SUMIFS('Stock Received'!$I:$I,'Stock Received'!$E:$E,$A173,'Stock Received'!$L:$L,"JHB")</f>
        <v>27.18</v>
      </c>
      <c r="G173" s="19" t="n">
        <f aca="false">SUMIFS('DBN Count'!$D:$D,'DBN Count'!$E:$E,$A173)-SUMIFS('Weekly Sales'!$F:$F,'Weekly Sales'!$H:$H,$A173,'Weekly Sales'!$I:$I,"DBN")+SUMIFS(Transfers!$F:$F,Transfers!$C:$C,$A173,Transfers!$J:$J,"DBN")-SUMIFS(Transfers!$F:$F,Transfers!$C:$C,$A173,Transfers!$I:$I,"DBN",Transfers!$H:$H,"&lt;&gt;Y")+SUMIFS('Stock Received'!$I:$I,'Stock Received'!$E:$E,$A173,'Stock Received'!$L:$L,"DBN")</f>
        <v>2.18</v>
      </c>
      <c r="H173" s="29" t="n">
        <f aca="false">E173+F173+G173</f>
        <v>143.88</v>
      </c>
      <c r="I173" s="19" t="n">
        <f aca="false">SUMIFS('Weekly Sales'!$F:$F,'Weekly Sales'!$H:$H,$A173)</f>
        <v>9.5</v>
      </c>
      <c r="J173" s="19" t="n">
        <f aca="false">SUMIFS(Orders!$L:$L,Orders!$D:$D,$A173,Orders!$F:$F,"&gt;="&amp;J$4,Orders!$F:$F,"&lt;"&amp;EDATE(J$4,1))</f>
        <v>0</v>
      </c>
      <c r="K173" s="19" t="n">
        <f aca="false">SUMIFS(Orders!$L:$L,Orders!$D:$D,$A173,Orders!$F:$F,"&gt;="&amp;K$4,Orders!$F:$F,"&lt;"&amp;EDATE(K$4,1))</f>
        <v>300</v>
      </c>
      <c r="L173" s="19" t="n">
        <f aca="false">SUMIFS(Orders!$L:$L,Orders!$D:$D,$A173,Orders!$F:$F,"&gt;="&amp;L$4,Orders!$F:$F,"&lt;"&amp;EDATE(L$4,1))</f>
        <v>0</v>
      </c>
      <c r="M173" s="19" t="n">
        <f aca="false">N173-J173-K173-L173</f>
        <v>0</v>
      </c>
      <c r="N173" s="19" t="n">
        <f aca="false">SUMIFS(Orders!$L:$L,Orders!$D:$D,$A173)</f>
        <v>300</v>
      </c>
      <c r="O173" s="19" t="n">
        <f aca="false">H173+N173</f>
        <v>443.88</v>
      </c>
      <c r="P173" s="30" t="n">
        <v>80</v>
      </c>
      <c r="Q173" s="19" t="n">
        <f aca="false">IF(SUMIFS('Sales History'!$E:$E,'Sales History'!$G:$G,$A173)&gt;0,SUMIFS('Sales History'!$E:$E,'Sales History'!$G:$G,$A173)/Settings!$B$4,N(P173))</f>
        <v>80</v>
      </c>
      <c r="R173" s="18" t="str">
        <f aca="false">IF(SUMIFS('Sales History'!$E:$E,'Sales History'!$G:$G,$A173)&gt;0,"6-month history",IF(N(P173)&gt;0,"Current sheet","No sales data"))</f>
        <v>Current sheet</v>
      </c>
      <c r="S173" s="31" t="n">
        <f aca="false">IF(Q173&gt;0,H173/Q173,"")</f>
        <v>1.7985</v>
      </c>
      <c r="T173" s="30" t="n">
        <v>300</v>
      </c>
      <c r="U173" s="19" t="n">
        <f aca="false">IF(T173="","",MAX(0,T173-O173))</f>
        <v>0</v>
      </c>
      <c r="V173" s="32" t="str">
        <f aca="false">IF(D173="End of range","END OF RANGE",IF(T173="","NO BUFFER SET",IF(H173&lt;=0,IF(O173&lt;T173,"OUT - REORDER","OUT - ON ORDER"),IF(O173&lt;T173,"REORDER",IF(H173&lt;T173,"LOW - ON ORDER",IF(AND(S173&lt;&gt;"",N(S173)&gt;Settings!$B$5),"SLOW MOVER","OK"))))))</f>
        <v>LOW - ON ORDER</v>
      </c>
      <c r="W173" s="18"/>
      <c r="X173" s="33" t="n">
        <f aca="false">IF(OR(D173="End of range",U173=""),0,IF(N(U173)&gt;0,U173+ROW()/1000000,0))</f>
        <v>0</v>
      </c>
    </row>
    <row r="174" customFormat="false" ht="14.25" hidden="false" customHeight="true" outlineLevel="0" collapsed="false">
      <c r="A174" s="18" t="s">
        <v>429</v>
      </c>
      <c r="B174" s="18" t="s">
        <v>430</v>
      </c>
      <c r="C174" s="18" t="s">
        <v>331</v>
      </c>
      <c r="D174" s="18" t="s">
        <v>80</v>
      </c>
      <c r="E174" s="19" t="n">
        <f aca="false">SUMIFS('CPT Count'!$D:$D,'CPT Count'!$A:$A,$A174)-SUMIFS('Weekly Sales'!$F:$F,'Weekly Sales'!$H:$H,$A174,'Weekly Sales'!$I:$I,"CPT")+SUMIFS(Transfers!$F:$F,Transfers!$C:$C,$A174,Transfers!$J:$J,"CPT")-SUMIFS(Transfers!$F:$F,Transfers!$C:$C,$A174,Transfers!$I:$I,"CPT",Transfers!$H:$H,"&lt;&gt;Y")+SUMIFS('Stock Received'!$I:$I,'Stock Received'!$E:$E,$A174,'Stock Received'!$L:$L,"CPT")</f>
        <v>199.79</v>
      </c>
      <c r="F174" s="19" t="n">
        <f aca="false">SUMIFS('JHB Count'!$E:$E,'JHB Count'!$F:$F,$A174)-SUMIFS('Weekly Sales'!$F:$F,'Weekly Sales'!$H:$H,$A174,'Weekly Sales'!$I:$I,"JHB")+SUMIFS(Transfers!$F:$F,Transfers!$C:$C,$A174,Transfers!$J:$J,"JHB")-SUMIFS(Transfers!$F:$F,Transfers!$C:$C,$A174,Transfers!$I:$I,"JHB",Transfers!$H:$H,"&lt;&gt;Y")+SUMIFS('Stock Received'!$I:$I,'Stock Received'!$E:$E,$A174,'Stock Received'!$L:$L,"JHB")</f>
        <v>37.38</v>
      </c>
      <c r="G174" s="19" t="n">
        <f aca="false">SUMIFS('DBN Count'!$D:$D,'DBN Count'!$E:$E,$A174)-SUMIFS('Weekly Sales'!$F:$F,'Weekly Sales'!$H:$H,$A174,'Weekly Sales'!$I:$I,"DBN")+SUMIFS(Transfers!$F:$F,Transfers!$C:$C,$A174,Transfers!$J:$J,"DBN")-SUMIFS(Transfers!$F:$F,Transfers!$C:$C,$A174,Transfers!$I:$I,"DBN",Transfers!$H:$H,"&lt;&gt;Y")+SUMIFS('Stock Received'!$I:$I,'Stock Received'!$E:$E,$A174,'Stock Received'!$L:$L,"DBN")</f>
        <v>29.89</v>
      </c>
      <c r="H174" s="29" t="n">
        <f aca="false">E174+F174+G174</f>
        <v>267.06</v>
      </c>
      <c r="I174" s="19" t="n">
        <f aca="false">SUMIFS('Weekly Sales'!$F:$F,'Weekly Sales'!$H:$H,$A174)</f>
        <v>25.83</v>
      </c>
      <c r="J174" s="19" t="n">
        <f aca="false">SUMIFS(Orders!$L:$L,Orders!$D:$D,$A174,Orders!$F:$F,"&gt;="&amp;J$4,Orders!$F:$F,"&lt;"&amp;EDATE(J$4,1))</f>
        <v>0</v>
      </c>
      <c r="K174" s="19" t="n">
        <f aca="false">SUMIFS(Orders!$L:$L,Orders!$D:$D,$A174,Orders!$F:$F,"&gt;="&amp;K$4,Orders!$F:$F,"&lt;"&amp;EDATE(K$4,1))</f>
        <v>300</v>
      </c>
      <c r="L174" s="19" t="n">
        <f aca="false">SUMIFS(Orders!$L:$L,Orders!$D:$D,$A174,Orders!$F:$F,"&gt;="&amp;L$4,Orders!$F:$F,"&lt;"&amp;EDATE(L$4,1))</f>
        <v>0</v>
      </c>
      <c r="M174" s="19" t="n">
        <f aca="false">N174-J174-K174-L174</f>
        <v>0</v>
      </c>
      <c r="N174" s="19" t="n">
        <f aca="false">SUMIFS(Orders!$L:$L,Orders!$D:$D,$A174)</f>
        <v>300</v>
      </c>
      <c r="O174" s="19" t="n">
        <f aca="false">H174+N174</f>
        <v>567.06</v>
      </c>
      <c r="P174" s="30" t="n">
        <v>105</v>
      </c>
      <c r="Q174" s="19" t="n">
        <f aca="false">IF(SUMIFS('Sales History'!$E:$E,'Sales History'!$G:$G,$A174)&gt;0,SUMIFS('Sales History'!$E:$E,'Sales History'!$G:$G,$A174)/Settings!$B$4,N(P174))</f>
        <v>105</v>
      </c>
      <c r="R174" s="18" t="str">
        <f aca="false">IF(SUMIFS('Sales History'!$E:$E,'Sales History'!$G:$G,$A174)&gt;0,"6-month history",IF(N(P174)&gt;0,"Current sheet","No sales data"))</f>
        <v>Current sheet</v>
      </c>
      <c r="S174" s="31" t="n">
        <f aca="false">IF(Q174&gt;0,H174/Q174,"")</f>
        <v>2.54342857142857</v>
      </c>
      <c r="T174" s="30" t="n">
        <v>300</v>
      </c>
      <c r="U174" s="19" t="n">
        <f aca="false">IF(T174="","",MAX(0,T174-O174))</f>
        <v>0</v>
      </c>
      <c r="V174" s="32" t="str">
        <f aca="false">IF(D174="End of range","END OF RANGE",IF(T174="","NO BUFFER SET",IF(H174&lt;=0,IF(O174&lt;T174,"OUT - REORDER","OUT - ON ORDER"),IF(O174&lt;T174,"REORDER",IF(H174&lt;T174,"LOW - ON ORDER",IF(AND(S174&lt;&gt;"",N(S174)&gt;Settings!$B$5),"SLOW MOVER","OK"))))))</f>
        <v>LOW - ON ORDER</v>
      </c>
      <c r="W174" s="18"/>
      <c r="X174" s="33" t="n">
        <f aca="false">IF(OR(D174="End of range",U174=""),0,IF(N(U174)&gt;0,U174+ROW()/1000000,0))</f>
        <v>0</v>
      </c>
    </row>
    <row r="175" customFormat="false" ht="14.25" hidden="false" customHeight="true" outlineLevel="0" collapsed="false">
      <c r="A175" s="18" t="s">
        <v>431</v>
      </c>
      <c r="B175" s="18" t="s">
        <v>432</v>
      </c>
      <c r="C175" s="18" t="s">
        <v>331</v>
      </c>
      <c r="D175" s="18" t="s">
        <v>80</v>
      </c>
      <c r="E175" s="19" t="n">
        <f aca="false">SUMIFS('CPT Count'!$D:$D,'CPT Count'!$A:$A,$A175)-SUMIFS('Weekly Sales'!$F:$F,'Weekly Sales'!$H:$H,$A175,'Weekly Sales'!$I:$I,"CPT")+SUMIFS(Transfers!$F:$F,Transfers!$C:$C,$A175,Transfers!$J:$J,"CPT")-SUMIFS(Transfers!$F:$F,Transfers!$C:$C,$A175,Transfers!$I:$I,"CPT",Transfers!$H:$H,"&lt;&gt;Y")+SUMIFS('Stock Received'!$I:$I,'Stock Received'!$E:$E,$A175,'Stock Received'!$L:$L,"CPT")</f>
        <v>166.45</v>
      </c>
      <c r="F175" s="19" t="n">
        <f aca="false">SUMIFS('JHB Count'!$E:$E,'JHB Count'!$F:$F,$A175)-SUMIFS('Weekly Sales'!$F:$F,'Weekly Sales'!$H:$H,$A175,'Weekly Sales'!$I:$I,"JHB")+SUMIFS(Transfers!$F:$F,Transfers!$C:$C,$A175,Transfers!$J:$J,"JHB")-SUMIFS(Transfers!$F:$F,Transfers!$C:$C,$A175,Transfers!$I:$I,"JHB",Transfers!$H:$H,"&lt;&gt;Y")+SUMIFS('Stock Received'!$I:$I,'Stock Received'!$E:$E,$A175,'Stock Received'!$L:$L,"JHB")</f>
        <v>0</v>
      </c>
      <c r="G175" s="19" t="n">
        <f aca="false">SUMIFS('DBN Count'!$D:$D,'DBN Count'!$E:$E,$A175)-SUMIFS('Weekly Sales'!$F:$F,'Weekly Sales'!$H:$H,$A175,'Weekly Sales'!$I:$I,"DBN")+SUMIFS(Transfers!$F:$F,Transfers!$C:$C,$A175,Transfers!$J:$J,"DBN")-SUMIFS(Transfers!$F:$F,Transfers!$C:$C,$A175,Transfers!$I:$I,"DBN",Transfers!$H:$H,"&lt;&gt;Y")+SUMIFS('Stock Received'!$I:$I,'Stock Received'!$E:$E,$A175,'Stock Received'!$L:$L,"DBN")</f>
        <v>0</v>
      </c>
      <c r="H175" s="29" t="n">
        <f aca="false">E175+F175+G175</f>
        <v>166.45</v>
      </c>
      <c r="I175" s="19" t="n">
        <f aca="false">SUMIFS('Weekly Sales'!$F:$F,'Weekly Sales'!$H:$H,$A175)</f>
        <v>19.55</v>
      </c>
      <c r="J175" s="19" t="n">
        <f aca="false">SUMIFS(Orders!$L:$L,Orders!$D:$D,$A175,Orders!$F:$F,"&gt;="&amp;J$4,Orders!$F:$F,"&lt;"&amp;EDATE(J$4,1))</f>
        <v>0</v>
      </c>
      <c r="K175" s="19" t="n">
        <f aca="false">SUMIFS(Orders!$L:$L,Orders!$D:$D,$A175,Orders!$F:$F,"&gt;="&amp;K$4,Orders!$F:$F,"&lt;"&amp;EDATE(K$4,1))</f>
        <v>0</v>
      </c>
      <c r="L175" s="19" t="n">
        <f aca="false">SUMIFS(Orders!$L:$L,Orders!$D:$D,$A175,Orders!$F:$F,"&gt;="&amp;L$4,Orders!$F:$F,"&lt;"&amp;EDATE(L$4,1))</f>
        <v>300</v>
      </c>
      <c r="M175" s="19" t="n">
        <f aca="false">N175-J175-K175-L175</f>
        <v>0</v>
      </c>
      <c r="N175" s="19" t="n">
        <f aca="false">SUMIFS(Orders!$L:$L,Orders!$D:$D,$A175)</f>
        <v>300</v>
      </c>
      <c r="O175" s="19" t="n">
        <f aca="false">H175+N175</f>
        <v>466.45</v>
      </c>
      <c r="P175" s="30" t="n">
        <v>50</v>
      </c>
      <c r="Q175" s="19" t="n">
        <f aca="false">IF(SUMIFS('Sales History'!$E:$E,'Sales History'!$G:$G,$A175)&gt;0,SUMIFS('Sales History'!$E:$E,'Sales History'!$G:$G,$A175)/Settings!$B$4,N(P175))</f>
        <v>50</v>
      </c>
      <c r="R175" s="18" t="str">
        <f aca="false">IF(SUMIFS('Sales History'!$E:$E,'Sales History'!$G:$G,$A175)&gt;0,"6-month history",IF(N(P175)&gt;0,"Current sheet","No sales data"))</f>
        <v>Current sheet</v>
      </c>
      <c r="S175" s="31" t="n">
        <f aca="false">IF(Q175&gt;0,H175/Q175,"")</f>
        <v>3.329</v>
      </c>
      <c r="T175" s="30" t="n">
        <v>300</v>
      </c>
      <c r="U175" s="19" t="n">
        <f aca="false">IF(T175="","",MAX(0,T175-O175))</f>
        <v>0</v>
      </c>
      <c r="V175" s="32" t="str">
        <f aca="false">IF(D175="End of range","END OF RANGE",IF(T175="","NO BUFFER SET",IF(H175&lt;=0,IF(O175&lt;T175,"OUT - REORDER","OUT - ON ORDER"),IF(O175&lt;T175,"REORDER",IF(H175&lt;T175,"LOW - ON ORDER",IF(AND(S175&lt;&gt;"",N(S175)&gt;Settings!$B$5),"SLOW MOVER","OK"))))))</f>
        <v>LOW - ON ORDER</v>
      </c>
      <c r="W175" s="18"/>
      <c r="X175" s="33" t="n">
        <f aca="false">IF(OR(D175="End of range",U175=""),0,IF(N(U175)&gt;0,U175+ROW()/1000000,0))</f>
        <v>0</v>
      </c>
    </row>
    <row r="176" customFormat="false" ht="14.25" hidden="false" customHeight="true" outlineLevel="0" collapsed="false">
      <c r="A176" s="18" t="s">
        <v>433</v>
      </c>
      <c r="B176" s="18" t="s">
        <v>434</v>
      </c>
      <c r="C176" s="18" t="s">
        <v>331</v>
      </c>
      <c r="D176" s="18" t="s">
        <v>80</v>
      </c>
      <c r="E176" s="19" t="n">
        <f aca="false">SUMIFS('CPT Count'!$D:$D,'CPT Count'!$A:$A,$A176)-SUMIFS('Weekly Sales'!$F:$F,'Weekly Sales'!$H:$H,$A176,'Weekly Sales'!$I:$I,"CPT")+SUMIFS(Transfers!$F:$F,Transfers!$C:$C,$A176,Transfers!$J:$J,"CPT")-SUMIFS(Transfers!$F:$F,Transfers!$C:$C,$A176,Transfers!$I:$I,"CPT",Transfers!$H:$H,"&lt;&gt;Y")+SUMIFS('Stock Received'!$I:$I,'Stock Received'!$E:$E,$A176,'Stock Received'!$L:$L,"CPT")</f>
        <v>369</v>
      </c>
      <c r="F176" s="19" t="n">
        <f aca="false">SUMIFS('JHB Count'!$E:$E,'JHB Count'!$F:$F,$A176)-SUMIFS('Weekly Sales'!$F:$F,'Weekly Sales'!$H:$H,$A176,'Weekly Sales'!$I:$I,"JHB")+SUMIFS(Transfers!$F:$F,Transfers!$C:$C,$A176,Transfers!$J:$J,"JHB")-SUMIFS(Transfers!$F:$F,Transfers!$C:$C,$A176,Transfers!$I:$I,"JHB",Transfers!$H:$H,"&lt;&gt;Y")+SUMIFS('Stock Received'!$I:$I,'Stock Received'!$E:$E,$A176,'Stock Received'!$L:$L,"JHB")</f>
        <v>23.65</v>
      </c>
      <c r="G176" s="19" t="n">
        <f aca="false">SUMIFS('DBN Count'!$D:$D,'DBN Count'!$E:$E,$A176)-SUMIFS('Weekly Sales'!$F:$F,'Weekly Sales'!$H:$H,$A176,'Weekly Sales'!$I:$I,"DBN")+SUMIFS(Transfers!$F:$F,Transfers!$C:$C,$A176,Transfers!$J:$J,"DBN")-SUMIFS(Transfers!$F:$F,Transfers!$C:$C,$A176,Transfers!$I:$I,"DBN",Transfers!$H:$H,"&lt;&gt;Y")+SUMIFS('Stock Received'!$I:$I,'Stock Received'!$E:$E,$A176,'Stock Received'!$L:$L,"DBN")</f>
        <v>29.65</v>
      </c>
      <c r="H176" s="29" t="n">
        <f aca="false">E176+F176+G176</f>
        <v>422.3</v>
      </c>
      <c r="I176" s="19" t="n">
        <f aca="false">SUMIFS('Weekly Sales'!$F:$F,'Weekly Sales'!$H:$H,$A176)</f>
        <v>1.55</v>
      </c>
      <c r="J176" s="19" t="n">
        <f aca="false">SUMIFS(Orders!$L:$L,Orders!$D:$D,$A176,Orders!$F:$F,"&gt;="&amp;J$4,Orders!$F:$F,"&lt;"&amp;EDATE(J$4,1))</f>
        <v>0</v>
      </c>
      <c r="K176" s="19" t="n">
        <f aca="false">SUMIFS(Orders!$L:$L,Orders!$D:$D,$A176,Orders!$F:$F,"&gt;="&amp;K$4,Orders!$F:$F,"&lt;"&amp;EDATE(K$4,1))</f>
        <v>0</v>
      </c>
      <c r="L176" s="19" t="n">
        <f aca="false">SUMIFS(Orders!$L:$L,Orders!$D:$D,$A176,Orders!$F:$F,"&gt;="&amp;L$4,Orders!$F:$F,"&lt;"&amp;EDATE(L$4,1))</f>
        <v>0</v>
      </c>
      <c r="M176" s="19" t="n">
        <f aca="false">N176-J176-K176-L176</f>
        <v>0</v>
      </c>
      <c r="N176" s="19" t="n">
        <f aca="false">SUMIFS(Orders!$L:$L,Orders!$D:$D,$A176)</f>
        <v>0</v>
      </c>
      <c r="O176" s="19" t="n">
        <f aca="false">H176+N176</f>
        <v>422.3</v>
      </c>
      <c r="P176" s="30" t="n">
        <v>40</v>
      </c>
      <c r="Q176" s="19" t="n">
        <f aca="false">IF(SUMIFS('Sales History'!$E:$E,'Sales History'!$G:$G,$A176)&gt;0,SUMIFS('Sales History'!$E:$E,'Sales History'!$G:$G,$A176)/Settings!$B$4,N(P176))</f>
        <v>40</v>
      </c>
      <c r="R176" s="18" t="str">
        <f aca="false">IF(SUMIFS('Sales History'!$E:$E,'Sales History'!$G:$G,$A176)&gt;0,"6-month history",IF(N(P176)&gt;0,"Current sheet","No sales data"))</f>
        <v>Current sheet</v>
      </c>
      <c r="S176" s="31" t="n">
        <f aca="false">IF(Q176&gt;0,H176/Q176,"")</f>
        <v>10.5575</v>
      </c>
      <c r="T176" s="30" t="n">
        <v>300</v>
      </c>
      <c r="U176" s="19" t="n">
        <f aca="false">IF(T176="","",MAX(0,T176-O176))</f>
        <v>0</v>
      </c>
      <c r="V176" s="32" t="str">
        <f aca="false">IF(D176="End of range","END OF RANGE",IF(T176="","NO BUFFER SET",IF(H176&lt;=0,IF(O176&lt;T176,"OUT - REORDER","OUT - ON ORDER"),IF(O176&lt;T176,"REORDER",IF(H176&lt;T176,"LOW - ON ORDER",IF(AND(S176&lt;&gt;"",N(S176)&gt;Settings!$B$5),"SLOW MOVER","OK"))))))</f>
        <v>OK</v>
      </c>
      <c r="W176" s="18"/>
      <c r="X176" s="33" t="n">
        <f aca="false">IF(OR(D176="End of range",U176=""),0,IF(N(U176)&gt;0,U176+ROW()/1000000,0))</f>
        <v>0</v>
      </c>
    </row>
    <row r="177" customFormat="false" ht="14.25" hidden="false" customHeight="true" outlineLevel="0" collapsed="false">
      <c r="A177" s="18" t="s">
        <v>435</v>
      </c>
      <c r="B177" s="18" t="s">
        <v>436</v>
      </c>
      <c r="C177" s="18" t="s">
        <v>331</v>
      </c>
      <c r="D177" s="18" t="s">
        <v>80</v>
      </c>
      <c r="E177" s="19" t="n">
        <f aca="false">SUMIFS('CPT Count'!$D:$D,'CPT Count'!$A:$A,$A177)-SUMIFS('Weekly Sales'!$F:$F,'Weekly Sales'!$H:$H,$A177,'Weekly Sales'!$I:$I,"CPT")+SUMIFS(Transfers!$F:$F,Transfers!$C:$C,$A177,Transfers!$J:$J,"CPT")-SUMIFS(Transfers!$F:$F,Transfers!$C:$C,$A177,Transfers!$I:$I,"CPT",Transfers!$H:$H,"&lt;&gt;Y")+SUMIFS('Stock Received'!$I:$I,'Stock Received'!$E:$E,$A177,'Stock Received'!$L:$L,"CPT")</f>
        <v>211</v>
      </c>
      <c r="F177" s="19" t="n">
        <f aca="false">SUMIFS('JHB Count'!$E:$E,'JHB Count'!$F:$F,$A177)-SUMIFS('Weekly Sales'!$F:$F,'Weekly Sales'!$H:$H,$A177,'Weekly Sales'!$I:$I,"JHB")+SUMIFS(Transfers!$F:$F,Transfers!$C:$C,$A177,Transfers!$J:$J,"JHB")-SUMIFS(Transfers!$F:$F,Transfers!$C:$C,$A177,Transfers!$I:$I,"JHB",Transfers!$H:$H,"&lt;&gt;Y")+SUMIFS('Stock Received'!$I:$I,'Stock Received'!$E:$E,$A177,'Stock Received'!$L:$L,"JHB")</f>
        <v>45</v>
      </c>
      <c r="G177" s="19" t="n">
        <f aca="false">SUMIFS('DBN Count'!$D:$D,'DBN Count'!$E:$E,$A177)-SUMIFS('Weekly Sales'!$F:$F,'Weekly Sales'!$H:$H,$A177,'Weekly Sales'!$I:$I,"DBN")+SUMIFS(Transfers!$F:$F,Transfers!$C:$C,$A177,Transfers!$J:$J,"DBN")-SUMIFS(Transfers!$F:$F,Transfers!$C:$C,$A177,Transfers!$I:$I,"DBN",Transfers!$H:$H,"&lt;&gt;Y")+SUMIFS('Stock Received'!$I:$I,'Stock Received'!$E:$E,$A177,'Stock Received'!$L:$L,"DBN")</f>
        <v>14.42</v>
      </c>
      <c r="H177" s="29" t="n">
        <f aca="false">E177+F177+G177</f>
        <v>270.42</v>
      </c>
      <c r="I177" s="19" t="n">
        <f aca="false">SUMIFS('Weekly Sales'!$F:$F,'Weekly Sales'!$H:$H,$A177)</f>
        <v>0</v>
      </c>
      <c r="J177" s="19" t="n">
        <f aca="false">SUMIFS(Orders!$L:$L,Orders!$D:$D,$A177,Orders!$F:$F,"&gt;="&amp;J$4,Orders!$F:$F,"&lt;"&amp;EDATE(J$4,1))</f>
        <v>0</v>
      </c>
      <c r="K177" s="19" t="n">
        <f aca="false">SUMIFS(Orders!$L:$L,Orders!$D:$D,$A177,Orders!$F:$F,"&gt;="&amp;K$4,Orders!$F:$F,"&lt;"&amp;EDATE(K$4,1))</f>
        <v>0</v>
      </c>
      <c r="L177" s="19" t="n">
        <f aca="false">SUMIFS(Orders!$L:$L,Orders!$D:$D,$A177,Orders!$F:$F,"&gt;="&amp;L$4,Orders!$F:$F,"&lt;"&amp;EDATE(L$4,1))</f>
        <v>0</v>
      </c>
      <c r="M177" s="19" t="n">
        <f aca="false">N177-J177-K177-L177</f>
        <v>0</v>
      </c>
      <c r="N177" s="19" t="n">
        <f aca="false">SUMIFS(Orders!$L:$L,Orders!$D:$D,$A177)</f>
        <v>0</v>
      </c>
      <c r="O177" s="19" t="n">
        <f aca="false">H177+N177</f>
        <v>270.42</v>
      </c>
      <c r="P177" s="30" t="n">
        <v>50</v>
      </c>
      <c r="Q177" s="19" t="n">
        <f aca="false">IF(SUMIFS('Sales History'!$E:$E,'Sales History'!$G:$G,$A177)&gt;0,SUMIFS('Sales History'!$E:$E,'Sales History'!$G:$G,$A177)/Settings!$B$4,N(P177))</f>
        <v>50</v>
      </c>
      <c r="R177" s="18" t="str">
        <f aca="false">IF(SUMIFS('Sales History'!$E:$E,'Sales History'!$G:$G,$A177)&gt;0,"6-month history",IF(N(P177)&gt;0,"Current sheet","No sales data"))</f>
        <v>Current sheet</v>
      </c>
      <c r="S177" s="31" t="n">
        <f aca="false">IF(Q177&gt;0,H177/Q177,"")</f>
        <v>5.4084</v>
      </c>
      <c r="T177" s="30" t="n">
        <v>200</v>
      </c>
      <c r="U177" s="19" t="n">
        <f aca="false">IF(T177="","",MAX(0,T177-O177))</f>
        <v>0</v>
      </c>
      <c r="V177" s="32" t="str">
        <f aca="false">IF(D177="End of range","END OF RANGE",IF(T177="","NO BUFFER SET",IF(H177&lt;=0,IF(O177&lt;T177,"OUT - REORDER","OUT - ON ORDER"),IF(O177&lt;T177,"REORDER",IF(H177&lt;T177,"LOW - ON ORDER",IF(AND(S177&lt;&gt;"",N(S177)&gt;Settings!$B$5),"SLOW MOVER","OK"))))))</f>
        <v>OK</v>
      </c>
      <c r="W177" s="18" t="s">
        <v>404</v>
      </c>
      <c r="X177" s="33" t="n">
        <f aca="false">IF(OR(D177="End of range",U177=""),0,IF(N(U177)&gt;0,U177+ROW()/1000000,0))</f>
        <v>0</v>
      </c>
    </row>
    <row r="178" customFormat="false" ht="14.25" hidden="false" customHeight="true" outlineLevel="0" collapsed="false">
      <c r="A178" s="18" t="s">
        <v>437</v>
      </c>
      <c r="B178" s="18" t="s">
        <v>438</v>
      </c>
      <c r="C178" s="18" t="s">
        <v>331</v>
      </c>
      <c r="D178" s="18" t="s">
        <v>80</v>
      </c>
      <c r="E178" s="19" t="n">
        <f aca="false">SUMIFS('CPT Count'!$D:$D,'CPT Count'!$A:$A,$A178)-SUMIFS('Weekly Sales'!$F:$F,'Weekly Sales'!$H:$H,$A178,'Weekly Sales'!$I:$I,"CPT")+SUMIFS(Transfers!$F:$F,Transfers!$C:$C,$A178,Transfers!$J:$J,"CPT")-SUMIFS(Transfers!$F:$F,Transfers!$C:$C,$A178,Transfers!$I:$I,"CPT",Transfers!$H:$H,"&lt;&gt;Y")+SUMIFS('Stock Received'!$I:$I,'Stock Received'!$E:$E,$A178,'Stock Received'!$L:$L,"CPT")</f>
        <v>166.49</v>
      </c>
      <c r="F178" s="19" t="n">
        <f aca="false">SUMIFS('JHB Count'!$E:$E,'JHB Count'!$F:$F,$A178)-SUMIFS('Weekly Sales'!$F:$F,'Weekly Sales'!$H:$H,$A178,'Weekly Sales'!$I:$I,"JHB")+SUMIFS(Transfers!$F:$F,Transfers!$C:$C,$A178,Transfers!$J:$J,"JHB")-SUMIFS(Transfers!$F:$F,Transfers!$C:$C,$A178,Transfers!$I:$I,"JHB",Transfers!$H:$H,"&lt;&gt;Y")+SUMIFS('Stock Received'!$I:$I,'Stock Received'!$E:$E,$A178,'Stock Received'!$L:$L,"JHB")</f>
        <v>7.58</v>
      </c>
      <c r="G178" s="19" t="n">
        <f aca="false">SUMIFS('DBN Count'!$D:$D,'DBN Count'!$E:$E,$A178)-SUMIFS('Weekly Sales'!$F:$F,'Weekly Sales'!$H:$H,$A178,'Weekly Sales'!$I:$I,"DBN")+SUMIFS(Transfers!$F:$F,Transfers!$C:$C,$A178,Transfers!$J:$J,"DBN")-SUMIFS(Transfers!$F:$F,Transfers!$C:$C,$A178,Transfers!$I:$I,"DBN",Transfers!$H:$H,"&lt;&gt;Y")+SUMIFS('Stock Received'!$I:$I,'Stock Received'!$E:$E,$A178,'Stock Received'!$L:$L,"DBN")</f>
        <v>15.51</v>
      </c>
      <c r="H178" s="29" t="n">
        <f aca="false">E178+F178+G178</f>
        <v>189.58</v>
      </c>
      <c r="I178" s="19" t="n">
        <f aca="false">SUMIFS('Weekly Sales'!$F:$F,'Weekly Sales'!$H:$H,$A178)</f>
        <v>5.73</v>
      </c>
      <c r="J178" s="19" t="n">
        <f aca="false">SUMIFS(Orders!$L:$L,Orders!$D:$D,$A178,Orders!$F:$F,"&gt;="&amp;J$4,Orders!$F:$F,"&lt;"&amp;EDATE(J$4,1))</f>
        <v>0</v>
      </c>
      <c r="K178" s="19" t="n">
        <f aca="false">SUMIFS(Orders!$L:$L,Orders!$D:$D,$A178,Orders!$F:$F,"&gt;="&amp;K$4,Orders!$F:$F,"&lt;"&amp;EDATE(K$4,1))</f>
        <v>0</v>
      </c>
      <c r="L178" s="19" t="n">
        <f aca="false">SUMIFS(Orders!$L:$L,Orders!$D:$D,$A178,Orders!$F:$F,"&gt;="&amp;L$4,Orders!$F:$F,"&lt;"&amp;EDATE(L$4,1))</f>
        <v>0</v>
      </c>
      <c r="M178" s="19" t="n">
        <f aca="false">N178-J178-K178-L178</f>
        <v>0</v>
      </c>
      <c r="N178" s="19" t="n">
        <f aca="false">SUMIFS(Orders!$L:$L,Orders!$D:$D,$A178)</f>
        <v>0</v>
      </c>
      <c r="O178" s="19" t="n">
        <f aca="false">H178+N178</f>
        <v>189.58</v>
      </c>
      <c r="P178" s="30" t="n">
        <v>30</v>
      </c>
      <c r="Q178" s="19" t="n">
        <f aca="false">IF(SUMIFS('Sales History'!$E:$E,'Sales History'!$G:$G,$A178)&gt;0,SUMIFS('Sales History'!$E:$E,'Sales History'!$G:$G,$A178)/Settings!$B$4,N(P178))</f>
        <v>30</v>
      </c>
      <c r="R178" s="18" t="str">
        <f aca="false">IF(SUMIFS('Sales History'!$E:$E,'Sales History'!$G:$G,$A178)&gt;0,"6-month history",IF(N(P178)&gt;0,"Current sheet","No sales data"))</f>
        <v>Current sheet</v>
      </c>
      <c r="S178" s="31" t="n">
        <f aca="false">IF(Q178&gt;0,H178/Q178,"")</f>
        <v>6.31933333333333</v>
      </c>
      <c r="T178" s="30" t="n">
        <v>200</v>
      </c>
      <c r="U178" s="19" t="n">
        <f aca="false">IF(T178="","",MAX(0,T178-O178))</f>
        <v>10.42</v>
      </c>
      <c r="V178" s="32" t="str">
        <f aca="false">IF(D178="End of range","END OF RANGE",IF(T178="","NO BUFFER SET",IF(H178&lt;=0,IF(O178&lt;T178,"OUT - REORDER","OUT - ON ORDER"),IF(O178&lt;T178,"REORDER",IF(H178&lt;T178,"LOW - ON ORDER",IF(AND(S178&lt;&gt;"",N(S178)&gt;Settings!$B$5),"SLOW MOVER","OK"))))))</f>
        <v>REORDER</v>
      </c>
      <c r="W178" s="18"/>
      <c r="X178" s="33" t="n">
        <f aca="false">IF(OR(D178="End of range",U178=""),0,IF(N(U178)&gt;0,U178+ROW()/1000000,0))</f>
        <v>10.420178</v>
      </c>
    </row>
    <row r="179" customFormat="false" ht="14.25" hidden="false" customHeight="true" outlineLevel="0" collapsed="false">
      <c r="A179" s="18" t="s">
        <v>439</v>
      </c>
      <c r="B179" s="18" t="s">
        <v>440</v>
      </c>
      <c r="C179" s="18" t="s">
        <v>331</v>
      </c>
      <c r="D179" s="18" t="s">
        <v>80</v>
      </c>
      <c r="E179" s="19" t="n">
        <f aca="false">SUMIFS('CPT Count'!$D:$D,'CPT Count'!$A:$A,$A179)-SUMIFS('Weekly Sales'!$F:$F,'Weekly Sales'!$H:$H,$A179,'Weekly Sales'!$I:$I,"CPT")+SUMIFS(Transfers!$F:$F,Transfers!$C:$C,$A179,Transfers!$J:$J,"CPT")-SUMIFS(Transfers!$F:$F,Transfers!$C:$C,$A179,Transfers!$I:$I,"CPT",Transfers!$H:$H,"&lt;&gt;Y")+SUMIFS('Stock Received'!$I:$I,'Stock Received'!$E:$E,$A179,'Stock Received'!$L:$L,"CPT")</f>
        <v>376.99</v>
      </c>
      <c r="F179" s="19" t="n">
        <f aca="false">SUMIFS('JHB Count'!$E:$E,'JHB Count'!$F:$F,$A179)-SUMIFS('Weekly Sales'!$F:$F,'Weekly Sales'!$H:$H,$A179,'Weekly Sales'!$I:$I,"JHB")+SUMIFS(Transfers!$F:$F,Transfers!$C:$C,$A179,Transfers!$J:$J,"JHB")-SUMIFS(Transfers!$F:$F,Transfers!$C:$C,$A179,Transfers!$I:$I,"JHB",Transfers!$H:$H,"&lt;&gt;Y")+SUMIFS('Stock Received'!$I:$I,'Stock Received'!$E:$E,$A179,'Stock Received'!$L:$L,"JHB")</f>
        <v>14.4</v>
      </c>
      <c r="G179" s="19" t="n">
        <f aca="false">SUMIFS('DBN Count'!$D:$D,'DBN Count'!$E:$E,$A179)-SUMIFS('Weekly Sales'!$F:$F,'Weekly Sales'!$H:$H,$A179,'Weekly Sales'!$I:$I,"DBN")+SUMIFS(Transfers!$F:$F,Transfers!$C:$C,$A179,Transfers!$J:$J,"DBN")-SUMIFS(Transfers!$F:$F,Transfers!$C:$C,$A179,Transfers!$I:$I,"DBN",Transfers!$H:$H,"&lt;&gt;Y")+SUMIFS('Stock Received'!$I:$I,'Stock Received'!$E:$E,$A179,'Stock Received'!$L:$L,"DBN")</f>
        <v>9.85</v>
      </c>
      <c r="H179" s="29" t="n">
        <f aca="false">E179+F179+G179</f>
        <v>401.24</v>
      </c>
      <c r="I179" s="19" t="n">
        <f aca="false">SUMIFS('Weekly Sales'!$F:$F,'Weekly Sales'!$H:$H,$A179)</f>
        <v>4.01</v>
      </c>
      <c r="J179" s="19" t="n">
        <f aca="false">SUMIFS(Orders!$L:$L,Orders!$D:$D,$A179,Orders!$F:$F,"&gt;="&amp;J$4,Orders!$F:$F,"&lt;"&amp;EDATE(J$4,1))</f>
        <v>0</v>
      </c>
      <c r="K179" s="19" t="n">
        <f aca="false">SUMIFS(Orders!$L:$L,Orders!$D:$D,$A179,Orders!$F:$F,"&gt;="&amp;K$4,Orders!$F:$F,"&lt;"&amp;EDATE(K$4,1))</f>
        <v>0</v>
      </c>
      <c r="L179" s="19" t="n">
        <f aca="false">SUMIFS(Orders!$L:$L,Orders!$D:$D,$A179,Orders!$F:$F,"&gt;="&amp;L$4,Orders!$F:$F,"&lt;"&amp;EDATE(L$4,1))</f>
        <v>0</v>
      </c>
      <c r="M179" s="19" t="n">
        <f aca="false">N179-J179-K179-L179</f>
        <v>0</v>
      </c>
      <c r="N179" s="19" t="n">
        <f aca="false">SUMIFS(Orders!$L:$L,Orders!$D:$D,$A179)</f>
        <v>0</v>
      </c>
      <c r="O179" s="19" t="n">
        <f aca="false">H179+N179</f>
        <v>401.24</v>
      </c>
      <c r="P179" s="30" t="n">
        <v>30</v>
      </c>
      <c r="Q179" s="19" t="n">
        <f aca="false">IF(SUMIFS('Sales History'!$E:$E,'Sales History'!$G:$G,$A179)&gt;0,SUMIFS('Sales History'!$E:$E,'Sales History'!$G:$G,$A179)/Settings!$B$4,N(P179))</f>
        <v>30</v>
      </c>
      <c r="R179" s="18" t="str">
        <f aca="false">IF(SUMIFS('Sales History'!$E:$E,'Sales History'!$G:$G,$A179)&gt;0,"6-month history",IF(N(P179)&gt;0,"Current sheet","No sales data"))</f>
        <v>Current sheet</v>
      </c>
      <c r="S179" s="31" t="n">
        <f aca="false">IF(Q179&gt;0,H179/Q179,"")</f>
        <v>13.3746666666667</v>
      </c>
      <c r="T179" s="30" t="n">
        <v>200</v>
      </c>
      <c r="U179" s="19" t="n">
        <f aca="false">IF(T179="","",MAX(0,T179-O179))</f>
        <v>0</v>
      </c>
      <c r="V179" s="32" t="str">
        <f aca="false">IF(D179="End of range","END OF RANGE",IF(T179="","NO BUFFER SET",IF(H179&lt;=0,IF(O179&lt;T179,"OUT - REORDER","OUT - ON ORDER"),IF(O179&lt;T179,"REORDER",IF(H179&lt;T179,"LOW - ON ORDER",IF(AND(S179&lt;&gt;"",N(S179)&gt;Settings!$B$5),"SLOW MOVER","OK"))))))</f>
        <v>SLOW MOVER</v>
      </c>
      <c r="W179" s="18"/>
      <c r="X179" s="33" t="n">
        <f aca="false">IF(OR(D179="End of range",U179=""),0,IF(N(U179)&gt;0,U179+ROW()/1000000,0))</f>
        <v>0</v>
      </c>
    </row>
    <row r="180" customFormat="false" ht="14.25" hidden="false" customHeight="true" outlineLevel="0" collapsed="false">
      <c r="A180" s="18" t="s">
        <v>441</v>
      </c>
      <c r="B180" s="18" t="s">
        <v>442</v>
      </c>
      <c r="C180" s="18" t="s">
        <v>331</v>
      </c>
      <c r="D180" s="18" t="s">
        <v>80</v>
      </c>
      <c r="E180" s="19" t="n">
        <f aca="false">SUMIFS('CPT Count'!$D:$D,'CPT Count'!$A:$A,$A180)-SUMIFS('Weekly Sales'!$F:$F,'Weekly Sales'!$H:$H,$A180,'Weekly Sales'!$I:$I,"CPT")+SUMIFS(Transfers!$F:$F,Transfers!$C:$C,$A180,Transfers!$J:$J,"CPT")-SUMIFS(Transfers!$F:$F,Transfers!$C:$C,$A180,Transfers!$I:$I,"CPT",Transfers!$H:$H,"&lt;&gt;Y")+SUMIFS('Stock Received'!$I:$I,'Stock Received'!$E:$E,$A180,'Stock Received'!$L:$L,"CPT")</f>
        <v>182</v>
      </c>
      <c r="F180" s="19" t="n">
        <f aca="false">SUMIFS('JHB Count'!$E:$E,'JHB Count'!$F:$F,$A180)-SUMIFS('Weekly Sales'!$F:$F,'Weekly Sales'!$H:$H,$A180,'Weekly Sales'!$I:$I,"JHB")+SUMIFS(Transfers!$F:$F,Transfers!$C:$C,$A180,Transfers!$J:$J,"JHB")-SUMIFS(Transfers!$F:$F,Transfers!$C:$C,$A180,Transfers!$I:$I,"JHB",Transfers!$H:$H,"&lt;&gt;Y")+SUMIFS('Stock Received'!$I:$I,'Stock Received'!$E:$E,$A180,'Stock Received'!$L:$L,"JHB")</f>
        <v>23.24</v>
      </c>
      <c r="G180" s="19" t="n">
        <f aca="false">SUMIFS('DBN Count'!$D:$D,'DBN Count'!$E:$E,$A180)-SUMIFS('Weekly Sales'!$F:$F,'Weekly Sales'!$H:$H,$A180,'Weekly Sales'!$I:$I,"DBN")+SUMIFS(Transfers!$F:$F,Transfers!$C:$C,$A180,Transfers!$J:$J,"DBN")-SUMIFS(Transfers!$F:$F,Transfers!$C:$C,$A180,Transfers!$I:$I,"DBN",Transfers!$H:$H,"&lt;&gt;Y")+SUMIFS('Stock Received'!$I:$I,'Stock Received'!$E:$E,$A180,'Stock Received'!$L:$L,"DBN")</f>
        <v>6.09</v>
      </c>
      <c r="H180" s="29" t="n">
        <f aca="false">E180+F180+G180</f>
        <v>211.33</v>
      </c>
      <c r="I180" s="19" t="n">
        <f aca="false">SUMIFS('Weekly Sales'!$F:$F,'Weekly Sales'!$H:$H,$A180)</f>
        <v>5.96</v>
      </c>
      <c r="J180" s="19" t="n">
        <f aca="false">SUMIFS(Orders!$L:$L,Orders!$D:$D,$A180,Orders!$F:$F,"&gt;="&amp;J$4,Orders!$F:$F,"&lt;"&amp;EDATE(J$4,1))</f>
        <v>0</v>
      </c>
      <c r="K180" s="19" t="n">
        <f aca="false">SUMIFS(Orders!$L:$L,Orders!$D:$D,$A180,Orders!$F:$F,"&gt;="&amp;K$4,Orders!$F:$F,"&lt;"&amp;EDATE(K$4,1))</f>
        <v>0</v>
      </c>
      <c r="L180" s="19" t="n">
        <f aca="false">SUMIFS(Orders!$L:$L,Orders!$D:$D,$A180,Orders!$F:$F,"&gt;="&amp;L$4,Orders!$F:$F,"&lt;"&amp;EDATE(L$4,1))</f>
        <v>0</v>
      </c>
      <c r="M180" s="19" t="n">
        <f aca="false">N180-J180-K180-L180</f>
        <v>0</v>
      </c>
      <c r="N180" s="19" t="n">
        <f aca="false">SUMIFS(Orders!$L:$L,Orders!$D:$D,$A180)</f>
        <v>0</v>
      </c>
      <c r="O180" s="19" t="n">
        <f aca="false">H180+N180</f>
        <v>211.33</v>
      </c>
      <c r="P180" s="30" t="n">
        <v>50</v>
      </c>
      <c r="Q180" s="19" t="n">
        <f aca="false">IF(SUMIFS('Sales History'!$E:$E,'Sales History'!$G:$G,$A180)&gt;0,SUMIFS('Sales History'!$E:$E,'Sales History'!$G:$G,$A180)/Settings!$B$4,N(P180))</f>
        <v>50</v>
      </c>
      <c r="R180" s="18" t="str">
        <f aca="false">IF(SUMIFS('Sales History'!$E:$E,'Sales History'!$G:$G,$A180)&gt;0,"6-month history",IF(N(P180)&gt;0,"Current sheet","No sales data"))</f>
        <v>Current sheet</v>
      </c>
      <c r="S180" s="31" t="n">
        <f aca="false">IF(Q180&gt;0,H180/Q180,"")</f>
        <v>4.2266</v>
      </c>
      <c r="T180" s="30" t="n">
        <v>200</v>
      </c>
      <c r="U180" s="19" t="n">
        <f aca="false">IF(T180="","",MAX(0,T180-O180))</f>
        <v>0</v>
      </c>
      <c r="V180" s="32" t="str">
        <f aca="false">IF(D180="End of range","END OF RANGE",IF(T180="","NO BUFFER SET",IF(H180&lt;=0,IF(O180&lt;T180,"OUT - REORDER","OUT - ON ORDER"),IF(O180&lt;T180,"REORDER",IF(H180&lt;T180,"LOW - ON ORDER",IF(AND(S180&lt;&gt;"",N(S180)&gt;Settings!$B$5),"SLOW MOVER","OK"))))))</f>
        <v>OK</v>
      </c>
      <c r="W180" s="18" t="s">
        <v>404</v>
      </c>
      <c r="X180" s="33" t="n">
        <f aca="false">IF(OR(D180="End of range",U180=""),0,IF(N(U180)&gt;0,U180+ROW()/1000000,0))</f>
        <v>0</v>
      </c>
    </row>
    <row r="181" customFormat="false" ht="14.25" hidden="false" customHeight="true" outlineLevel="0" collapsed="false">
      <c r="A181" s="18" t="s">
        <v>443</v>
      </c>
      <c r="B181" s="18" t="s">
        <v>444</v>
      </c>
      <c r="C181" s="18" t="s">
        <v>331</v>
      </c>
      <c r="D181" s="18" t="s">
        <v>80</v>
      </c>
      <c r="E181" s="19" t="n">
        <f aca="false">SUMIFS('CPT Count'!$D:$D,'CPT Count'!$A:$A,$A181)-SUMIFS('Weekly Sales'!$F:$F,'Weekly Sales'!$H:$H,$A181,'Weekly Sales'!$I:$I,"CPT")+SUMIFS(Transfers!$F:$F,Transfers!$C:$C,$A181,Transfers!$J:$J,"CPT")-SUMIFS(Transfers!$F:$F,Transfers!$C:$C,$A181,Transfers!$I:$I,"CPT",Transfers!$H:$H,"&lt;&gt;Y")+SUMIFS('Stock Received'!$I:$I,'Stock Received'!$E:$E,$A181,'Stock Received'!$L:$L,"CPT")</f>
        <v>48.22</v>
      </c>
      <c r="F181" s="19" t="n">
        <f aca="false">SUMIFS('JHB Count'!$E:$E,'JHB Count'!$F:$F,$A181)-SUMIFS('Weekly Sales'!$F:$F,'Weekly Sales'!$H:$H,$A181,'Weekly Sales'!$I:$I,"JHB")+SUMIFS(Transfers!$F:$F,Transfers!$C:$C,$A181,Transfers!$J:$J,"JHB")-SUMIFS(Transfers!$F:$F,Transfers!$C:$C,$A181,Transfers!$I:$I,"JHB",Transfers!$H:$H,"&lt;&gt;Y")+SUMIFS('Stock Received'!$I:$I,'Stock Received'!$E:$E,$A181,'Stock Received'!$L:$L,"JHB")</f>
        <v>14.32</v>
      </c>
      <c r="G181" s="19" t="n">
        <f aca="false">SUMIFS('DBN Count'!$D:$D,'DBN Count'!$E:$E,$A181)-SUMIFS('Weekly Sales'!$F:$F,'Weekly Sales'!$H:$H,$A181,'Weekly Sales'!$I:$I,"DBN")+SUMIFS(Transfers!$F:$F,Transfers!$C:$C,$A181,Transfers!$J:$J,"DBN")-SUMIFS(Transfers!$F:$F,Transfers!$C:$C,$A181,Transfers!$I:$I,"DBN",Transfers!$H:$H,"&lt;&gt;Y")+SUMIFS('Stock Received'!$I:$I,'Stock Received'!$E:$E,$A181,'Stock Received'!$L:$L,"DBN")</f>
        <v>0</v>
      </c>
      <c r="H181" s="29" t="n">
        <f aca="false">E181+F181+G181</f>
        <v>62.54</v>
      </c>
      <c r="I181" s="19" t="n">
        <f aca="false">SUMIFS('Weekly Sales'!$F:$F,'Weekly Sales'!$H:$H,$A181)</f>
        <v>12.66</v>
      </c>
      <c r="J181" s="19" t="n">
        <f aca="false">SUMIFS(Orders!$L:$L,Orders!$D:$D,$A181,Orders!$F:$F,"&gt;="&amp;J$4,Orders!$F:$F,"&lt;"&amp;EDATE(J$4,1))</f>
        <v>0</v>
      </c>
      <c r="K181" s="19" t="n">
        <f aca="false">SUMIFS(Orders!$L:$L,Orders!$D:$D,$A181,Orders!$F:$F,"&gt;="&amp;K$4,Orders!$F:$F,"&lt;"&amp;EDATE(K$4,1))</f>
        <v>300</v>
      </c>
      <c r="L181" s="19" t="n">
        <f aca="false">SUMIFS(Orders!$L:$L,Orders!$D:$D,$A181,Orders!$F:$F,"&gt;="&amp;L$4,Orders!$F:$F,"&lt;"&amp;EDATE(L$4,1))</f>
        <v>0</v>
      </c>
      <c r="M181" s="19" t="n">
        <f aca="false">N181-J181-K181-L181</f>
        <v>0</v>
      </c>
      <c r="N181" s="19" t="n">
        <f aca="false">SUMIFS(Orders!$L:$L,Orders!$D:$D,$A181)</f>
        <v>300</v>
      </c>
      <c r="O181" s="19" t="n">
        <f aca="false">H181+N181</f>
        <v>362.54</v>
      </c>
      <c r="P181" s="30" t="n">
        <v>50</v>
      </c>
      <c r="Q181" s="19" t="n">
        <f aca="false">IF(SUMIFS('Sales History'!$E:$E,'Sales History'!$G:$G,$A181)&gt;0,SUMIFS('Sales History'!$E:$E,'Sales History'!$G:$G,$A181)/Settings!$B$4,N(P181))</f>
        <v>50</v>
      </c>
      <c r="R181" s="18" t="str">
        <f aca="false">IF(SUMIFS('Sales History'!$E:$E,'Sales History'!$G:$G,$A181)&gt;0,"6-month history",IF(N(P181)&gt;0,"Current sheet","No sales data"))</f>
        <v>Current sheet</v>
      </c>
      <c r="S181" s="31" t="n">
        <f aca="false">IF(Q181&gt;0,H181/Q181,"")</f>
        <v>1.2508</v>
      </c>
      <c r="T181" s="30" t="n">
        <v>200</v>
      </c>
      <c r="U181" s="19" t="n">
        <f aca="false">IF(T181="","",MAX(0,T181-O181))</f>
        <v>0</v>
      </c>
      <c r="V181" s="32" t="str">
        <f aca="false">IF(D181="End of range","END OF RANGE",IF(T181="","NO BUFFER SET",IF(H181&lt;=0,IF(O181&lt;T181,"OUT - REORDER","OUT - ON ORDER"),IF(O181&lt;T181,"REORDER",IF(H181&lt;T181,"LOW - ON ORDER",IF(AND(S181&lt;&gt;"",N(S181)&gt;Settings!$B$5),"SLOW MOVER","OK"))))))</f>
        <v>LOW - ON ORDER</v>
      </c>
      <c r="W181" s="18"/>
      <c r="X181" s="33" t="n">
        <f aca="false">IF(OR(D181="End of range",U181=""),0,IF(N(U181)&gt;0,U181+ROW()/1000000,0))</f>
        <v>0</v>
      </c>
    </row>
    <row r="182" customFormat="false" ht="14.25" hidden="false" customHeight="true" outlineLevel="0" collapsed="false">
      <c r="A182" s="18" t="s">
        <v>445</v>
      </c>
      <c r="B182" s="18" t="s">
        <v>446</v>
      </c>
      <c r="C182" s="18" t="s">
        <v>331</v>
      </c>
      <c r="D182" s="18" t="s">
        <v>181</v>
      </c>
      <c r="E182" s="19" t="n">
        <f aca="false">SUMIFS('CPT Count'!$D:$D,'CPT Count'!$A:$A,$A182)-SUMIFS('Weekly Sales'!$F:$F,'Weekly Sales'!$H:$H,$A182,'Weekly Sales'!$I:$I,"CPT")+SUMIFS(Transfers!$F:$F,Transfers!$C:$C,$A182,Transfers!$J:$J,"CPT")-SUMIFS(Transfers!$F:$F,Transfers!$C:$C,$A182,Transfers!$I:$I,"CPT",Transfers!$H:$H,"&lt;&gt;Y")+SUMIFS('Stock Received'!$I:$I,'Stock Received'!$E:$E,$A182,'Stock Received'!$L:$L,"CPT")</f>
        <v>89.28</v>
      </c>
      <c r="F182" s="19" t="n">
        <f aca="false">SUMIFS('JHB Count'!$E:$E,'JHB Count'!$F:$F,$A182)-SUMIFS('Weekly Sales'!$F:$F,'Weekly Sales'!$H:$H,$A182,'Weekly Sales'!$I:$I,"JHB")+SUMIFS(Transfers!$F:$F,Transfers!$C:$C,$A182,Transfers!$J:$J,"JHB")-SUMIFS(Transfers!$F:$F,Transfers!$C:$C,$A182,Transfers!$I:$I,"JHB",Transfers!$H:$H,"&lt;&gt;Y")+SUMIFS('Stock Received'!$I:$I,'Stock Received'!$E:$E,$A182,'Stock Received'!$L:$L,"JHB")</f>
        <v>23.4</v>
      </c>
      <c r="G182" s="19" t="n">
        <f aca="false">SUMIFS('DBN Count'!$D:$D,'DBN Count'!$E:$E,$A182)-SUMIFS('Weekly Sales'!$F:$F,'Weekly Sales'!$H:$H,$A182,'Weekly Sales'!$I:$I,"DBN")+SUMIFS(Transfers!$F:$F,Transfers!$C:$C,$A182,Transfers!$J:$J,"DBN")-SUMIFS(Transfers!$F:$F,Transfers!$C:$C,$A182,Transfers!$I:$I,"DBN",Transfers!$H:$H,"&lt;&gt;Y")+SUMIFS('Stock Received'!$I:$I,'Stock Received'!$E:$E,$A182,'Stock Received'!$L:$L,"DBN")</f>
        <v>12.34</v>
      </c>
      <c r="H182" s="29" t="n">
        <f aca="false">E182+F182+G182</f>
        <v>125.02</v>
      </c>
      <c r="I182" s="19" t="n">
        <f aca="false">SUMIFS('Weekly Sales'!$F:$F,'Weekly Sales'!$H:$H,$A182)</f>
        <v>5.72</v>
      </c>
      <c r="J182" s="19" t="n">
        <f aca="false">SUMIFS(Orders!$L:$L,Orders!$D:$D,$A182,Orders!$F:$F,"&gt;="&amp;J$4,Orders!$F:$F,"&lt;"&amp;EDATE(J$4,1))</f>
        <v>0</v>
      </c>
      <c r="K182" s="19" t="n">
        <f aca="false">SUMIFS(Orders!$L:$L,Orders!$D:$D,$A182,Orders!$F:$F,"&gt;="&amp;K$4,Orders!$F:$F,"&lt;"&amp;EDATE(K$4,1))</f>
        <v>0</v>
      </c>
      <c r="L182" s="19" t="n">
        <f aca="false">SUMIFS(Orders!$L:$L,Orders!$D:$D,$A182,Orders!$F:$F,"&gt;="&amp;L$4,Orders!$F:$F,"&lt;"&amp;EDATE(L$4,1))</f>
        <v>0</v>
      </c>
      <c r="M182" s="19" t="n">
        <f aca="false">N182-J182-K182-L182</f>
        <v>0</v>
      </c>
      <c r="N182" s="19" t="n">
        <f aca="false">SUMIFS(Orders!$L:$L,Orders!$D:$D,$A182)</f>
        <v>0</v>
      </c>
      <c r="O182" s="19" t="n">
        <f aca="false">H182+N182</f>
        <v>125.02</v>
      </c>
      <c r="P182" s="30"/>
      <c r="Q182" s="19" t="n">
        <f aca="false">IF(SUMIFS('Sales History'!$E:$E,'Sales History'!$G:$G,$A182)&gt;0,SUMIFS('Sales History'!$E:$E,'Sales History'!$G:$G,$A182)/Settings!$B$4,N(P182))</f>
        <v>0</v>
      </c>
      <c r="R182" s="18" t="str">
        <f aca="false">IF(SUMIFS('Sales History'!$E:$E,'Sales History'!$G:$G,$A182)&gt;0,"6-month history",IF(N(P182)&gt;0,"Current sheet","No sales data"))</f>
        <v>No sales data</v>
      </c>
      <c r="S182" s="31" t="str">
        <f aca="false">IF(Q182&gt;0,H182/Q182,"")</f>
        <v/>
      </c>
      <c r="T182" s="30"/>
      <c r="U182" s="19" t="str">
        <f aca="false">IF(T182="","",MAX(0,T182-O182))</f>
        <v/>
      </c>
      <c r="V182" s="32" t="str">
        <f aca="false">IF(D182="End of range","END OF RANGE",IF(T182="","NO BUFFER SET",IF(H182&lt;=0,IF(O182&lt;T182,"OUT - REORDER","OUT - ON ORDER"),IF(O182&lt;T182,"REORDER",IF(H182&lt;T182,"LOW - ON ORDER",IF(AND(S182&lt;&gt;"",N(S182)&gt;Settings!$B$5),"SLOW MOVER","OK"))))))</f>
        <v>END OF RANGE</v>
      </c>
      <c r="W182" s="18" t="s">
        <v>447</v>
      </c>
      <c r="X182" s="33" t="n">
        <f aca="false">IF(OR(D182="End of range",U182=""),0,IF(N(U182)&gt;0,U182+ROW()/1000000,0))</f>
        <v>0</v>
      </c>
    </row>
    <row r="183" customFormat="false" ht="14.25" hidden="false" customHeight="true" outlineLevel="0" collapsed="false">
      <c r="A183" s="18" t="s">
        <v>448</v>
      </c>
      <c r="B183" s="18" t="s">
        <v>449</v>
      </c>
      <c r="C183" s="18" t="s">
        <v>331</v>
      </c>
      <c r="D183" s="18" t="s">
        <v>80</v>
      </c>
      <c r="E183" s="19" t="n">
        <f aca="false">SUMIFS('CPT Count'!$D:$D,'CPT Count'!$A:$A,$A183)-SUMIFS('Weekly Sales'!$F:$F,'Weekly Sales'!$H:$H,$A183,'Weekly Sales'!$I:$I,"CPT")+SUMIFS(Transfers!$F:$F,Transfers!$C:$C,$A183,Transfers!$J:$J,"CPT")-SUMIFS(Transfers!$F:$F,Transfers!$C:$C,$A183,Transfers!$I:$I,"CPT",Transfers!$H:$H,"&lt;&gt;Y")+SUMIFS('Stock Received'!$I:$I,'Stock Received'!$E:$E,$A183,'Stock Received'!$L:$L,"CPT")</f>
        <v>194.01</v>
      </c>
      <c r="F183" s="19" t="n">
        <f aca="false">SUMIFS('JHB Count'!$E:$E,'JHB Count'!$F:$F,$A183)-SUMIFS('Weekly Sales'!$F:$F,'Weekly Sales'!$H:$H,$A183,'Weekly Sales'!$I:$I,"JHB")+SUMIFS(Transfers!$F:$F,Transfers!$C:$C,$A183,Transfers!$J:$J,"JHB")-SUMIFS(Transfers!$F:$F,Transfers!$C:$C,$A183,Transfers!$I:$I,"JHB",Transfers!$H:$H,"&lt;&gt;Y")+SUMIFS('Stock Received'!$I:$I,'Stock Received'!$E:$E,$A183,'Stock Received'!$L:$L,"JHB")</f>
        <v>39.8</v>
      </c>
      <c r="G183" s="19" t="n">
        <f aca="false">SUMIFS('DBN Count'!$D:$D,'DBN Count'!$E:$E,$A183)-SUMIFS('Weekly Sales'!$F:$F,'Weekly Sales'!$H:$H,$A183,'Weekly Sales'!$I:$I,"DBN")+SUMIFS(Transfers!$F:$F,Transfers!$C:$C,$A183,Transfers!$J:$J,"DBN")-SUMIFS(Transfers!$F:$F,Transfers!$C:$C,$A183,Transfers!$I:$I,"DBN",Transfers!$H:$H,"&lt;&gt;Y")+SUMIFS('Stock Received'!$I:$I,'Stock Received'!$E:$E,$A183,'Stock Received'!$L:$L,"DBN")</f>
        <v>14.47</v>
      </c>
      <c r="H183" s="29" t="n">
        <f aca="false">E183+F183+G183</f>
        <v>248.28</v>
      </c>
      <c r="I183" s="19" t="n">
        <f aca="false">SUMIFS('Weekly Sales'!$F:$F,'Weekly Sales'!$H:$H,$A183)</f>
        <v>1.99</v>
      </c>
      <c r="J183" s="19" t="n">
        <f aca="false">SUMIFS(Orders!$L:$L,Orders!$D:$D,$A183,Orders!$F:$F,"&gt;="&amp;J$4,Orders!$F:$F,"&lt;"&amp;EDATE(J$4,1))</f>
        <v>300</v>
      </c>
      <c r="K183" s="19" t="n">
        <f aca="false">SUMIFS(Orders!$L:$L,Orders!$D:$D,$A183,Orders!$F:$F,"&gt;="&amp;K$4,Orders!$F:$F,"&lt;"&amp;EDATE(K$4,1))</f>
        <v>0</v>
      </c>
      <c r="L183" s="19" t="n">
        <f aca="false">SUMIFS(Orders!$L:$L,Orders!$D:$D,$A183,Orders!$F:$F,"&gt;="&amp;L$4,Orders!$F:$F,"&lt;"&amp;EDATE(L$4,1))</f>
        <v>0</v>
      </c>
      <c r="M183" s="19" t="n">
        <f aca="false">N183-J183-K183-L183</f>
        <v>0</v>
      </c>
      <c r="N183" s="19" t="n">
        <f aca="false">SUMIFS(Orders!$L:$L,Orders!$D:$D,$A183)</f>
        <v>300</v>
      </c>
      <c r="O183" s="19" t="n">
        <f aca="false">H183+N183</f>
        <v>548.28</v>
      </c>
      <c r="P183" s="30" t="n">
        <v>120</v>
      </c>
      <c r="Q183" s="19" t="n">
        <f aca="false">IF(SUMIFS('Sales History'!$E:$E,'Sales History'!$G:$G,$A183)&gt;0,SUMIFS('Sales History'!$E:$E,'Sales History'!$G:$G,$A183)/Settings!$B$4,N(P183))</f>
        <v>120</v>
      </c>
      <c r="R183" s="18" t="str">
        <f aca="false">IF(SUMIFS('Sales History'!$E:$E,'Sales History'!$G:$G,$A183)&gt;0,"6-month history",IF(N(P183)&gt;0,"Current sheet","No sales data"))</f>
        <v>Current sheet</v>
      </c>
      <c r="S183" s="31" t="n">
        <f aca="false">IF(Q183&gt;0,H183/Q183,"")</f>
        <v>2.069</v>
      </c>
      <c r="T183" s="30" t="n">
        <v>300</v>
      </c>
      <c r="U183" s="19" t="n">
        <f aca="false">IF(T183="","",MAX(0,T183-O183))</f>
        <v>0</v>
      </c>
      <c r="V183" s="32" t="str">
        <f aca="false">IF(D183="End of range","END OF RANGE",IF(T183="","NO BUFFER SET",IF(H183&lt;=0,IF(O183&lt;T183,"OUT - REORDER","OUT - ON ORDER"),IF(O183&lt;T183,"REORDER",IF(H183&lt;T183,"LOW - ON ORDER",IF(AND(S183&lt;&gt;"",N(S183)&gt;Settings!$B$5),"SLOW MOVER","OK"))))))</f>
        <v>LOW - ON ORDER</v>
      </c>
      <c r="W183" s="18"/>
      <c r="X183" s="33" t="n">
        <f aca="false">IF(OR(D183="End of range",U183=""),0,IF(N(U183)&gt;0,U183+ROW()/1000000,0))</f>
        <v>0</v>
      </c>
    </row>
    <row r="184" customFormat="false" ht="14.25" hidden="false" customHeight="true" outlineLevel="0" collapsed="false">
      <c r="A184" s="18" t="s">
        <v>450</v>
      </c>
      <c r="B184" s="18" t="s">
        <v>451</v>
      </c>
      <c r="C184" s="18" t="s">
        <v>331</v>
      </c>
      <c r="D184" s="18" t="s">
        <v>80</v>
      </c>
      <c r="E184" s="19" t="n">
        <f aca="false">SUMIFS('CPT Count'!$D:$D,'CPT Count'!$A:$A,$A184)-SUMIFS('Weekly Sales'!$F:$F,'Weekly Sales'!$H:$H,$A184,'Weekly Sales'!$I:$I,"CPT")+SUMIFS(Transfers!$F:$F,Transfers!$C:$C,$A184,Transfers!$J:$J,"CPT")-SUMIFS(Transfers!$F:$F,Transfers!$C:$C,$A184,Transfers!$I:$I,"CPT",Transfers!$H:$H,"&lt;&gt;Y")+SUMIFS('Stock Received'!$I:$I,'Stock Received'!$E:$E,$A184,'Stock Received'!$L:$L,"CPT")</f>
        <v>0</v>
      </c>
      <c r="F184" s="19" t="n">
        <f aca="false">SUMIFS('JHB Count'!$E:$E,'JHB Count'!$F:$F,$A184)-SUMIFS('Weekly Sales'!$F:$F,'Weekly Sales'!$H:$H,$A184,'Weekly Sales'!$I:$I,"JHB")+SUMIFS(Transfers!$F:$F,Transfers!$C:$C,$A184,Transfers!$J:$J,"JHB")-SUMIFS(Transfers!$F:$F,Transfers!$C:$C,$A184,Transfers!$I:$I,"JHB",Transfers!$H:$H,"&lt;&gt;Y")+SUMIFS('Stock Received'!$I:$I,'Stock Received'!$E:$E,$A184,'Stock Received'!$L:$L,"JHB")</f>
        <v>0</v>
      </c>
      <c r="G184" s="19" t="n">
        <f aca="false">SUMIFS('DBN Count'!$D:$D,'DBN Count'!$E:$E,$A184)-SUMIFS('Weekly Sales'!$F:$F,'Weekly Sales'!$H:$H,$A184,'Weekly Sales'!$I:$I,"DBN")+SUMIFS(Transfers!$F:$F,Transfers!$C:$C,$A184,Transfers!$J:$J,"DBN")-SUMIFS(Transfers!$F:$F,Transfers!$C:$C,$A184,Transfers!$I:$I,"DBN",Transfers!$H:$H,"&lt;&gt;Y")+SUMIFS('Stock Received'!$I:$I,'Stock Received'!$E:$E,$A184,'Stock Received'!$L:$L,"DBN")</f>
        <v>0</v>
      </c>
      <c r="H184" s="29" t="n">
        <f aca="false">E184+F184+G184</f>
        <v>0</v>
      </c>
      <c r="I184" s="19" t="n">
        <f aca="false">SUMIFS('Weekly Sales'!$F:$F,'Weekly Sales'!$H:$H,$A184)</f>
        <v>0</v>
      </c>
      <c r="J184" s="19" t="n">
        <f aca="false">SUMIFS(Orders!$L:$L,Orders!$D:$D,$A184,Orders!$F:$F,"&gt;="&amp;J$4,Orders!$F:$F,"&lt;"&amp;EDATE(J$4,1))</f>
        <v>0</v>
      </c>
      <c r="K184" s="19" t="n">
        <f aca="false">SUMIFS(Orders!$L:$L,Orders!$D:$D,$A184,Orders!$F:$F,"&gt;="&amp;K$4,Orders!$F:$F,"&lt;"&amp;EDATE(K$4,1))</f>
        <v>0</v>
      </c>
      <c r="L184" s="19" t="n">
        <f aca="false">SUMIFS(Orders!$L:$L,Orders!$D:$D,$A184,Orders!$F:$F,"&gt;="&amp;L$4,Orders!$F:$F,"&lt;"&amp;EDATE(L$4,1))</f>
        <v>0</v>
      </c>
      <c r="M184" s="19" t="n">
        <f aca="false">N184-J184-K184-L184</f>
        <v>0</v>
      </c>
      <c r="N184" s="19" t="n">
        <f aca="false">SUMIFS(Orders!$L:$L,Orders!$D:$D,$A184)</f>
        <v>0</v>
      </c>
      <c r="O184" s="19" t="n">
        <f aca="false">H184+N184</f>
        <v>0</v>
      </c>
      <c r="P184" s="30"/>
      <c r="Q184" s="19" t="n">
        <f aca="false">IF(SUMIFS('Sales History'!$E:$E,'Sales History'!$G:$G,$A184)&gt;0,SUMIFS('Sales History'!$E:$E,'Sales History'!$G:$G,$A184)/Settings!$B$4,N(P184))</f>
        <v>0</v>
      </c>
      <c r="R184" s="18" t="str">
        <f aca="false">IF(SUMIFS('Sales History'!$E:$E,'Sales History'!$G:$G,$A184)&gt;0,"6-month history",IF(N(P184)&gt;0,"Current sheet","No sales data"))</f>
        <v>No sales data</v>
      </c>
      <c r="S184" s="31" t="str">
        <f aca="false">IF(Q184&gt;0,H184/Q184,"")</f>
        <v/>
      </c>
      <c r="T184" s="30"/>
      <c r="U184" s="19" t="str">
        <f aca="false">IF(T184="","",MAX(0,T184-O184))</f>
        <v/>
      </c>
      <c r="V184" s="32" t="str">
        <f aca="false">IF(D184="End of range","END OF RANGE",IF(T184="","NO BUFFER SET",IF(H184&lt;=0,IF(O184&lt;T184,"OUT - REORDER","OUT - ON ORDER"),IF(O184&lt;T184,"REORDER",IF(H184&lt;T184,"LOW - ON ORDER",IF(AND(S184&lt;&gt;"",N(S184)&gt;Settings!$B$5),"SLOW MOVER","OK"))))))</f>
        <v>NO BUFFER SET</v>
      </c>
      <c r="W184" s="18"/>
      <c r="X184" s="33" t="n">
        <f aca="false">IF(OR(D184="End of range",U184=""),0,IF(N(U184)&gt;0,U184+ROW()/1000000,0))</f>
        <v>0</v>
      </c>
    </row>
    <row r="185" customFormat="false" ht="14.25" hidden="false" customHeight="true" outlineLevel="0" collapsed="false">
      <c r="A185" s="18" t="s">
        <v>452</v>
      </c>
      <c r="B185" s="18" t="s">
        <v>453</v>
      </c>
      <c r="C185" s="18" t="s">
        <v>331</v>
      </c>
      <c r="D185" s="18" t="s">
        <v>80</v>
      </c>
      <c r="E185" s="19" t="n">
        <f aca="false">SUMIFS('CPT Count'!$D:$D,'CPT Count'!$A:$A,$A185)-SUMIFS('Weekly Sales'!$F:$F,'Weekly Sales'!$H:$H,$A185,'Weekly Sales'!$I:$I,"CPT")+SUMIFS(Transfers!$F:$F,Transfers!$C:$C,$A185,Transfers!$J:$J,"CPT")-SUMIFS(Transfers!$F:$F,Transfers!$C:$C,$A185,Transfers!$I:$I,"CPT",Transfers!$H:$H,"&lt;&gt;Y")+SUMIFS('Stock Received'!$I:$I,'Stock Received'!$E:$E,$A185,'Stock Received'!$L:$L,"CPT")</f>
        <v>0</v>
      </c>
      <c r="F185" s="19" t="n">
        <f aca="false">SUMIFS('JHB Count'!$E:$E,'JHB Count'!$F:$F,$A185)-SUMIFS('Weekly Sales'!$F:$F,'Weekly Sales'!$H:$H,$A185,'Weekly Sales'!$I:$I,"JHB")+SUMIFS(Transfers!$F:$F,Transfers!$C:$C,$A185,Transfers!$J:$J,"JHB")-SUMIFS(Transfers!$F:$F,Transfers!$C:$C,$A185,Transfers!$I:$I,"JHB",Transfers!$H:$H,"&lt;&gt;Y")+SUMIFS('Stock Received'!$I:$I,'Stock Received'!$E:$E,$A185,'Stock Received'!$L:$L,"JHB")</f>
        <v>0.01</v>
      </c>
      <c r="G185" s="19" t="n">
        <f aca="false">SUMIFS('DBN Count'!$D:$D,'DBN Count'!$E:$E,$A185)-SUMIFS('Weekly Sales'!$F:$F,'Weekly Sales'!$H:$H,$A185,'Weekly Sales'!$I:$I,"DBN")+SUMIFS(Transfers!$F:$F,Transfers!$C:$C,$A185,Transfers!$J:$J,"DBN")-SUMIFS(Transfers!$F:$F,Transfers!$C:$C,$A185,Transfers!$I:$I,"DBN",Transfers!$H:$H,"&lt;&gt;Y")+SUMIFS('Stock Received'!$I:$I,'Stock Received'!$E:$E,$A185,'Stock Received'!$L:$L,"DBN")</f>
        <v>0</v>
      </c>
      <c r="H185" s="29" t="n">
        <f aca="false">E185+F185+G185</f>
        <v>0.01</v>
      </c>
      <c r="I185" s="19" t="n">
        <f aca="false">SUMIFS('Weekly Sales'!$F:$F,'Weekly Sales'!$H:$H,$A185)</f>
        <v>1.99</v>
      </c>
      <c r="J185" s="19" t="n">
        <f aca="false">SUMIFS(Orders!$L:$L,Orders!$D:$D,$A185,Orders!$F:$F,"&gt;="&amp;J$4,Orders!$F:$F,"&lt;"&amp;EDATE(J$4,1))</f>
        <v>0</v>
      </c>
      <c r="K185" s="19" t="n">
        <f aca="false">SUMIFS(Orders!$L:$L,Orders!$D:$D,$A185,Orders!$F:$F,"&gt;="&amp;K$4,Orders!$F:$F,"&lt;"&amp;EDATE(K$4,1))</f>
        <v>0</v>
      </c>
      <c r="L185" s="19" t="n">
        <f aca="false">SUMIFS(Orders!$L:$L,Orders!$D:$D,$A185,Orders!$F:$F,"&gt;="&amp;L$4,Orders!$F:$F,"&lt;"&amp;EDATE(L$4,1))</f>
        <v>0</v>
      </c>
      <c r="M185" s="19" t="n">
        <f aca="false">N185-J185-K185-L185</f>
        <v>0</v>
      </c>
      <c r="N185" s="19" t="n">
        <f aca="false">SUMIFS(Orders!$L:$L,Orders!$D:$D,$A185)</f>
        <v>0</v>
      </c>
      <c r="O185" s="19" t="n">
        <f aca="false">H185+N185</f>
        <v>0.01</v>
      </c>
      <c r="P185" s="30"/>
      <c r="Q185" s="19" t="n">
        <f aca="false">IF(SUMIFS('Sales History'!$E:$E,'Sales History'!$G:$G,$A185)&gt;0,SUMIFS('Sales History'!$E:$E,'Sales History'!$G:$G,$A185)/Settings!$B$4,N(P185))</f>
        <v>0</v>
      </c>
      <c r="R185" s="18" t="str">
        <f aca="false">IF(SUMIFS('Sales History'!$E:$E,'Sales History'!$G:$G,$A185)&gt;0,"6-month history",IF(N(P185)&gt;0,"Current sheet","No sales data"))</f>
        <v>No sales data</v>
      </c>
      <c r="S185" s="31" t="str">
        <f aca="false">IF(Q185&gt;0,H185/Q185,"")</f>
        <v/>
      </c>
      <c r="T185" s="30"/>
      <c r="U185" s="19" t="str">
        <f aca="false">IF(T185="","",MAX(0,T185-O185))</f>
        <v/>
      </c>
      <c r="V185" s="32" t="str">
        <f aca="false">IF(D185="End of range","END OF RANGE",IF(T185="","NO BUFFER SET",IF(H185&lt;=0,IF(O185&lt;T185,"OUT - REORDER","OUT - ON ORDER"),IF(O185&lt;T185,"REORDER",IF(H185&lt;T185,"LOW - ON ORDER",IF(AND(S185&lt;&gt;"",N(S185)&gt;Settings!$B$5),"SLOW MOVER","OK"))))))</f>
        <v>NO BUFFER SET</v>
      </c>
      <c r="W185" s="18"/>
      <c r="X185" s="33" t="n">
        <f aca="false">IF(OR(D185="End of range",U185=""),0,IF(N(U185)&gt;0,U185+ROW()/1000000,0))</f>
        <v>0</v>
      </c>
    </row>
    <row r="186" customFormat="false" ht="14.25" hidden="false" customHeight="true" outlineLevel="0" collapsed="false">
      <c r="A186" s="18" t="s">
        <v>454</v>
      </c>
      <c r="B186" s="18" t="s">
        <v>455</v>
      </c>
      <c r="C186" s="18" t="s">
        <v>331</v>
      </c>
      <c r="D186" s="18" t="s">
        <v>80</v>
      </c>
      <c r="E186" s="19" t="n">
        <f aca="false">SUMIFS('CPT Count'!$D:$D,'CPT Count'!$A:$A,$A186)-SUMIFS('Weekly Sales'!$F:$F,'Weekly Sales'!$H:$H,$A186,'Weekly Sales'!$I:$I,"CPT")+SUMIFS(Transfers!$F:$F,Transfers!$C:$C,$A186,Transfers!$J:$J,"CPT")-SUMIFS(Transfers!$F:$F,Transfers!$C:$C,$A186,Transfers!$I:$I,"CPT",Transfers!$H:$H,"&lt;&gt;Y")+SUMIFS('Stock Received'!$I:$I,'Stock Received'!$E:$E,$A186,'Stock Received'!$L:$L,"CPT")</f>
        <v>0</v>
      </c>
      <c r="F186" s="19" t="n">
        <f aca="false">SUMIFS('JHB Count'!$E:$E,'JHB Count'!$F:$F,$A186)-SUMIFS('Weekly Sales'!$F:$F,'Weekly Sales'!$H:$H,$A186,'Weekly Sales'!$I:$I,"JHB")+SUMIFS(Transfers!$F:$F,Transfers!$C:$C,$A186,Transfers!$J:$J,"JHB")-SUMIFS(Transfers!$F:$F,Transfers!$C:$C,$A186,Transfers!$I:$I,"JHB",Transfers!$H:$H,"&lt;&gt;Y")+SUMIFS('Stock Received'!$I:$I,'Stock Received'!$E:$E,$A186,'Stock Received'!$L:$L,"JHB")</f>
        <v>0.03</v>
      </c>
      <c r="G186" s="19" t="n">
        <f aca="false">SUMIFS('DBN Count'!$D:$D,'DBN Count'!$E:$E,$A186)-SUMIFS('Weekly Sales'!$F:$F,'Weekly Sales'!$H:$H,$A186,'Weekly Sales'!$I:$I,"DBN")+SUMIFS(Transfers!$F:$F,Transfers!$C:$C,$A186,Transfers!$J:$J,"DBN")-SUMIFS(Transfers!$F:$F,Transfers!$C:$C,$A186,Transfers!$I:$I,"DBN",Transfers!$H:$H,"&lt;&gt;Y")+SUMIFS('Stock Received'!$I:$I,'Stock Received'!$E:$E,$A186,'Stock Received'!$L:$L,"DBN")</f>
        <v>0</v>
      </c>
      <c r="H186" s="29" t="n">
        <f aca="false">E186+F186+G186</f>
        <v>0.03</v>
      </c>
      <c r="I186" s="19" t="n">
        <f aca="false">SUMIFS('Weekly Sales'!$F:$F,'Weekly Sales'!$H:$H,$A186)</f>
        <v>1.67</v>
      </c>
      <c r="J186" s="19" t="n">
        <f aca="false">SUMIFS(Orders!$L:$L,Orders!$D:$D,$A186,Orders!$F:$F,"&gt;="&amp;J$4,Orders!$F:$F,"&lt;"&amp;EDATE(J$4,1))</f>
        <v>0</v>
      </c>
      <c r="K186" s="19" t="n">
        <f aca="false">SUMIFS(Orders!$L:$L,Orders!$D:$D,$A186,Orders!$F:$F,"&gt;="&amp;K$4,Orders!$F:$F,"&lt;"&amp;EDATE(K$4,1))</f>
        <v>0</v>
      </c>
      <c r="L186" s="19" t="n">
        <f aca="false">SUMIFS(Orders!$L:$L,Orders!$D:$D,$A186,Orders!$F:$F,"&gt;="&amp;L$4,Orders!$F:$F,"&lt;"&amp;EDATE(L$4,1))</f>
        <v>0</v>
      </c>
      <c r="M186" s="19" t="n">
        <f aca="false">N186-J186-K186-L186</f>
        <v>0</v>
      </c>
      <c r="N186" s="19" t="n">
        <f aca="false">SUMIFS(Orders!$L:$L,Orders!$D:$D,$A186)</f>
        <v>0</v>
      </c>
      <c r="O186" s="19" t="n">
        <f aca="false">H186+N186</f>
        <v>0.03</v>
      </c>
      <c r="P186" s="30"/>
      <c r="Q186" s="19" t="n">
        <f aca="false">IF(SUMIFS('Sales History'!$E:$E,'Sales History'!$G:$G,$A186)&gt;0,SUMIFS('Sales History'!$E:$E,'Sales History'!$G:$G,$A186)/Settings!$B$4,N(P186))</f>
        <v>0</v>
      </c>
      <c r="R186" s="18" t="str">
        <f aca="false">IF(SUMIFS('Sales History'!$E:$E,'Sales History'!$G:$G,$A186)&gt;0,"6-month history",IF(N(P186)&gt;0,"Current sheet","No sales data"))</f>
        <v>No sales data</v>
      </c>
      <c r="S186" s="31" t="str">
        <f aca="false">IF(Q186&gt;0,H186/Q186,"")</f>
        <v/>
      </c>
      <c r="T186" s="30"/>
      <c r="U186" s="19" t="str">
        <f aca="false">IF(T186="","",MAX(0,T186-O186))</f>
        <v/>
      </c>
      <c r="V186" s="32" t="str">
        <f aca="false">IF(D186="End of range","END OF RANGE",IF(T186="","NO BUFFER SET",IF(H186&lt;=0,IF(O186&lt;T186,"OUT - REORDER","OUT - ON ORDER"),IF(O186&lt;T186,"REORDER",IF(H186&lt;T186,"LOW - ON ORDER",IF(AND(S186&lt;&gt;"",N(S186)&gt;Settings!$B$5),"SLOW MOVER","OK"))))))</f>
        <v>NO BUFFER SET</v>
      </c>
      <c r="W186" s="18"/>
      <c r="X186" s="33" t="n">
        <f aca="false">IF(OR(D186="End of range",U186=""),0,IF(N(U186)&gt;0,U186+ROW()/1000000,0))</f>
        <v>0</v>
      </c>
    </row>
    <row r="187" customFormat="false" ht="14.25" hidden="false" customHeight="true" outlineLevel="0" collapsed="false">
      <c r="A187" s="18" t="s">
        <v>456</v>
      </c>
      <c r="B187" s="18" t="s">
        <v>457</v>
      </c>
      <c r="C187" s="18" t="s">
        <v>331</v>
      </c>
      <c r="D187" s="18" t="s">
        <v>181</v>
      </c>
      <c r="E187" s="19" t="n">
        <f aca="false">SUMIFS('CPT Count'!$D:$D,'CPT Count'!$A:$A,$A187)-SUMIFS('Weekly Sales'!$F:$F,'Weekly Sales'!$H:$H,$A187,'Weekly Sales'!$I:$I,"CPT")+SUMIFS(Transfers!$F:$F,Transfers!$C:$C,$A187,Transfers!$J:$J,"CPT")-SUMIFS(Transfers!$F:$F,Transfers!$C:$C,$A187,Transfers!$I:$I,"CPT",Transfers!$H:$H,"&lt;&gt;Y")+SUMIFS('Stock Received'!$I:$I,'Stock Received'!$E:$E,$A187,'Stock Received'!$L:$L,"CPT")</f>
        <v>0</v>
      </c>
      <c r="F187" s="19" t="n">
        <f aca="false">SUMIFS('JHB Count'!$E:$E,'JHB Count'!$F:$F,$A187)-SUMIFS('Weekly Sales'!$F:$F,'Weekly Sales'!$H:$H,$A187,'Weekly Sales'!$I:$I,"JHB")+SUMIFS(Transfers!$F:$F,Transfers!$C:$C,$A187,Transfers!$J:$J,"JHB")-SUMIFS(Transfers!$F:$F,Transfers!$C:$C,$A187,Transfers!$I:$I,"JHB",Transfers!$H:$H,"&lt;&gt;Y")+SUMIFS('Stock Received'!$I:$I,'Stock Received'!$E:$E,$A187,'Stock Received'!$L:$L,"JHB")</f>
        <v>14.4</v>
      </c>
      <c r="G187" s="19" t="n">
        <f aca="false">SUMIFS('DBN Count'!$D:$D,'DBN Count'!$E:$E,$A187)-SUMIFS('Weekly Sales'!$F:$F,'Weekly Sales'!$H:$H,$A187,'Weekly Sales'!$I:$I,"DBN")+SUMIFS(Transfers!$F:$F,Transfers!$C:$C,$A187,Transfers!$J:$J,"DBN")-SUMIFS(Transfers!$F:$F,Transfers!$C:$C,$A187,Transfers!$I:$I,"DBN",Transfers!$H:$H,"&lt;&gt;Y")+SUMIFS('Stock Received'!$I:$I,'Stock Received'!$E:$E,$A187,'Stock Received'!$L:$L,"DBN")</f>
        <v>0</v>
      </c>
      <c r="H187" s="29" t="n">
        <f aca="false">E187+F187+G187</f>
        <v>14.4</v>
      </c>
      <c r="I187" s="19" t="n">
        <f aca="false">SUMIFS('Weekly Sales'!$F:$F,'Weekly Sales'!$H:$H,$A187)</f>
        <v>0</v>
      </c>
      <c r="J187" s="19" t="n">
        <f aca="false">SUMIFS(Orders!$L:$L,Orders!$D:$D,$A187,Orders!$F:$F,"&gt;="&amp;J$4,Orders!$F:$F,"&lt;"&amp;EDATE(J$4,1))</f>
        <v>0</v>
      </c>
      <c r="K187" s="19" t="n">
        <f aca="false">SUMIFS(Orders!$L:$L,Orders!$D:$D,$A187,Orders!$F:$F,"&gt;="&amp;K$4,Orders!$F:$F,"&lt;"&amp;EDATE(K$4,1))</f>
        <v>0</v>
      </c>
      <c r="L187" s="19" t="n">
        <f aca="false">SUMIFS(Orders!$L:$L,Orders!$D:$D,$A187,Orders!$F:$F,"&gt;="&amp;L$4,Orders!$F:$F,"&lt;"&amp;EDATE(L$4,1))</f>
        <v>0</v>
      </c>
      <c r="M187" s="19" t="n">
        <f aca="false">N187-J187-K187-L187</f>
        <v>0</v>
      </c>
      <c r="N187" s="19" t="n">
        <f aca="false">SUMIFS(Orders!$L:$L,Orders!$D:$D,$A187)</f>
        <v>0</v>
      </c>
      <c r="O187" s="19" t="n">
        <f aca="false">H187+N187</f>
        <v>14.4</v>
      </c>
      <c r="P187" s="30"/>
      <c r="Q187" s="19" t="n">
        <f aca="false">IF(SUMIFS('Sales History'!$E:$E,'Sales History'!$G:$G,$A187)&gt;0,SUMIFS('Sales History'!$E:$E,'Sales History'!$G:$G,$A187)/Settings!$B$4,N(P187))</f>
        <v>0</v>
      </c>
      <c r="R187" s="18" t="str">
        <f aca="false">IF(SUMIFS('Sales History'!$E:$E,'Sales History'!$G:$G,$A187)&gt;0,"6-month history",IF(N(P187)&gt;0,"Current sheet","No sales data"))</f>
        <v>No sales data</v>
      </c>
      <c r="S187" s="31" t="str">
        <f aca="false">IF(Q187&gt;0,H187/Q187,"")</f>
        <v/>
      </c>
      <c r="T187" s="30"/>
      <c r="U187" s="19" t="str">
        <f aca="false">IF(T187="","",MAX(0,T187-O187))</f>
        <v/>
      </c>
      <c r="V187" s="32" t="str">
        <f aca="false">IF(D187="End of range","END OF RANGE",IF(T187="","NO BUFFER SET",IF(H187&lt;=0,IF(O187&lt;T187,"OUT - REORDER","OUT - ON ORDER"),IF(O187&lt;T187,"REORDER",IF(H187&lt;T187,"LOW - ON ORDER",IF(AND(S187&lt;&gt;"",N(S187)&gt;Settings!$B$5),"SLOW MOVER","OK"))))))</f>
        <v>END OF RANGE</v>
      </c>
      <c r="W187" s="18"/>
      <c r="X187" s="33" t="n">
        <f aca="false">IF(OR(D187="End of range",U187=""),0,IF(N(U187)&gt;0,U187+ROW()/1000000,0))</f>
        <v>0</v>
      </c>
    </row>
    <row r="188" customFormat="false" ht="14.25" hidden="false" customHeight="true" outlineLevel="0" collapsed="false">
      <c r="A188" s="18" t="s">
        <v>458</v>
      </c>
      <c r="B188" s="18" t="s">
        <v>459</v>
      </c>
      <c r="C188" s="18" t="s">
        <v>331</v>
      </c>
      <c r="D188" s="18" t="s">
        <v>181</v>
      </c>
      <c r="E188" s="19" t="n">
        <f aca="false">SUMIFS('CPT Count'!$D:$D,'CPT Count'!$A:$A,$A188)-SUMIFS('Weekly Sales'!$F:$F,'Weekly Sales'!$H:$H,$A188,'Weekly Sales'!$I:$I,"CPT")+SUMIFS(Transfers!$F:$F,Transfers!$C:$C,$A188,Transfers!$J:$J,"CPT")-SUMIFS(Transfers!$F:$F,Transfers!$C:$C,$A188,Transfers!$I:$I,"CPT",Transfers!$H:$H,"&lt;&gt;Y")+SUMIFS('Stock Received'!$I:$I,'Stock Received'!$E:$E,$A188,'Stock Received'!$L:$L,"CPT")</f>
        <v>126</v>
      </c>
      <c r="F188" s="19" t="n">
        <f aca="false">SUMIFS('JHB Count'!$E:$E,'JHB Count'!$F:$F,$A188)-SUMIFS('Weekly Sales'!$F:$F,'Weekly Sales'!$H:$H,$A188,'Weekly Sales'!$I:$I,"JHB")+SUMIFS(Transfers!$F:$F,Transfers!$C:$C,$A188,Transfers!$J:$J,"JHB")-SUMIFS(Transfers!$F:$F,Transfers!$C:$C,$A188,Transfers!$I:$I,"JHB",Transfers!$H:$H,"&lt;&gt;Y")+SUMIFS('Stock Received'!$I:$I,'Stock Received'!$E:$E,$A188,'Stock Received'!$L:$L,"JHB")</f>
        <v>28.8</v>
      </c>
      <c r="G188" s="19" t="n">
        <f aca="false">SUMIFS('DBN Count'!$D:$D,'DBN Count'!$E:$E,$A188)-SUMIFS('Weekly Sales'!$F:$F,'Weekly Sales'!$H:$H,$A188,'Weekly Sales'!$I:$I,"DBN")+SUMIFS(Transfers!$F:$F,Transfers!$C:$C,$A188,Transfers!$J:$J,"DBN")-SUMIFS(Transfers!$F:$F,Transfers!$C:$C,$A188,Transfers!$I:$I,"DBN",Transfers!$H:$H,"&lt;&gt;Y")+SUMIFS('Stock Received'!$I:$I,'Stock Received'!$E:$E,$A188,'Stock Received'!$L:$L,"DBN")</f>
        <v>0</v>
      </c>
      <c r="H188" s="29" t="n">
        <f aca="false">E188+F188+G188</f>
        <v>154.8</v>
      </c>
      <c r="I188" s="19" t="n">
        <f aca="false">SUMIFS('Weekly Sales'!$F:$F,'Weekly Sales'!$H:$H,$A188)</f>
        <v>0</v>
      </c>
      <c r="J188" s="19" t="n">
        <f aca="false">SUMIFS(Orders!$L:$L,Orders!$D:$D,$A188,Orders!$F:$F,"&gt;="&amp;J$4,Orders!$F:$F,"&lt;"&amp;EDATE(J$4,1))</f>
        <v>0</v>
      </c>
      <c r="K188" s="19" t="n">
        <f aca="false">SUMIFS(Orders!$L:$L,Orders!$D:$D,$A188,Orders!$F:$F,"&gt;="&amp;K$4,Orders!$F:$F,"&lt;"&amp;EDATE(K$4,1))</f>
        <v>0</v>
      </c>
      <c r="L188" s="19" t="n">
        <f aca="false">SUMIFS(Orders!$L:$L,Orders!$D:$D,$A188,Orders!$F:$F,"&gt;="&amp;L$4,Orders!$F:$F,"&lt;"&amp;EDATE(L$4,1))</f>
        <v>0</v>
      </c>
      <c r="M188" s="19" t="n">
        <f aca="false">N188-J188-K188-L188</f>
        <v>0</v>
      </c>
      <c r="N188" s="19" t="n">
        <f aca="false">SUMIFS(Orders!$L:$L,Orders!$D:$D,$A188)</f>
        <v>0</v>
      </c>
      <c r="O188" s="19" t="n">
        <f aca="false">H188+N188</f>
        <v>154.8</v>
      </c>
      <c r="P188" s="30" t="n">
        <v>5</v>
      </c>
      <c r="Q188" s="19" t="n">
        <f aca="false">IF(SUMIFS('Sales History'!$E:$E,'Sales History'!$G:$G,$A188)&gt;0,SUMIFS('Sales History'!$E:$E,'Sales History'!$G:$G,$A188)/Settings!$B$4,N(P188))</f>
        <v>5</v>
      </c>
      <c r="R188" s="18" t="str">
        <f aca="false">IF(SUMIFS('Sales History'!$E:$E,'Sales History'!$G:$G,$A188)&gt;0,"6-month history",IF(N(P188)&gt;0,"Current sheet","No sales data"))</f>
        <v>Current sheet</v>
      </c>
      <c r="S188" s="31" t="n">
        <f aca="false">IF(Q188&gt;0,H188/Q188,"")</f>
        <v>30.96</v>
      </c>
      <c r="T188" s="30"/>
      <c r="U188" s="19" t="str">
        <f aca="false">IF(T188="","",MAX(0,T188-O188))</f>
        <v/>
      </c>
      <c r="V188" s="32" t="str">
        <f aca="false">IF(D188="End of range","END OF RANGE",IF(T188="","NO BUFFER SET",IF(H188&lt;=0,IF(O188&lt;T188,"OUT - REORDER","OUT - ON ORDER"),IF(O188&lt;T188,"REORDER",IF(H188&lt;T188,"LOW - ON ORDER",IF(AND(S188&lt;&gt;"",N(S188)&gt;Settings!$B$5),"SLOW MOVER","OK"))))))</f>
        <v>END OF RANGE</v>
      </c>
      <c r="W188" s="18"/>
      <c r="X188" s="33" t="n">
        <f aca="false">IF(OR(D188="End of range",U188=""),0,IF(N(U188)&gt;0,U188+ROW()/1000000,0))</f>
        <v>0</v>
      </c>
    </row>
    <row r="189" customFormat="false" ht="14.25" hidden="false" customHeight="true" outlineLevel="0" collapsed="false">
      <c r="A189" s="18" t="s">
        <v>460</v>
      </c>
      <c r="B189" s="18" t="s">
        <v>461</v>
      </c>
      <c r="C189" s="18" t="s">
        <v>331</v>
      </c>
      <c r="D189" s="18" t="s">
        <v>181</v>
      </c>
      <c r="E189" s="19" t="n">
        <f aca="false">SUMIFS('CPT Count'!$D:$D,'CPT Count'!$A:$A,$A189)-SUMIFS('Weekly Sales'!$F:$F,'Weekly Sales'!$H:$H,$A189,'Weekly Sales'!$I:$I,"CPT")+SUMIFS(Transfers!$F:$F,Transfers!$C:$C,$A189,Transfers!$J:$J,"CPT")-SUMIFS(Transfers!$F:$F,Transfers!$C:$C,$A189,Transfers!$I:$I,"CPT",Transfers!$H:$H,"&lt;&gt;Y")+SUMIFS('Stock Received'!$I:$I,'Stock Received'!$E:$E,$A189,'Stock Received'!$L:$L,"CPT")</f>
        <v>135</v>
      </c>
      <c r="F189" s="19" t="n">
        <f aca="false">SUMIFS('JHB Count'!$E:$E,'JHB Count'!$F:$F,$A189)-SUMIFS('Weekly Sales'!$F:$F,'Weekly Sales'!$H:$H,$A189,'Weekly Sales'!$I:$I,"JHB")+SUMIFS(Transfers!$F:$F,Transfers!$C:$C,$A189,Transfers!$J:$J,"JHB")-SUMIFS(Transfers!$F:$F,Transfers!$C:$C,$A189,Transfers!$I:$I,"JHB",Transfers!$H:$H,"&lt;&gt;Y")+SUMIFS('Stock Received'!$I:$I,'Stock Received'!$E:$E,$A189,'Stock Received'!$L:$L,"JHB")</f>
        <v>18</v>
      </c>
      <c r="G189" s="19" t="n">
        <f aca="false">SUMIFS('DBN Count'!$D:$D,'DBN Count'!$E:$E,$A189)-SUMIFS('Weekly Sales'!$F:$F,'Weekly Sales'!$H:$H,$A189,'Weekly Sales'!$I:$I,"DBN")+SUMIFS(Transfers!$F:$F,Transfers!$C:$C,$A189,Transfers!$J:$J,"DBN")-SUMIFS(Transfers!$F:$F,Transfers!$C:$C,$A189,Transfers!$I:$I,"DBN",Transfers!$H:$H,"&lt;&gt;Y")+SUMIFS('Stock Received'!$I:$I,'Stock Received'!$E:$E,$A189,'Stock Received'!$L:$L,"DBN")</f>
        <v>0</v>
      </c>
      <c r="H189" s="29" t="n">
        <f aca="false">E189+F189+G189</f>
        <v>153</v>
      </c>
      <c r="I189" s="19" t="n">
        <f aca="false">SUMIFS('Weekly Sales'!$F:$F,'Weekly Sales'!$H:$H,$A189)</f>
        <v>0</v>
      </c>
      <c r="J189" s="19" t="n">
        <f aca="false">SUMIFS(Orders!$L:$L,Orders!$D:$D,$A189,Orders!$F:$F,"&gt;="&amp;J$4,Orders!$F:$F,"&lt;"&amp;EDATE(J$4,1))</f>
        <v>0</v>
      </c>
      <c r="K189" s="19" t="n">
        <f aca="false">SUMIFS(Orders!$L:$L,Orders!$D:$D,$A189,Orders!$F:$F,"&gt;="&amp;K$4,Orders!$F:$F,"&lt;"&amp;EDATE(K$4,1))</f>
        <v>0</v>
      </c>
      <c r="L189" s="19" t="n">
        <f aca="false">SUMIFS(Orders!$L:$L,Orders!$D:$D,$A189,Orders!$F:$F,"&gt;="&amp;L$4,Orders!$F:$F,"&lt;"&amp;EDATE(L$4,1))</f>
        <v>0</v>
      </c>
      <c r="M189" s="19" t="n">
        <f aca="false">N189-J189-K189-L189</f>
        <v>0</v>
      </c>
      <c r="N189" s="19" t="n">
        <f aca="false">SUMIFS(Orders!$L:$L,Orders!$D:$D,$A189)</f>
        <v>0</v>
      </c>
      <c r="O189" s="19" t="n">
        <f aca="false">H189+N189</f>
        <v>153</v>
      </c>
      <c r="P189" s="30" t="n">
        <v>5</v>
      </c>
      <c r="Q189" s="19" t="n">
        <f aca="false">IF(SUMIFS('Sales History'!$E:$E,'Sales History'!$G:$G,$A189)&gt;0,SUMIFS('Sales History'!$E:$E,'Sales History'!$G:$G,$A189)/Settings!$B$4,N(P189))</f>
        <v>5</v>
      </c>
      <c r="R189" s="18" t="str">
        <f aca="false">IF(SUMIFS('Sales History'!$E:$E,'Sales History'!$G:$G,$A189)&gt;0,"6-month history",IF(N(P189)&gt;0,"Current sheet","No sales data"))</f>
        <v>Current sheet</v>
      </c>
      <c r="S189" s="31" t="n">
        <f aca="false">IF(Q189&gt;0,H189/Q189,"")</f>
        <v>30.6</v>
      </c>
      <c r="T189" s="30"/>
      <c r="U189" s="19" t="str">
        <f aca="false">IF(T189="","",MAX(0,T189-O189))</f>
        <v/>
      </c>
      <c r="V189" s="32" t="str">
        <f aca="false">IF(D189="End of range","END OF RANGE",IF(T189="","NO BUFFER SET",IF(H189&lt;=0,IF(O189&lt;T189,"OUT - REORDER","OUT - ON ORDER"),IF(O189&lt;T189,"REORDER",IF(H189&lt;T189,"LOW - ON ORDER",IF(AND(S189&lt;&gt;"",N(S189)&gt;Settings!$B$5),"SLOW MOVER","OK"))))))</f>
        <v>END OF RANGE</v>
      </c>
      <c r="W189" s="18"/>
      <c r="X189" s="33" t="n">
        <f aca="false">IF(OR(D189="End of range",U189=""),0,IF(N(U189)&gt;0,U189+ROW()/1000000,0))</f>
        <v>0</v>
      </c>
    </row>
    <row r="190" customFormat="false" ht="14.25" hidden="false" customHeight="true" outlineLevel="0" collapsed="false">
      <c r="A190" s="18" t="s">
        <v>462</v>
      </c>
      <c r="B190" s="18" t="s">
        <v>463</v>
      </c>
      <c r="C190" s="18" t="s">
        <v>331</v>
      </c>
      <c r="D190" s="18" t="s">
        <v>181</v>
      </c>
      <c r="E190" s="19" t="n">
        <f aca="false">SUMIFS('CPT Count'!$D:$D,'CPT Count'!$A:$A,$A190)-SUMIFS('Weekly Sales'!$F:$F,'Weekly Sales'!$H:$H,$A190,'Weekly Sales'!$I:$I,"CPT")+SUMIFS(Transfers!$F:$F,Transfers!$C:$C,$A190,Transfers!$J:$J,"CPT")-SUMIFS(Transfers!$F:$F,Transfers!$C:$C,$A190,Transfers!$I:$I,"CPT",Transfers!$H:$H,"&lt;&gt;Y")+SUMIFS('Stock Received'!$I:$I,'Stock Received'!$E:$E,$A190,'Stock Received'!$L:$L,"CPT")</f>
        <v>118.98</v>
      </c>
      <c r="F190" s="19" t="n">
        <f aca="false">SUMIFS('JHB Count'!$E:$E,'JHB Count'!$F:$F,$A190)-SUMIFS('Weekly Sales'!$F:$F,'Weekly Sales'!$H:$H,$A190,'Weekly Sales'!$I:$I,"JHB")+SUMIFS(Transfers!$F:$F,Transfers!$C:$C,$A190,Transfers!$J:$J,"JHB")-SUMIFS(Transfers!$F:$F,Transfers!$C:$C,$A190,Transfers!$I:$I,"JHB",Transfers!$H:$H,"&lt;&gt;Y")+SUMIFS('Stock Received'!$I:$I,'Stock Received'!$E:$E,$A190,'Stock Received'!$L:$L,"JHB")</f>
        <v>36</v>
      </c>
      <c r="G190" s="19" t="n">
        <f aca="false">SUMIFS('DBN Count'!$D:$D,'DBN Count'!$E:$E,$A190)-SUMIFS('Weekly Sales'!$F:$F,'Weekly Sales'!$H:$H,$A190,'Weekly Sales'!$I:$I,"DBN")+SUMIFS(Transfers!$F:$F,Transfers!$C:$C,$A190,Transfers!$J:$J,"DBN")-SUMIFS(Transfers!$F:$F,Transfers!$C:$C,$A190,Transfers!$I:$I,"DBN",Transfers!$H:$H,"&lt;&gt;Y")+SUMIFS('Stock Received'!$I:$I,'Stock Received'!$E:$E,$A190,'Stock Received'!$L:$L,"DBN")</f>
        <v>0</v>
      </c>
      <c r="H190" s="29" t="n">
        <f aca="false">E190+F190+G190</f>
        <v>154.98</v>
      </c>
      <c r="I190" s="19" t="n">
        <f aca="false">SUMIFS('Weekly Sales'!$F:$F,'Weekly Sales'!$H:$H,$A190)</f>
        <v>7.02</v>
      </c>
      <c r="J190" s="19" t="n">
        <f aca="false">SUMIFS(Orders!$L:$L,Orders!$D:$D,$A190,Orders!$F:$F,"&gt;="&amp;J$4,Orders!$F:$F,"&lt;"&amp;EDATE(J$4,1))</f>
        <v>0</v>
      </c>
      <c r="K190" s="19" t="n">
        <f aca="false">SUMIFS(Orders!$L:$L,Orders!$D:$D,$A190,Orders!$F:$F,"&gt;="&amp;K$4,Orders!$F:$F,"&lt;"&amp;EDATE(K$4,1))</f>
        <v>0</v>
      </c>
      <c r="L190" s="19" t="n">
        <f aca="false">SUMIFS(Orders!$L:$L,Orders!$D:$D,$A190,Orders!$F:$F,"&gt;="&amp;L$4,Orders!$F:$F,"&lt;"&amp;EDATE(L$4,1))</f>
        <v>0</v>
      </c>
      <c r="M190" s="19" t="n">
        <f aca="false">N190-J190-K190-L190</f>
        <v>0</v>
      </c>
      <c r="N190" s="19" t="n">
        <f aca="false">SUMIFS(Orders!$L:$L,Orders!$D:$D,$A190)</f>
        <v>0</v>
      </c>
      <c r="O190" s="19" t="n">
        <f aca="false">H190+N190</f>
        <v>154.98</v>
      </c>
      <c r="P190" s="30" t="n">
        <v>10</v>
      </c>
      <c r="Q190" s="19" t="n">
        <f aca="false">IF(SUMIFS('Sales History'!$E:$E,'Sales History'!$G:$G,$A190)&gt;0,SUMIFS('Sales History'!$E:$E,'Sales History'!$G:$G,$A190)/Settings!$B$4,N(P190))</f>
        <v>10</v>
      </c>
      <c r="R190" s="18" t="str">
        <f aca="false">IF(SUMIFS('Sales History'!$E:$E,'Sales History'!$G:$G,$A190)&gt;0,"6-month history",IF(N(P190)&gt;0,"Current sheet","No sales data"))</f>
        <v>Current sheet</v>
      </c>
      <c r="S190" s="31" t="n">
        <f aca="false">IF(Q190&gt;0,H190/Q190,"")</f>
        <v>15.498</v>
      </c>
      <c r="T190" s="30"/>
      <c r="U190" s="19" t="str">
        <f aca="false">IF(T190="","",MAX(0,T190-O190))</f>
        <v/>
      </c>
      <c r="V190" s="32" t="str">
        <f aca="false">IF(D190="End of range","END OF RANGE",IF(T190="","NO BUFFER SET",IF(H190&lt;=0,IF(O190&lt;T190,"OUT - REORDER","OUT - ON ORDER"),IF(O190&lt;T190,"REORDER",IF(H190&lt;T190,"LOW - ON ORDER",IF(AND(S190&lt;&gt;"",N(S190)&gt;Settings!$B$5),"SLOW MOVER","OK"))))))</f>
        <v>END OF RANGE</v>
      </c>
      <c r="W190" s="18"/>
      <c r="X190" s="33" t="n">
        <f aca="false">IF(OR(D190="End of range",U190=""),0,IF(N(U190)&gt;0,U190+ROW()/1000000,0))</f>
        <v>0</v>
      </c>
    </row>
    <row r="191" customFormat="false" ht="14.25" hidden="false" customHeight="true" outlineLevel="0" collapsed="false">
      <c r="A191" s="18" t="s">
        <v>464</v>
      </c>
      <c r="B191" s="18" t="s">
        <v>465</v>
      </c>
      <c r="C191" s="18" t="s">
        <v>331</v>
      </c>
      <c r="D191" s="18" t="s">
        <v>181</v>
      </c>
      <c r="E191" s="19" t="n">
        <f aca="false">SUMIFS('CPT Count'!$D:$D,'CPT Count'!$A:$A,$A191)-SUMIFS('Weekly Sales'!$F:$F,'Weekly Sales'!$H:$H,$A191,'Weekly Sales'!$I:$I,"CPT")+SUMIFS(Transfers!$F:$F,Transfers!$C:$C,$A191,Transfers!$J:$J,"CPT")-SUMIFS(Transfers!$F:$F,Transfers!$C:$C,$A191,Transfers!$I:$I,"CPT",Transfers!$H:$H,"&lt;&gt;Y")+SUMIFS('Stock Received'!$I:$I,'Stock Received'!$E:$E,$A191,'Stock Received'!$L:$L,"CPT")</f>
        <v>90</v>
      </c>
      <c r="F191" s="19" t="n">
        <f aca="false">SUMIFS('JHB Count'!$E:$E,'JHB Count'!$F:$F,$A191)-SUMIFS('Weekly Sales'!$F:$F,'Weekly Sales'!$H:$H,$A191,'Weekly Sales'!$I:$I,"JHB")+SUMIFS(Transfers!$F:$F,Transfers!$C:$C,$A191,Transfers!$J:$J,"JHB")-SUMIFS(Transfers!$F:$F,Transfers!$C:$C,$A191,Transfers!$I:$I,"JHB",Transfers!$H:$H,"&lt;&gt;Y")+SUMIFS('Stock Received'!$I:$I,'Stock Received'!$E:$E,$A191,'Stock Received'!$L:$L,"JHB")</f>
        <v>37.8</v>
      </c>
      <c r="G191" s="19" t="n">
        <f aca="false">SUMIFS('DBN Count'!$D:$D,'DBN Count'!$E:$E,$A191)-SUMIFS('Weekly Sales'!$F:$F,'Weekly Sales'!$H:$H,$A191,'Weekly Sales'!$I:$I,"DBN")+SUMIFS(Transfers!$F:$F,Transfers!$C:$C,$A191,Transfers!$J:$J,"DBN")-SUMIFS(Transfers!$F:$F,Transfers!$C:$C,$A191,Transfers!$I:$I,"DBN",Transfers!$H:$H,"&lt;&gt;Y")+SUMIFS('Stock Received'!$I:$I,'Stock Received'!$E:$E,$A191,'Stock Received'!$L:$L,"DBN")</f>
        <v>0</v>
      </c>
      <c r="H191" s="29" t="n">
        <f aca="false">E191+F191+G191</f>
        <v>127.8</v>
      </c>
      <c r="I191" s="19" t="n">
        <f aca="false">SUMIFS('Weekly Sales'!$F:$F,'Weekly Sales'!$H:$H,$A191)</f>
        <v>0</v>
      </c>
      <c r="J191" s="19" t="n">
        <f aca="false">SUMIFS(Orders!$L:$L,Orders!$D:$D,$A191,Orders!$F:$F,"&gt;="&amp;J$4,Orders!$F:$F,"&lt;"&amp;EDATE(J$4,1))</f>
        <v>0</v>
      </c>
      <c r="K191" s="19" t="n">
        <f aca="false">SUMIFS(Orders!$L:$L,Orders!$D:$D,$A191,Orders!$F:$F,"&gt;="&amp;K$4,Orders!$F:$F,"&lt;"&amp;EDATE(K$4,1))</f>
        <v>0</v>
      </c>
      <c r="L191" s="19" t="n">
        <f aca="false">SUMIFS(Orders!$L:$L,Orders!$D:$D,$A191,Orders!$F:$F,"&gt;="&amp;L$4,Orders!$F:$F,"&lt;"&amp;EDATE(L$4,1))</f>
        <v>0</v>
      </c>
      <c r="M191" s="19" t="n">
        <f aca="false">N191-J191-K191-L191</f>
        <v>0</v>
      </c>
      <c r="N191" s="19" t="n">
        <f aca="false">SUMIFS(Orders!$L:$L,Orders!$D:$D,$A191)</f>
        <v>0</v>
      </c>
      <c r="O191" s="19" t="n">
        <f aca="false">H191+N191</f>
        <v>127.8</v>
      </c>
      <c r="P191" s="30" t="n">
        <v>10</v>
      </c>
      <c r="Q191" s="19" t="n">
        <f aca="false">IF(SUMIFS('Sales History'!$E:$E,'Sales History'!$G:$G,$A191)&gt;0,SUMIFS('Sales History'!$E:$E,'Sales History'!$G:$G,$A191)/Settings!$B$4,N(P191))</f>
        <v>10</v>
      </c>
      <c r="R191" s="18" t="str">
        <f aca="false">IF(SUMIFS('Sales History'!$E:$E,'Sales History'!$G:$G,$A191)&gt;0,"6-month history",IF(N(P191)&gt;0,"Current sheet","No sales data"))</f>
        <v>Current sheet</v>
      </c>
      <c r="S191" s="31" t="n">
        <f aca="false">IF(Q191&gt;0,H191/Q191,"")</f>
        <v>12.78</v>
      </c>
      <c r="T191" s="30"/>
      <c r="U191" s="19" t="str">
        <f aca="false">IF(T191="","",MAX(0,T191-O191))</f>
        <v/>
      </c>
      <c r="V191" s="32" t="str">
        <f aca="false">IF(D191="End of range","END OF RANGE",IF(T191="","NO BUFFER SET",IF(H191&lt;=0,IF(O191&lt;T191,"OUT - REORDER","OUT - ON ORDER"),IF(O191&lt;T191,"REORDER",IF(H191&lt;T191,"LOW - ON ORDER",IF(AND(S191&lt;&gt;"",N(S191)&gt;Settings!$B$5),"SLOW MOVER","OK"))))))</f>
        <v>END OF RANGE</v>
      </c>
      <c r="W191" s="18"/>
      <c r="X191" s="33" t="n">
        <f aca="false">IF(OR(D191="End of range",U191=""),0,IF(N(U191)&gt;0,U191+ROW()/1000000,0))</f>
        <v>0</v>
      </c>
    </row>
    <row r="192" customFormat="false" ht="14.25" hidden="false" customHeight="true" outlineLevel="0" collapsed="false">
      <c r="A192" s="18" t="s">
        <v>466</v>
      </c>
      <c r="B192" s="18" t="s">
        <v>467</v>
      </c>
      <c r="C192" s="18" t="s">
        <v>331</v>
      </c>
      <c r="D192" s="18" t="s">
        <v>181</v>
      </c>
      <c r="E192" s="19" t="n">
        <f aca="false">SUMIFS('CPT Count'!$D:$D,'CPT Count'!$A:$A,$A192)-SUMIFS('Weekly Sales'!$F:$F,'Weekly Sales'!$H:$H,$A192,'Weekly Sales'!$I:$I,"CPT")+SUMIFS(Transfers!$F:$F,Transfers!$C:$C,$A192,Transfers!$J:$J,"CPT")-SUMIFS(Transfers!$F:$F,Transfers!$C:$C,$A192,Transfers!$I:$I,"CPT",Transfers!$H:$H,"&lt;&gt;Y")+SUMIFS('Stock Received'!$I:$I,'Stock Received'!$E:$E,$A192,'Stock Received'!$L:$L,"CPT")</f>
        <v>144</v>
      </c>
      <c r="F192" s="19" t="n">
        <f aca="false">SUMIFS('JHB Count'!$E:$E,'JHB Count'!$F:$F,$A192)-SUMIFS('Weekly Sales'!$F:$F,'Weekly Sales'!$H:$H,$A192,'Weekly Sales'!$I:$I,"JHB")+SUMIFS(Transfers!$F:$F,Transfers!$C:$C,$A192,Transfers!$J:$J,"JHB")-SUMIFS(Transfers!$F:$F,Transfers!$C:$C,$A192,Transfers!$I:$I,"JHB",Transfers!$H:$H,"&lt;&gt;Y")+SUMIFS('Stock Received'!$I:$I,'Stock Received'!$E:$E,$A192,'Stock Received'!$L:$L,"JHB")</f>
        <v>30.6</v>
      </c>
      <c r="G192" s="19" t="n">
        <f aca="false">SUMIFS('DBN Count'!$D:$D,'DBN Count'!$E:$E,$A192)-SUMIFS('Weekly Sales'!$F:$F,'Weekly Sales'!$H:$H,$A192,'Weekly Sales'!$I:$I,"DBN")+SUMIFS(Transfers!$F:$F,Transfers!$C:$C,$A192,Transfers!$J:$J,"DBN")-SUMIFS(Transfers!$F:$F,Transfers!$C:$C,$A192,Transfers!$I:$I,"DBN",Transfers!$H:$H,"&lt;&gt;Y")+SUMIFS('Stock Received'!$I:$I,'Stock Received'!$E:$E,$A192,'Stock Received'!$L:$L,"DBN")</f>
        <v>0</v>
      </c>
      <c r="H192" s="29" t="n">
        <f aca="false">E192+F192+G192</f>
        <v>174.6</v>
      </c>
      <c r="I192" s="19" t="n">
        <f aca="false">SUMIFS('Weekly Sales'!$F:$F,'Weekly Sales'!$H:$H,$A192)</f>
        <v>0</v>
      </c>
      <c r="J192" s="19" t="n">
        <f aca="false">SUMIFS(Orders!$L:$L,Orders!$D:$D,$A192,Orders!$F:$F,"&gt;="&amp;J$4,Orders!$F:$F,"&lt;"&amp;EDATE(J$4,1))</f>
        <v>0</v>
      </c>
      <c r="K192" s="19" t="n">
        <f aca="false">SUMIFS(Orders!$L:$L,Orders!$D:$D,$A192,Orders!$F:$F,"&gt;="&amp;K$4,Orders!$F:$F,"&lt;"&amp;EDATE(K$4,1))</f>
        <v>0</v>
      </c>
      <c r="L192" s="19" t="n">
        <f aca="false">SUMIFS(Orders!$L:$L,Orders!$D:$D,$A192,Orders!$F:$F,"&gt;="&amp;L$4,Orders!$F:$F,"&lt;"&amp;EDATE(L$4,1))</f>
        <v>0</v>
      </c>
      <c r="M192" s="19" t="n">
        <f aca="false">N192-J192-K192-L192</f>
        <v>0</v>
      </c>
      <c r="N192" s="19" t="n">
        <f aca="false">SUMIFS(Orders!$L:$L,Orders!$D:$D,$A192)</f>
        <v>0</v>
      </c>
      <c r="O192" s="19" t="n">
        <f aca="false">H192+N192</f>
        <v>174.6</v>
      </c>
      <c r="P192" s="30" t="n">
        <v>5</v>
      </c>
      <c r="Q192" s="19" t="n">
        <f aca="false">IF(SUMIFS('Sales History'!$E:$E,'Sales History'!$G:$G,$A192)&gt;0,SUMIFS('Sales History'!$E:$E,'Sales History'!$G:$G,$A192)/Settings!$B$4,N(P192))</f>
        <v>5</v>
      </c>
      <c r="R192" s="18" t="str">
        <f aca="false">IF(SUMIFS('Sales History'!$E:$E,'Sales History'!$G:$G,$A192)&gt;0,"6-month history",IF(N(P192)&gt;0,"Current sheet","No sales data"))</f>
        <v>Current sheet</v>
      </c>
      <c r="S192" s="31" t="n">
        <f aca="false">IF(Q192&gt;0,H192/Q192,"")</f>
        <v>34.92</v>
      </c>
      <c r="T192" s="30"/>
      <c r="U192" s="19" t="str">
        <f aca="false">IF(T192="","",MAX(0,T192-O192))</f>
        <v/>
      </c>
      <c r="V192" s="32" t="str">
        <f aca="false">IF(D192="End of range","END OF RANGE",IF(T192="","NO BUFFER SET",IF(H192&lt;=0,IF(O192&lt;T192,"OUT - REORDER","OUT - ON ORDER"),IF(O192&lt;T192,"REORDER",IF(H192&lt;T192,"LOW - ON ORDER",IF(AND(S192&lt;&gt;"",N(S192)&gt;Settings!$B$5),"SLOW MOVER","OK"))))))</f>
        <v>END OF RANGE</v>
      </c>
      <c r="W192" s="18"/>
      <c r="X192" s="33" t="n">
        <f aca="false">IF(OR(D192="End of range",U192=""),0,IF(N(U192)&gt;0,U192+ROW()/1000000,0))</f>
        <v>0</v>
      </c>
    </row>
    <row r="193" customFormat="false" ht="14.25" hidden="false" customHeight="true" outlineLevel="0" collapsed="false">
      <c r="A193" s="18" t="s">
        <v>468</v>
      </c>
      <c r="B193" s="18" t="s">
        <v>469</v>
      </c>
      <c r="C193" s="18" t="s">
        <v>331</v>
      </c>
      <c r="D193" s="18" t="s">
        <v>80</v>
      </c>
      <c r="E193" s="19" t="n">
        <f aca="false">SUMIFS('CPT Count'!$D:$D,'CPT Count'!$A:$A,$A193)-SUMIFS('Weekly Sales'!$F:$F,'Weekly Sales'!$H:$H,$A193,'Weekly Sales'!$I:$I,"CPT")+SUMIFS(Transfers!$F:$F,Transfers!$C:$C,$A193,Transfers!$J:$J,"CPT")-SUMIFS(Transfers!$F:$F,Transfers!$C:$C,$A193,Transfers!$I:$I,"CPT",Transfers!$H:$H,"&lt;&gt;Y")+SUMIFS('Stock Received'!$I:$I,'Stock Received'!$E:$E,$A193,'Stock Received'!$L:$L,"CPT")</f>
        <v>0</v>
      </c>
      <c r="F193" s="19" t="n">
        <f aca="false">SUMIFS('JHB Count'!$E:$E,'JHB Count'!$F:$F,$A193)-SUMIFS('Weekly Sales'!$F:$F,'Weekly Sales'!$H:$H,$A193,'Weekly Sales'!$I:$I,"JHB")+SUMIFS(Transfers!$F:$F,Transfers!$C:$C,$A193,Transfers!$J:$J,"JHB")-SUMIFS(Transfers!$F:$F,Transfers!$C:$C,$A193,Transfers!$I:$I,"JHB",Transfers!$H:$H,"&lt;&gt;Y")+SUMIFS('Stock Received'!$I:$I,'Stock Received'!$E:$E,$A193,'Stock Received'!$L:$L,"JHB")</f>
        <v>0</v>
      </c>
      <c r="G193" s="19" t="n">
        <f aca="false">SUMIFS('DBN Count'!$D:$D,'DBN Count'!$E:$E,$A193)-SUMIFS('Weekly Sales'!$F:$F,'Weekly Sales'!$H:$H,$A193,'Weekly Sales'!$I:$I,"DBN")+SUMIFS(Transfers!$F:$F,Transfers!$C:$C,$A193,Transfers!$J:$J,"DBN")-SUMIFS(Transfers!$F:$F,Transfers!$C:$C,$A193,Transfers!$I:$I,"DBN",Transfers!$H:$H,"&lt;&gt;Y")+SUMIFS('Stock Received'!$I:$I,'Stock Received'!$E:$E,$A193,'Stock Received'!$L:$L,"DBN")</f>
        <v>0</v>
      </c>
      <c r="H193" s="29" t="n">
        <f aca="false">E193+F193+G193</f>
        <v>0</v>
      </c>
      <c r="I193" s="19" t="n">
        <f aca="false">SUMIFS('Weekly Sales'!$F:$F,'Weekly Sales'!$H:$H,$A193)</f>
        <v>5.9</v>
      </c>
      <c r="J193" s="19" t="n">
        <f aca="false">SUMIFS(Orders!$L:$L,Orders!$D:$D,$A193,Orders!$F:$F,"&gt;="&amp;J$4,Orders!$F:$F,"&lt;"&amp;EDATE(J$4,1))</f>
        <v>0</v>
      </c>
      <c r="K193" s="19" t="n">
        <f aca="false">SUMIFS(Orders!$L:$L,Orders!$D:$D,$A193,Orders!$F:$F,"&gt;="&amp;K$4,Orders!$F:$F,"&lt;"&amp;EDATE(K$4,1))</f>
        <v>0</v>
      </c>
      <c r="L193" s="19" t="n">
        <f aca="false">SUMIFS(Orders!$L:$L,Orders!$D:$D,$A193,Orders!$F:$F,"&gt;="&amp;L$4,Orders!$F:$F,"&lt;"&amp;EDATE(L$4,1))</f>
        <v>0</v>
      </c>
      <c r="M193" s="19" t="n">
        <f aca="false">N193-J193-K193-L193</f>
        <v>0</v>
      </c>
      <c r="N193" s="19" t="n">
        <f aca="false">SUMIFS(Orders!$L:$L,Orders!$D:$D,$A193)</f>
        <v>0</v>
      </c>
      <c r="O193" s="19" t="n">
        <f aca="false">H193+N193</f>
        <v>0</v>
      </c>
      <c r="P193" s="30"/>
      <c r="Q193" s="19" t="n">
        <f aca="false">IF(SUMIFS('Sales History'!$E:$E,'Sales History'!$G:$G,$A193)&gt;0,SUMIFS('Sales History'!$E:$E,'Sales History'!$G:$G,$A193)/Settings!$B$4,N(P193))</f>
        <v>0</v>
      </c>
      <c r="R193" s="18" t="str">
        <f aca="false">IF(SUMIFS('Sales History'!$E:$E,'Sales History'!$G:$G,$A193)&gt;0,"6-month history",IF(N(P193)&gt;0,"Current sheet","No sales data"))</f>
        <v>No sales data</v>
      </c>
      <c r="S193" s="31" t="str">
        <f aca="false">IF(Q193&gt;0,H193/Q193,"")</f>
        <v/>
      </c>
      <c r="T193" s="30"/>
      <c r="U193" s="19" t="str">
        <f aca="false">IF(T193="","",MAX(0,T193-O193))</f>
        <v/>
      </c>
      <c r="V193" s="32" t="str">
        <f aca="false">IF(D193="End of range","END OF RANGE",IF(T193="","NO BUFFER SET",IF(H193&lt;=0,IF(O193&lt;T193,"OUT - REORDER","OUT - ON ORDER"),IF(O193&lt;T193,"REORDER",IF(H193&lt;T193,"LOW - ON ORDER",IF(AND(S193&lt;&gt;"",N(S193)&gt;Settings!$B$5),"SLOW MOVER","OK"))))))</f>
        <v>NO BUFFER SET</v>
      </c>
      <c r="W193" s="18"/>
      <c r="X193" s="33" t="n">
        <f aca="false">IF(OR(D193="End of range",U193=""),0,IF(N(U193)&gt;0,U193+ROW()/1000000,0))</f>
        <v>0</v>
      </c>
    </row>
    <row r="194" customFormat="false" ht="14.25" hidden="false" customHeight="true" outlineLevel="0" collapsed="false">
      <c r="A194" s="18" t="s">
        <v>470</v>
      </c>
      <c r="B194" s="18" t="s">
        <v>471</v>
      </c>
      <c r="C194" s="18" t="s">
        <v>331</v>
      </c>
      <c r="D194" s="18" t="s">
        <v>181</v>
      </c>
      <c r="E194" s="19" t="n">
        <f aca="false">SUMIFS('CPT Count'!$D:$D,'CPT Count'!$A:$A,$A194)-SUMIFS('Weekly Sales'!$F:$F,'Weekly Sales'!$H:$H,$A194,'Weekly Sales'!$I:$I,"CPT")+SUMIFS(Transfers!$F:$F,Transfers!$C:$C,$A194,Transfers!$J:$J,"CPT")-SUMIFS(Transfers!$F:$F,Transfers!$C:$C,$A194,Transfers!$I:$I,"CPT",Transfers!$H:$H,"&lt;&gt;Y")+SUMIFS('Stock Received'!$I:$I,'Stock Received'!$E:$E,$A194,'Stock Received'!$L:$L,"CPT")</f>
        <v>18</v>
      </c>
      <c r="F194" s="19" t="n">
        <f aca="false">SUMIFS('JHB Count'!$E:$E,'JHB Count'!$F:$F,$A194)-SUMIFS('Weekly Sales'!$F:$F,'Weekly Sales'!$H:$H,$A194,'Weekly Sales'!$I:$I,"JHB")+SUMIFS(Transfers!$F:$F,Transfers!$C:$C,$A194,Transfers!$J:$J,"JHB")-SUMIFS(Transfers!$F:$F,Transfers!$C:$C,$A194,Transfers!$I:$I,"JHB",Transfers!$H:$H,"&lt;&gt;Y")+SUMIFS('Stock Received'!$I:$I,'Stock Received'!$E:$E,$A194,'Stock Received'!$L:$L,"JHB")</f>
        <v>0</v>
      </c>
      <c r="G194" s="19" t="n">
        <f aca="false">SUMIFS('DBN Count'!$D:$D,'DBN Count'!$E:$E,$A194)-SUMIFS('Weekly Sales'!$F:$F,'Weekly Sales'!$H:$H,$A194,'Weekly Sales'!$I:$I,"DBN")+SUMIFS(Transfers!$F:$F,Transfers!$C:$C,$A194,Transfers!$J:$J,"DBN")-SUMIFS(Transfers!$F:$F,Transfers!$C:$C,$A194,Transfers!$I:$I,"DBN",Transfers!$H:$H,"&lt;&gt;Y")+SUMIFS('Stock Received'!$I:$I,'Stock Received'!$E:$E,$A194,'Stock Received'!$L:$L,"DBN")</f>
        <v>0</v>
      </c>
      <c r="H194" s="29" t="n">
        <f aca="false">E194+F194+G194</f>
        <v>18</v>
      </c>
      <c r="I194" s="19" t="n">
        <f aca="false">SUMIFS('Weekly Sales'!$F:$F,'Weekly Sales'!$H:$H,$A194)</f>
        <v>0</v>
      </c>
      <c r="J194" s="19" t="n">
        <f aca="false">SUMIFS(Orders!$L:$L,Orders!$D:$D,$A194,Orders!$F:$F,"&gt;="&amp;J$4,Orders!$F:$F,"&lt;"&amp;EDATE(J$4,1))</f>
        <v>0</v>
      </c>
      <c r="K194" s="19" t="n">
        <f aca="false">SUMIFS(Orders!$L:$L,Orders!$D:$D,$A194,Orders!$F:$F,"&gt;="&amp;K$4,Orders!$F:$F,"&lt;"&amp;EDATE(K$4,1))</f>
        <v>0</v>
      </c>
      <c r="L194" s="19" t="n">
        <f aca="false">SUMIFS(Orders!$L:$L,Orders!$D:$D,$A194,Orders!$F:$F,"&gt;="&amp;L$4,Orders!$F:$F,"&lt;"&amp;EDATE(L$4,1))</f>
        <v>0</v>
      </c>
      <c r="M194" s="19" t="n">
        <f aca="false">N194-J194-K194-L194</f>
        <v>0</v>
      </c>
      <c r="N194" s="19" t="n">
        <f aca="false">SUMIFS(Orders!$L:$L,Orders!$D:$D,$A194)</f>
        <v>0</v>
      </c>
      <c r="O194" s="19" t="n">
        <f aca="false">H194+N194</f>
        <v>18</v>
      </c>
      <c r="P194" s="30" t="n">
        <v>5</v>
      </c>
      <c r="Q194" s="19" t="n">
        <f aca="false">IF(SUMIFS('Sales History'!$E:$E,'Sales History'!$G:$G,$A194)&gt;0,SUMIFS('Sales History'!$E:$E,'Sales History'!$G:$G,$A194)/Settings!$B$4,N(P194))</f>
        <v>5</v>
      </c>
      <c r="R194" s="18" t="str">
        <f aca="false">IF(SUMIFS('Sales History'!$E:$E,'Sales History'!$G:$G,$A194)&gt;0,"6-month history",IF(N(P194)&gt;0,"Current sheet","No sales data"))</f>
        <v>Current sheet</v>
      </c>
      <c r="S194" s="31" t="n">
        <f aca="false">IF(Q194&gt;0,H194/Q194,"")</f>
        <v>3.6</v>
      </c>
      <c r="T194" s="30"/>
      <c r="U194" s="19" t="str">
        <f aca="false">IF(T194="","",MAX(0,T194-O194))</f>
        <v/>
      </c>
      <c r="V194" s="32" t="str">
        <f aca="false">IF(D194="End of range","END OF RANGE",IF(T194="","NO BUFFER SET",IF(H194&lt;=0,IF(O194&lt;T194,"OUT - REORDER","OUT - ON ORDER"),IF(O194&lt;T194,"REORDER",IF(H194&lt;T194,"LOW - ON ORDER",IF(AND(S194&lt;&gt;"",N(S194)&gt;Settings!$B$5),"SLOW MOVER","OK"))))))</f>
        <v>END OF RANGE</v>
      </c>
      <c r="W194" s="18"/>
      <c r="X194" s="33" t="n">
        <f aca="false">IF(OR(D194="End of range",U194=""),0,IF(N(U194)&gt;0,U194+ROW()/1000000,0))</f>
        <v>0</v>
      </c>
    </row>
    <row r="195" customFormat="false" ht="14.25" hidden="false" customHeight="true" outlineLevel="0" collapsed="false">
      <c r="A195" s="18" t="s">
        <v>472</v>
      </c>
      <c r="B195" s="18" t="s">
        <v>473</v>
      </c>
      <c r="C195" s="18" t="s">
        <v>331</v>
      </c>
      <c r="D195" s="18" t="s">
        <v>181</v>
      </c>
      <c r="E195" s="19" t="n">
        <f aca="false">SUMIFS('CPT Count'!$D:$D,'CPT Count'!$A:$A,$A195)-SUMIFS('Weekly Sales'!$F:$F,'Weekly Sales'!$H:$H,$A195,'Weekly Sales'!$I:$I,"CPT")+SUMIFS(Transfers!$F:$F,Transfers!$C:$C,$A195,Transfers!$J:$J,"CPT")-SUMIFS(Transfers!$F:$F,Transfers!$C:$C,$A195,Transfers!$I:$I,"CPT",Transfers!$H:$H,"&lt;&gt;Y")+SUMIFS('Stock Received'!$I:$I,'Stock Received'!$E:$E,$A195,'Stock Received'!$L:$L,"CPT")</f>
        <v>36</v>
      </c>
      <c r="F195" s="19" t="n">
        <f aca="false">SUMIFS('JHB Count'!$E:$E,'JHB Count'!$F:$F,$A195)-SUMIFS('Weekly Sales'!$F:$F,'Weekly Sales'!$H:$H,$A195,'Weekly Sales'!$I:$I,"JHB")+SUMIFS(Transfers!$F:$F,Transfers!$C:$C,$A195,Transfers!$J:$J,"JHB")-SUMIFS(Transfers!$F:$F,Transfers!$C:$C,$A195,Transfers!$I:$I,"JHB",Transfers!$H:$H,"&lt;&gt;Y")+SUMIFS('Stock Received'!$I:$I,'Stock Received'!$E:$E,$A195,'Stock Received'!$L:$L,"JHB")</f>
        <v>16.2</v>
      </c>
      <c r="G195" s="19" t="n">
        <f aca="false">SUMIFS('DBN Count'!$D:$D,'DBN Count'!$E:$E,$A195)-SUMIFS('Weekly Sales'!$F:$F,'Weekly Sales'!$H:$H,$A195,'Weekly Sales'!$I:$I,"DBN")+SUMIFS(Transfers!$F:$F,Transfers!$C:$C,$A195,Transfers!$J:$J,"DBN")-SUMIFS(Transfers!$F:$F,Transfers!$C:$C,$A195,Transfers!$I:$I,"DBN",Transfers!$H:$H,"&lt;&gt;Y")+SUMIFS('Stock Received'!$I:$I,'Stock Received'!$E:$E,$A195,'Stock Received'!$L:$L,"DBN")</f>
        <v>7.82</v>
      </c>
      <c r="H195" s="29" t="n">
        <f aca="false">E195+F195+G195</f>
        <v>60.02</v>
      </c>
      <c r="I195" s="19" t="n">
        <f aca="false">SUMIFS('Weekly Sales'!$F:$F,'Weekly Sales'!$H:$H,$A195)</f>
        <v>0</v>
      </c>
      <c r="J195" s="19" t="n">
        <f aca="false">SUMIFS(Orders!$L:$L,Orders!$D:$D,$A195,Orders!$F:$F,"&gt;="&amp;J$4,Orders!$F:$F,"&lt;"&amp;EDATE(J$4,1))</f>
        <v>0</v>
      </c>
      <c r="K195" s="19" t="n">
        <f aca="false">SUMIFS(Orders!$L:$L,Orders!$D:$D,$A195,Orders!$F:$F,"&gt;="&amp;K$4,Orders!$F:$F,"&lt;"&amp;EDATE(K$4,1))</f>
        <v>0</v>
      </c>
      <c r="L195" s="19" t="n">
        <f aca="false">SUMIFS(Orders!$L:$L,Orders!$D:$D,$A195,Orders!$F:$F,"&gt;="&amp;L$4,Orders!$F:$F,"&lt;"&amp;EDATE(L$4,1))</f>
        <v>0</v>
      </c>
      <c r="M195" s="19" t="n">
        <f aca="false">N195-J195-K195-L195</f>
        <v>0</v>
      </c>
      <c r="N195" s="19" t="n">
        <f aca="false">SUMIFS(Orders!$L:$L,Orders!$D:$D,$A195)</f>
        <v>0</v>
      </c>
      <c r="O195" s="19" t="n">
        <f aca="false">H195+N195</f>
        <v>60.02</v>
      </c>
      <c r="P195" s="30"/>
      <c r="Q195" s="19" t="n">
        <f aca="false">IF(SUMIFS('Sales History'!$E:$E,'Sales History'!$G:$G,$A195)&gt;0,SUMIFS('Sales History'!$E:$E,'Sales History'!$G:$G,$A195)/Settings!$B$4,N(P195))</f>
        <v>0</v>
      </c>
      <c r="R195" s="18" t="str">
        <f aca="false">IF(SUMIFS('Sales History'!$E:$E,'Sales History'!$G:$G,$A195)&gt;0,"6-month history",IF(N(P195)&gt;0,"Current sheet","No sales data"))</f>
        <v>No sales data</v>
      </c>
      <c r="S195" s="31" t="str">
        <f aca="false">IF(Q195&gt;0,H195/Q195,"")</f>
        <v/>
      </c>
      <c r="T195" s="30"/>
      <c r="U195" s="19" t="str">
        <f aca="false">IF(T195="","",MAX(0,T195-O195))</f>
        <v/>
      </c>
      <c r="V195" s="32" t="str">
        <f aca="false">IF(D195="End of range","END OF RANGE",IF(T195="","NO BUFFER SET",IF(H195&lt;=0,IF(O195&lt;T195,"OUT - REORDER","OUT - ON ORDER"),IF(O195&lt;T195,"REORDER",IF(H195&lt;T195,"LOW - ON ORDER",IF(AND(S195&lt;&gt;"",N(S195)&gt;Settings!$B$5),"SLOW MOVER","OK"))))))</f>
        <v>END OF RANGE</v>
      </c>
      <c r="W195" s="18"/>
      <c r="X195" s="33" t="n">
        <f aca="false">IF(OR(D195="End of range",U195=""),0,IF(N(U195)&gt;0,U195+ROW()/1000000,0))</f>
        <v>0</v>
      </c>
    </row>
    <row r="196" customFormat="false" ht="14.25" hidden="false" customHeight="true" outlineLevel="0" collapsed="false">
      <c r="A196" s="18" t="s">
        <v>474</v>
      </c>
      <c r="B196" s="18" t="s">
        <v>475</v>
      </c>
      <c r="C196" s="18" t="s">
        <v>331</v>
      </c>
      <c r="D196" s="18" t="s">
        <v>181</v>
      </c>
      <c r="E196" s="19" t="n">
        <f aca="false">SUMIFS('CPT Count'!$D:$D,'CPT Count'!$A:$A,$A196)-SUMIFS('Weekly Sales'!$F:$F,'Weekly Sales'!$H:$H,$A196,'Weekly Sales'!$I:$I,"CPT")+SUMIFS(Transfers!$F:$F,Transfers!$C:$C,$A196,Transfers!$J:$J,"CPT")-SUMIFS(Transfers!$F:$F,Transfers!$C:$C,$A196,Transfers!$I:$I,"CPT",Transfers!$H:$H,"&lt;&gt;Y")+SUMIFS('Stock Received'!$I:$I,'Stock Received'!$E:$E,$A196,'Stock Received'!$L:$L,"CPT")</f>
        <v>189</v>
      </c>
      <c r="F196" s="19" t="n">
        <f aca="false">SUMIFS('JHB Count'!$E:$E,'JHB Count'!$F:$F,$A196)-SUMIFS('Weekly Sales'!$F:$F,'Weekly Sales'!$H:$H,$A196,'Weekly Sales'!$I:$I,"JHB")+SUMIFS(Transfers!$F:$F,Transfers!$C:$C,$A196,Transfers!$J:$J,"JHB")-SUMIFS(Transfers!$F:$F,Transfers!$C:$C,$A196,Transfers!$I:$I,"JHB",Transfers!$H:$H,"&lt;&gt;Y")+SUMIFS('Stock Received'!$I:$I,'Stock Received'!$E:$E,$A196,'Stock Received'!$L:$L,"JHB")</f>
        <v>19.8</v>
      </c>
      <c r="G196" s="19" t="n">
        <f aca="false">SUMIFS('DBN Count'!$D:$D,'DBN Count'!$E:$E,$A196)-SUMIFS('Weekly Sales'!$F:$F,'Weekly Sales'!$H:$H,$A196,'Weekly Sales'!$I:$I,"DBN")+SUMIFS(Transfers!$F:$F,Transfers!$C:$C,$A196,Transfers!$J:$J,"DBN")-SUMIFS(Transfers!$F:$F,Transfers!$C:$C,$A196,Transfers!$I:$I,"DBN",Transfers!$H:$H,"&lt;&gt;Y")+SUMIFS('Stock Received'!$I:$I,'Stock Received'!$E:$E,$A196,'Stock Received'!$L:$L,"DBN")</f>
        <v>0</v>
      </c>
      <c r="H196" s="29" t="n">
        <f aca="false">E196+F196+G196</f>
        <v>208.8</v>
      </c>
      <c r="I196" s="19" t="n">
        <f aca="false">SUMIFS('Weekly Sales'!$F:$F,'Weekly Sales'!$H:$H,$A196)</f>
        <v>0</v>
      </c>
      <c r="J196" s="19" t="n">
        <f aca="false">SUMIFS(Orders!$L:$L,Orders!$D:$D,$A196,Orders!$F:$F,"&gt;="&amp;J$4,Orders!$F:$F,"&lt;"&amp;EDATE(J$4,1))</f>
        <v>0</v>
      </c>
      <c r="K196" s="19" t="n">
        <f aca="false">SUMIFS(Orders!$L:$L,Orders!$D:$D,$A196,Orders!$F:$F,"&gt;="&amp;K$4,Orders!$F:$F,"&lt;"&amp;EDATE(K$4,1))</f>
        <v>0</v>
      </c>
      <c r="L196" s="19" t="n">
        <f aca="false">SUMIFS(Orders!$L:$L,Orders!$D:$D,$A196,Orders!$F:$F,"&gt;="&amp;L$4,Orders!$F:$F,"&lt;"&amp;EDATE(L$4,1))</f>
        <v>0</v>
      </c>
      <c r="M196" s="19" t="n">
        <f aca="false">N196-J196-K196-L196</f>
        <v>0</v>
      </c>
      <c r="N196" s="19" t="n">
        <f aca="false">SUMIFS(Orders!$L:$L,Orders!$D:$D,$A196)</f>
        <v>0</v>
      </c>
      <c r="O196" s="19" t="n">
        <f aca="false">H196+N196</f>
        <v>208.8</v>
      </c>
      <c r="P196" s="30"/>
      <c r="Q196" s="19" t="n">
        <f aca="false">IF(SUMIFS('Sales History'!$E:$E,'Sales History'!$G:$G,$A196)&gt;0,SUMIFS('Sales History'!$E:$E,'Sales History'!$G:$G,$A196)/Settings!$B$4,N(P196))</f>
        <v>0</v>
      </c>
      <c r="R196" s="18" t="str">
        <f aca="false">IF(SUMIFS('Sales History'!$E:$E,'Sales History'!$G:$G,$A196)&gt;0,"6-month history",IF(N(P196)&gt;0,"Current sheet","No sales data"))</f>
        <v>No sales data</v>
      </c>
      <c r="S196" s="31" t="str">
        <f aca="false">IF(Q196&gt;0,H196/Q196,"")</f>
        <v/>
      </c>
      <c r="T196" s="30"/>
      <c r="U196" s="19" t="str">
        <f aca="false">IF(T196="","",MAX(0,T196-O196))</f>
        <v/>
      </c>
      <c r="V196" s="32" t="str">
        <f aca="false">IF(D196="End of range","END OF RANGE",IF(T196="","NO BUFFER SET",IF(H196&lt;=0,IF(O196&lt;T196,"OUT - REORDER","OUT - ON ORDER"),IF(O196&lt;T196,"REORDER",IF(H196&lt;T196,"LOW - ON ORDER",IF(AND(S196&lt;&gt;"",N(S196)&gt;Settings!$B$5),"SLOW MOVER","OK"))))))</f>
        <v>END OF RANGE</v>
      </c>
      <c r="W196" s="18"/>
      <c r="X196" s="33" t="n">
        <f aca="false">IF(OR(D196="End of range",U196=""),0,IF(N(U196)&gt;0,U196+ROW()/1000000,0))</f>
        <v>0</v>
      </c>
    </row>
    <row r="197" customFormat="false" ht="14.25" hidden="false" customHeight="true" outlineLevel="0" collapsed="false">
      <c r="A197" s="18" t="s">
        <v>476</v>
      </c>
      <c r="B197" s="18" t="s">
        <v>477</v>
      </c>
      <c r="C197" s="18" t="s">
        <v>331</v>
      </c>
      <c r="D197" s="18" t="s">
        <v>181</v>
      </c>
      <c r="E197" s="19" t="n">
        <f aca="false">SUMIFS('CPT Count'!$D:$D,'CPT Count'!$A:$A,$A197)-SUMIFS('Weekly Sales'!$F:$F,'Weekly Sales'!$H:$H,$A197,'Weekly Sales'!$I:$I,"CPT")+SUMIFS(Transfers!$F:$F,Transfers!$C:$C,$A197,Transfers!$J:$J,"CPT")-SUMIFS(Transfers!$F:$F,Transfers!$C:$C,$A197,Transfers!$I:$I,"CPT",Transfers!$H:$H,"&lt;&gt;Y")+SUMIFS('Stock Received'!$I:$I,'Stock Received'!$E:$E,$A197,'Stock Received'!$L:$L,"CPT")</f>
        <v>135</v>
      </c>
      <c r="F197" s="19" t="n">
        <f aca="false">SUMIFS('JHB Count'!$E:$E,'JHB Count'!$F:$F,$A197)-SUMIFS('Weekly Sales'!$F:$F,'Weekly Sales'!$H:$H,$A197,'Weekly Sales'!$I:$I,"JHB")+SUMIFS(Transfers!$F:$F,Transfers!$C:$C,$A197,Transfers!$J:$J,"JHB")-SUMIFS(Transfers!$F:$F,Transfers!$C:$C,$A197,Transfers!$I:$I,"JHB",Transfers!$H:$H,"&lt;&gt;Y")+SUMIFS('Stock Received'!$I:$I,'Stock Received'!$E:$E,$A197,'Stock Received'!$L:$L,"JHB")</f>
        <v>-0.0499999999999999</v>
      </c>
      <c r="G197" s="19" t="n">
        <f aca="false">SUMIFS('DBN Count'!$D:$D,'DBN Count'!$E:$E,$A197)-SUMIFS('Weekly Sales'!$F:$F,'Weekly Sales'!$H:$H,$A197,'Weekly Sales'!$I:$I,"DBN")+SUMIFS(Transfers!$F:$F,Transfers!$C:$C,$A197,Transfers!$J:$J,"DBN")-SUMIFS(Transfers!$F:$F,Transfers!$C:$C,$A197,Transfers!$I:$I,"DBN",Transfers!$H:$H,"&lt;&gt;Y")+SUMIFS('Stock Received'!$I:$I,'Stock Received'!$E:$E,$A197,'Stock Received'!$L:$L,"DBN")</f>
        <v>0</v>
      </c>
      <c r="H197" s="29" t="n">
        <f aca="false">E197+F197+G197</f>
        <v>134.95</v>
      </c>
      <c r="I197" s="19" t="n">
        <f aca="false">SUMIFS('Weekly Sales'!$F:$F,'Weekly Sales'!$H:$H,$A197)</f>
        <v>1.95</v>
      </c>
      <c r="J197" s="19" t="n">
        <f aca="false">SUMIFS(Orders!$L:$L,Orders!$D:$D,$A197,Orders!$F:$F,"&gt;="&amp;J$4,Orders!$F:$F,"&lt;"&amp;EDATE(J$4,1))</f>
        <v>0</v>
      </c>
      <c r="K197" s="19" t="n">
        <f aca="false">SUMIFS(Orders!$L:$L,Orders!$D:$D,$A197,Orders!$F:$F,"&gt;="&amp;K$4,Orders!$F:$F,"&lt;"&amp;EDATE(K$4,1))</f>
        <v>0</v>
      </c>
      <c r="L197" s="19" t="n">
        <f aca="false">SUMIFS(Orders!$L:$L,Orders!$D:$D,$A197,Orders!$F:$F,"&gt;="&amp;L$4,Orders!$F:$F,"&lt;"&amp;EDATE(L$4,1))</f>
        <v>0</v>
      </c>
      <c r="M197" s="19" t="n">
        <f aca="false">N197-J197-K197-L197</f>
        <v>0</v>
      </c>
      <c r="N197" s="19" t="n">
        <f aca="false">SUMIFS(Orders!$L:$L,Orders!$D:$D,$A197)</f>
        <v>0</v>
      </c>
      <c r="O197" s="19" t="n">
        <f aca="false">H197+N197</f>
        <v>134.95</v>
      </c>
      <c r="P197" s="30"/>
      <c r="Q197" s="19" t="n">
        <f aca="false">IF(SUMIFS('Sales History'!$E:$E,'Sales History'!$G:$G,$A197)&gt;0,SUMIFS('Sales History'!$E:$E,'Sales History'!$G:$G,$A197)/Settings!$B$4,N(P197))</f>
        <v>0</v>
      </c>
      <c r="R197" s="18" t="str">
        <f aca="false">IF(SUMIFS('Sales History'!$E:$E,'Sales History'!$G:$G,$A197)&gt;0,"6-month history",IF(N(P197)&gt;0,"Current sheet","No sales data"))</f>
        <v>No sales data</v>
      </c>
      <c r="S197" s="31" t="str">
        <f aca="false">IF(Q197&gt;0,H197/Q197,"")</f>
        <v/>
      </c>
      <c r="T197" s="30"/>
      <c r="U197" s="19" t="str">
        <f aca="false">IF(T197="","",MAX(0,T197-O197))</f>
        <v/>
      </c>
      <c r="V197" s="32" t="str">
        <f aca="false">IF(D197="End of range","END OF RANGE",IF(T197="","NO BUFFER SET",IF(H197&lt;=0,IF(O197&lt;T197,"OUT - REORDER","OUT - ON ORDER"),IF(O197&lt;T197,"REORDER",IF(H197&lt;T197,"LOW - ON ORDER",IF(AND(S197&lt;&gt;"",N(S197)&gt;Settings!$B$5),"SLOW MOVER","OK"))))))</f>
        <v>END OF RANGE</v>
      </c>
      <c r="W197" s="18"/>
      <c r="X197" s="33" t="n">
        <f aca="false">IF(OR(D197="End of range",U197=""),0,IF(N(U197)&gt;0,U197+ROW()/1000000,0))</f>
        <v>0</v>
      </c>
    </row>
    <row r="198" customFormat="false" ht="14.25" hidden="false" customHeight="true" outlineLevel="0" collapsed="false">
      <c r="A198" s="18" t="s">
        <v>478</v>
      </c>
      <c r="B198" s="18" t="s">
        <v>479</v>
      </c>
      <c r="C198" s="18" t="s">
        <v>331</v>
      </c>
      <c r="D198" s="18" t="s">
        <v>181</v>
      </c>
      <c r="E198" s="19" t="n">
        <f aca="false">SUMIFS('CPT Count'!$D:$D,'CPT Count'!$A:$A,$A198)-SUMIFS('Weekly Sales'!$F:$F,'Weekly Sales'!$H:$H,$A198,'Weekly Sales'!$I:$I,"CPT")+SUMIFS(Transfers!$F:$F,Transfers!$C:$C,$A198,Transfers!$J:$J,"CPT")-SUMIFS(Transfers!$F:$F,Transfers!$C:$C,$A198,Transfers!$I:$I,"CPT",Transfers!$H:$H,"&lt;&gt;Y")+SUMIFS('Stock Received'!$I:$I,'Stock Received'!$E:$E,$A198,'Stock Received'!$L:$L,"CPT")</f>
        <v>171</v>
      </c>
      <c r="F198" s="19" t="n">
        <f aca="false">SUMIFS('JHB Count'!$E:$E,'JHB Count'!$F:$F,$A198)-SUMIFS('Weekly Sales'!$F:$F,'Weekly Sales'!$H:$H,$A198,'Weekly Sales'!$I:$I,"JHB")+SUMIFS(Transfers!$F:$F,Transfers!$C:$C,$A198,Transfers!$J:$J,"JHB")-SUMIFS(Transfers!$F:$F,Transfers!$C:$C,$A198,Transfers!$I:$I,"JHB",Transfers!$H:$H,"&lt;&gt;Y")+SUMIFS('Stock Received'!$I:$I,'Stock Received'!$E:$E,$A198,'Stock Received'!$L:$L,"JHB")</f>
        <v>0</v>
      </c>
      <c r="G198" s="19" t="n">
        <f aca="false">SUMIFS('DBN Count'!$D:$D,'DBN Count'!$E:$E,$A198)-SUMIFS('Weekly Sales'!$F:$F,'Weekly Sales'!$H:$H,$A198,'Weekly Sales'!$I:$I,"DBN")+SUMIFS(Transfers!$F:$F,Transfers!$C:$C,$A198,Transfers!$J:$J,"DBN")-SUMIFS(Transfers!$F:$F,Transfers!$C:$C,$A198,Transfers!$I:$I,"DBN",Transfers!$H:$H,"&lt;&gt;Y")+SUMIFS('Stock Received'!$I:$I,'Stock Received'!$E:$E,$A198,'Stock Received'!$L:$L,"DBN")</f>
        <v>0</v>
      </c>
      <c r="H198" s="29" t="n">
        <f aca="false">E198+F198+G198</f>
        <v>171</v>
      </c>
      <c r="I198" s="19" t="n">
        <f aca="false">SUMIFS('Weekly Sales'!$F:$F,'Weekly Sales'!$H:$H,$A198)</f>
        <v>0</v>
      </c>
      <c r="J198" s="19" t="n">
        <f aca="false">SUMIFS(Orders!$L:$L,Orders!$D:$D,$A198,Orders!$F:$F,"&gt;="&amp;J$4,Orders!$F:$F,"&lt;"&amp;EDATE(J$4,1))</f>
        <v>0</v>
      </c>
      <c r="K198" s="19" t="n">
        <f aca="false">SUMIFS(Orders!$L:$L,Orders!$D:$D,$A198,Orders!$F:$F,"&gt;="&amp;K$4,Orders!$F:$F,"&lt;"&amp;EDATE(K$4,1))</f>
        <v>0</v>
      </c>
      <c r="L198" s="19" t="n">
        <f aca="false">SUMIFS(Orders!$L:$L,Orders!$D:$D,$A198,Orders!$F:$F,"&gt;="&amp;L$4,Orders!$F:$F,"&lt;"&amp;EDATE(L$4,1))</f>
        <v>0</v>
      </c>
      <c r="M198" s="19" t="n">
        <f aca="false">N198-J198-K198-L198</f>
        <v>0</v>
      </c>
      <c r="N198" s="19" t="n">
        <f aca="false">SUMIFS(Orders!$L:$L,Orders!$D:$D,$A198)</f>
        <v>0</v>
      </c>
      <c r="O198" s="19" t="n">
        <f aca="false">H198+N198</f>
        <v>171</v>
      </c>
      <c r="P198" s="30"/>
      <c r="Q198" s="19" t="n">
        <f aca="false">IF(SUMIFS('Sales History'!$E:$E,'Sales History'!$G:$G,$A198)&gt;0,SUMIFS('Sales History'!$E:$E,'Sales History'!$G:$G,$A198)/Settings!$B$4,N(P198))</f>
        <v>0</v>
      </c>
      <c r="R198" s="18" t="str">
        <f aca="false">IF(SUMIFS('Sales History'!$E:$E,'Sales History'!$G:$G,$A198)&gt;0,"6-month history",IF(N(P198)&gt;0,"Current sheet","No sales data"))</f>
        <v>No sales data</v>
      </c>
      <c r="S198" s="31" t="str">
        <f aca="false">IF(Q198&gt;0,H198/Q198,"")</f>
        <v/>
      </c>
      <c r="T198" s="30"/>
      <c r="U198" s="19" t="str">
        <f aca="false">IF(T198="","",MAX(0,T198-O198))</f>
        <v/>
      </c>
      <c r="V198" s="32" t="str">
        <f aca="false">IF(D198="End of range","END OF RANGE",IF(T198="","NO BUFFER SET",IF(H198&lt;=0,IF(O198&lt;T198,"OUT - REORDER","OUT - ON ORDER"),IF(O198&lt;T198,"REORDER",IF(H198&lt;T198,"LOW - ON ORDER",IF(AND(S198&lt;&gt;"",N(S198)&gt;Settings!$B$5),"SLOW MOVER","OK"))))))</f>
        <v>END OF RANGE</v>
      </c>
      <c r="W198" s="18"/>
      <c r="X198" s="33" t="n">
        <f aca="false">IF(OR(D198="End of range",U198=""),0,IF(N(U198)&gt;0,U198+ROW()/1000000,0))</f>
        <v>0</v>
      </c>
    </row>
    <row r="199" customFormat="false" ht="14.25" hidden="false" customHeight="true" outlineLevel="0" collapsed="false">
      <c r="A199" s="18" t="s">
        <v>480</v>
      </c>
      <c r="B199" s="18" t="s">
        <v>481</v>
      </c>
      <c r="C199" s="18" t="s">
        <v>331</v>
      </c>
      <c r="D199" s="18" t="s">
        <v>181</v>
      </c>
      <c r="E199" s="19" t="n">
        <f aca="false">SUMIFS('CPT Count'!$D:$D,'CPT Count'!$A:$A,$A199)-SUMIFS('Weekly Sales'!$F:$F,'Weekly Sales'!$H:$H,$A199,'Weekly Sales'!$I:$I,"CPT")+SUMIFS(Transfers!$F:$F,Transfers!$C:$C,$A199,Transfers!$J:$J,"CPT")-SUMIFS(Transfers!$F:$F,Transfers!$C:$C,$A199,Transfers!$I:$I,"CPT",Transfers!$H:$H,"&lt;&gt;Y")+SUMIFS('Stock Received'!$I:$I,'Stock Received'!$E:$E,$A199,'Stock Received'!$L:$L,"CPT")</f>
        <v>450</v>
      </c>
      <c r="F199" s="19" t="n">
        <f aca="false">SUMIFS('JHB Count'!$E:$E,'JHB Count'!$F:$F,$A199)-SUMIFS('Weekly Sales'!$F:$F,'Weekly Sales'!$H:$H,$A199,'Weekly Sales'!$I:$I,"JHB")+SUMIFS(Transfers!$F:$F,Transfers!$C:$C,$A199,Transfers!$J:$J,"JHB")-SUMIFS(Transfers!$F:$F,Transfers!$C:$C,$A199,Transfers!$I:$I,"JHB",Transfers!$H:$H,"&lt;&gt;Y")+SUMIFS('Stock Received'!$I:$I,'Stock Received'!$E:$E,$A199,'Stock Received'!$L:$L,"JHB")</f>
        <v>0</v>
      </c>
      <c r="G199" s="19" t="n">
        <f aca="false">SUMIFS('DBN Count'!$D:$D,'DBN Count'!$E:$E,$A199)-SUMIFS('Weekly Sales'!$F:$F,'Weekly Sales'!$H:$H,$A199,'Weekly Sales'!$I:$I,"DBN")+SUMIFS(Transfers!$F:$F,Transfers!$C:$C,$A199,Transfers!$J:$J,"DBN")-SUMIFS(Transfers!$F:$F,Transfers!$C:$C,$A199,Transfers!$I:$I,"DBN",Transfers!$H:$H,"&lt;&gt;Y")+SUMIFS('Stock Received'!$I:$I,'Stock Received'!$E:$E,$A199,'Stock Received'!$L:$L,"DBN")</f>
        <v>15.8</v>
      </c>
      <c r="H199" s="29" t="n">
        <f aca="false">E199+F199+G199</f>
        <v>465.8</v>
      </c>
      <c r="I199" s="19" t="n">
        <f aca="false">SUMIFS('Weekly Sales'!$F:$F,'Weekly Sales'!$H:$H,$A199)</f>
        <v>0</v>
      </c>
      <c r="J199" s="19" t="n">
        <f aca="false">SUMIFS(Orders!$L:$L,Orders!$D:$D,$A199,Orders!$F:$F,"&gt;="&amp;J$4,Orders!$F:$F,"&lt;"&amp;EDATE(J$4,1))</f>
        <v>0</v>
      </c>
      <c r="K199" s="19" t="n">
        <f aca="false">SUMIFS(Orders!$L:$L,Orders!$D:$D,$A199,Orders!$F:$F,"&gt;="&amp;K$4,Orders!$F:$F,"&lt;"&amp;EDATE(K$4,1))</f>
        <v>0</v>
      </c>
      <c r="L199" s="19" t="n">
        <f aca="false">SUMIFS(Orders!$L:$L,Orders!$D:$D,$A199,Orders!$F:$F,"&gt;="&amp;L$4,Orders!$F:$F,"&lt;"&amp;EDATE(L$4,1))</f>
        <v>0</v>
      </c>
      <c r="M199" s="19" t="n">
        <f aca="false">N199-J199-K199-L199</f>
        <v>0</v>
      </c>
      <c r="N199" s="19" t="n">
        <f aca="false">SUMIFS(Orders!$L:$L,Orders!$D:$D,$A199)</f>
        <v>0</v>
      </c>
      <c r="O199" s="19" t="n">
        <f aca="false">H199+N199</f>
        <v>465.8</v>
      </c>
      <c r="P199" s="30"/>
      <c r="Q199" s="19" t="n">
        <f aca="false">IF(SUMIFS('Sales History'!$E:$E,'Sales History'!$G:$G,$A199)&gt;0,SUMIFS('Sales History'!$E:$E,'Sales History'!$G:$G,$A199)/Settings!$B$4,N(P199))</f>
        <v>0</v>
      </c>
      <c r="R199" s="18" t="str">
        <f aca="false">IF(SUMIFS('Sales History'!$E:$E,'Sales History'!$G:$G,$A199)&gt;0,"6-month history",IF(N(P199)&gt;0,"Current sheet","No sales data"))</f>
        <v>No sales data</v>
      </c>
      <c r="S199" s="31" t="str">
        <f aca="false">IF(Q199&gt;0,H199/Q199,"")</f>
        <v/>
      </c>
      <c r="T199" s="30"/>
      <c r="U199" s="19" t="str">
        <f aca="false">IF(T199="","",MAX(0,T199-O199))</f>
        <v/>
      </c>
      <c r="V199" s="32" t="str">
        <f aca="false">IF(D199="End of range","END OF RANGE",IF(T199="","NO BUFFER SET",IF(H199&lt;=0,IF(O199&lt;T199,"OUT - REORDER","OUT - ON ORDER"),IF(O199&lt;T199,"REORDER",IF(H199&lt;T199,"LOW - ON ORDER",IF(AND(S199&lt;&gt;"",N(S199)&gt;Settings!$B$5),"SLOW MOVER","OK"))))))</f>
        <v>END OF RANGE</v>
      </c>
      <c r="W199" s="18"/>
      <c r="X199" s="33" t="n">
        <f aca="false">IF(OR(D199="End of range",U199=""),0,IF(N(U199)&gt;0,U199+ROW()/1000000,0))</f>
        <v>0</v>
      </c>
    </row>
    <row r="200" customFormat="false" ht="14.25" hidden="false" customHeight="true" outlineLevel="0" collapsed="false">
      <c r="A200" s="18" t="s">
        <v>482</v>
      </c>
      <c r="B200" s="18" t="s">
        <v>483</v>
      </c>
      <c r="C200" s="18" t="s">
        <v>331</v>
      </c>
      <c r="D200" s="18" t="s">
        <v>181</v>
      </c>
      <c r="E200" s="19" t="n">
        <f aca="false">SUMIFS('CPT Count'!$D:$D,'CPT Count'!$A:$A,$A200)-SUMIFS('Weekly Sales'!$F:$F,'Weekly Sales'!$H:$H,$A200,'Weekly Sales'!$I:$I,"CPT")+SUMIFS(Transfers!$F:$F,Transfers!$C:$C,$A200,Transfers!$J:$J,"CPT")-SUMIFS(Transfers!$F:$F,Transfers!$C:$C,$A200,Transfers!$I:$I,"CPT",Transfers!$H:$H,"&lt;&gt;Y")+SUMIFS('Stock Received'!$I:$I,'Stock Received'!$E:$E,$A200,'Stock Received'!$L:$L,"CPT")</f>
        <v>3.6</v>
      </c>
      <c r="F200" s="19" t="n">
        <f aca="false">SUMIFS('JHB Count'!$E:$E,'JHB Count'!$F:$F,$A200)-SUMIFS('Weekly Sales'!$F:$F,'Weekly Sales'!$H:$H,$A200,'Weekly Sales'!$I:$I,"JHB")+SUMIFS(Transfers!$F:$F,Transfers!$C:$C,$A200,Transfers!$J:$J,"JHB")-SUMIFS(Transfers!$F:$F,Transfers!$C:$C,$A200,Transfers!$I:$I,"JHB",Transfers!$H:$H,"&lt;&gt;Y")+SUMIFS('Stock Received'!$I:$I,'Stock Received'!$E:$E,$A200,'Stock Received'!$L:$L,"JHB")</f>
        <v>0</v>
      </c>
      <c r="G200" s="19" t="n">
        <f aca="false">SUMIFS('DBN Count'!$D:$D,'DBN Count'!$E:$E,$A200)-SUMIFS('Weekly Sales'!$F:$F,'Weekly Sales'!$H:$H,$A200,'Weekly Sales'!$I:$I,"DBN")+SUMIFS(Transfers!$F:$F,Transfers!$C:$C,$A200,Transfers!$J:$J,"DBN")-SUMIFS(Transfers!$F:$F,Transfers!$C:$C,$A200,Transfers!$I:$I,"DBN",Transfers!$H:$H,"&lt;&gt;Y")+SUMIFS('Stock Received'!$I:$I,'Stock Received'!$E:$E,$A200,'Stock Received'!$L:$L,"DBN")</f>
        <v>0</v>
      </c>
      <c r="H200" s="29" t="n">
        <f aca="false">E200+F200+G200</f>
        <v>3.6</v>
      </c>
      <c r="I200" s="19" t="n">
        <f aca="false">SUMIFS('Weekly Sales'!$F:$F,'Weekly Sales'!$H:$H,$A200)</f>
        <v>0</v>
      </c>
      <c r="J200" s="19" t="n">
        <f aca="false">SUMIFS(Orders!$L:$L,Orders!$D:$D,$A200,Orders!$F:$F,"&gt;="&amp;J$4,Orders!$F:$F,"&lt;"&amp;EDATE(J$4,1))</f>
        <v>0</v>
      </c>
      <c r="K200" s="19" t="n">
        <f aca="false">SUMIFS(Orders!$L:$L,Orders!$D:$D,$A200,Orders!$F:$F,"&gt;="&amp;K$4,Orders!$F:$F,"&lt;"&amp;EDATE(K$4,1))</f>
        <v>0</v>
      </c>
      <c r="L200" s="19" t="n">
        <f aca="false">SUMIFS(Orders!$L:$L,Orders!$D:$D,$A200,Orders!$F:$F,"&gt;="&amp;L$4,Orders!$F:$F,"&lt;"&amp;EDATE(L$4,1))</f>
        <v>0</v>
      </c>
      <c r="M200" s="19" t="n">
        <f aca="false">N200-J200-K200-L200</f>
        <v>0</v>
      </c>
      <c r="N200" s="19" t="n">
        <f aca="false">SUMIFS(Orders!$L:$L,Orders!$D:$D,$A200)</f>
        <v>0</v>
      </c>
      <c r="O200" s="19" t="n">
        <f aca="false">H200+N200</f>
        <v>3.6</v>
      </c>
      <c r="P200" s="30"/>
      <c r="Q200" s="19" t="n">
        <f aca="false">IF(SUMIFS('Sales History'!$E:$E,'Sales History'!$G:$G,$A200)&gt;0,SUMIFS('Sales History'!$E:$E,'Sales History'!$G:$G,$A200)/Settings!$B$4,N(P200))</f>
        <v>0</v>
      </c>
      <c r="R200" s="18" t="str">
        <f aca="false">IF(SUMIFS('Sales History'!$E:$E,'Sales History'!$G:$G,$A200)&gt;0,"6-month history",IF(N(P200)&gt;0,"Current sheet","No sales data"))</f>
        <v>No sales data</v>
      </c>
      <c r="S200" s="31" t="str">
        <f aca="false">IF(Q200&gt;0,H200/Q200,"")</f>
        <v/>
      </c>
      <c r="T200" s="30"/>
      <c r="U200" s="19" t="str">
        <f aca="false">IF(T200="","",MAX(0,T200-O200))</f>
        <v/>
      </c>
      <c r="V200" s="32" t="str">
        <f aca="false">IF(D200="End of range","END OF RANGE",IF(T200="","NO BUFFER SET",IF(H200&lt;=0,IF(O200&lt;T200,"OUT - REORDER","OUT - ON ORDER"),IF(O200&lt;T200,"REORDER",IF(H200&lt;T200,"LOW - ON ORDER",IF(AND(S200&lt;&gt;"",N(S200)&gt;Settings!$B$5),"SLOW MOVER","OK"))))))</f>
        <v>END OF RANGE</v>
      </c>
      <c r="W200" s="18"/>
      <c r="X200" s="33" t="n">
        <f aca="false">IF(OR(D200="End of range",U200=""),0,IF(N(U200)&gt;0,U200+ROW()/1000000,0))</f>
        <v>0</v>
      </c>
    </row>
    <row r="201" customFormat="false" ht="14.25" hidden="false" customHeight="true" outlineLevel="0" collapsed="false">
      <c r="A201" s="18" t="s">
        <v>484</v>
      </c>
      <c r="B201" s="18" t="s">
        <v>485</v>
      </c>
      <c r="C201" s="18" t="s">
        <v>331</v>
      </c>
      <c r="D201" s="18" t="s">
        <v>80</v>
      </c>
      <c r="E201" s="19" t="n">
        <f aca="false">SUMIFS('CPT Count'!$D:$D,'CPT Count'!$A:$A,$A201)-SUMIFS('Weekly Sales'!$F:$F,'Weekly Sales'!$H:$H,$A201,'Weekly Sales'!$I:$I,"CPT")+SUMIFS(Transfers!$F:$F,Transfers!$C:$C,$A201,Transfers!$J:$J,"CPT")-SUMIFS(Transfers!$F:$F,Transfers!$C:$C,$A201,Transfers!$I:$I,"CPT",Transfers!$H:$H,"&lt;&gt;Y")+SUMIFS('Stock Received'!$I:$I,'Stock Received'!$E:$E,$A201,'Stock Received'!$L:$L,"CPT")</f>
        <v>0</v>
      </c>
      <c r="F201" s="19" t="n">
        <f aca="false">SUMIFS('JHB Count'!$E:$E,'JHB Count'!$F:$F,$A201)-SUMIFS('Weekly Sales'!$F:$F,'Weekly Sales'!$H:$H,$A201,'Weekly Sales'!$I:$I,"JHB")+SUMIFS(Transfers!$F:$F,Transfers!$C:$C,$A201,Transfers!$J:$J,"JHB")-SUMIFS(Transfers!$F:$F,Transfers!$C:$C,$A201,Transfers!$I:$I,"JHB",Transfers!$H:$H,"&lt;&gt;Y")+SUMIFS('Stock Received'!$I:$I,'Stock Received'!$E:$E,$A201,'Stock Received'!$L:$L,"JHB")</f>
        <v>55.8</v>
      </c>
      <c r="G201" s="19" t="n">
        <f aca="false">SUMIFS('DBN Count'!$D:$D,'DBN Count'!$E:$E,$A201)-SUMIFS('Weekly Sales'!$F:$F,'Weekly Sales'!$H:$H,$A201,'Weekly Sales'!$I:$I,"DBN")+SUMIFS(Transfers!$F:$F,Transfers!$C:$C,$A201,Transfers!$J:$J,"DBN")-SUMIFS(Transfers!$F:$F,Transfers!$C:$C,$A201,Transfers!$I:$I,"DBN",Transfers!$H:$H,"&lt;&gt;Y")+SUMIFS('Stock Received'!$I:$I,'Stock Received'!$E:$E,$A201,'Stock Received'!$L:$L,"DBN")</f>
        <v>9.46</v>
      </c>
      <c r="H201" s="29" t="n">
        <f aca="false">E201+F201+G201</f>
        <v>65.26</v>
      </c>
      <c r="I201" s="19" t="n">
        <f aca="false">SUMIFS('Weekly Sales'!$F:$F,'Weekly Sales'!$H:$H,$A201)</f>
        <v>0</v>
      </c>
      <c r="J201" s="19" t="n">
        <f aca="false">SUMIFS(Orders!$L:$L,Orders!$D:$D,$A201,Orders!$F:$F,"&gt;="&amp;J$4,Orders!$F:$F,"&lt;"&amp;EDATE(J$4,1))</f>
        <v>0</v>
      </c>
      <c r="K201" s="19" t="n">
        <f aca="false">SUMIFS(Orders!$L:$L,Orders!$D:$D,$A201,Orders!$F:$F,"&gt;="&amp;K$4,Orders!$F:$F,"&lt;"&amp;EDATE(K$4,1))</f>
        <v>0</v>
      </c>
      <c r="L201" s="19" t="n">
        <f aca="false">SUMIFS(Orders!$L:$L,Orders!$D:$D,$A201,Orders!$F:$F,"&gt;="&amp;L$4,Orders!$F:$F,"&lt;"&amp;EDATE(L$4,1))</f>
        <v>0</v>
      </c>
      <c r="M201" s="19" t="n">
        <f aca="false">N201-J201-K201-L201</f>
        <v>0</v>
      </c>
      <c r="N201" s="19" t="n">
        <f aca="false">SUMIFS(Orders!$L:$L,Orders!$D:$D,$A201)</f>
        <v>0</v>
      </c>
      <c r="O201" s="19" t="n">
        <f aca="false">H201+N201</f>
        <v>65.26</v>
      </c>
      <c r="P201" s="30"/>
      <c r="Q201" s="19" t="n">
        <f aca="false">IF(SUMIFS('Sales History'!$E:$E,'Sales History'!$G:$G,$A201)&gt;0,SUMIFS('Sales History'!$E:$E,'Sales History'!$G:$G,$A201)/Settings!$B$4,N(P201))</f>
        <v>0</v>
      </c>
      <c r="R201" s="18" t="str">
        <f aca="false">IF(SUMIFS('Sales History'!$E:$E,'Sales History'!$G:$G,$A201)&gt;0,"6-month history",IF(N(P201)&gt;0,"Current sheet","No sales data"))</f>
        <v>No sales data</v>
      </c>
      <c r="S201" s="31" t="str">
        <f aca="false">IF(Q201&gt;0,H201/Q201,"")</f>
        <v/>
      </c>
      <c r="T201" s="30"/>
      <c r="U201" s="19" t="str">
        <f aca="false">IF(T201="","",MAX(0,T201-O201))</f>
        <v/>
      </c>
      <c r="V201" s="32" t="str">
        <f aca="false">IF(D201="End of range","END OF RANGE",IF(T201="","NO BUFFER SET",IF(H201&lt;=0,IF(O201&lt;T201,"OUT - REORDER","OUT - ON ORDER"),IF(O201&lt;T201,"REORDER",IF(H201&lt;T201,"LOW - ON ORDER",IF(AND(S201&lt;&gt;"",N(S201)&gt;Settings!$B$5),"SLOW MOVER","OK"))))))</f>
        <v>NO BUFFER SET</v>
      </c>
      <c r="W201" s="18" t="s">
        <v>295</v>
      </c>
      <c r="X201" s="33" t="n">
        <f aca="false">IF(OR(D201="End of range",U201=""),0,IF(N(U201)&gt;0,U201+ROW()/1000000,0))</f>
        <v>0</v>
      </c>
    </row>
    <row r="202" customFormat="false" ht="14.25" hidden="false" customHeight="true" outlineLevel="0" collapsed="false">
      <c r="A202" s="18" t="s">
        <v>486</v>
      </c>
      <c r="B202" s="18" t="s">
        <v>487</v>
      </c>
      <c r="C202" s="18" t="s">
        <v>331</v>
      </c>
      <c r="D202" s="18" t="s">
        <v>80</v>
      </c>
      <c r="E202" s="19" t="n">
        <f aca="false">SUMIFS('CPT Count'!$D:$D,'CPT Count'!$A:$A,$A202)-SUMIFS('Weekly Sales'!$F:$F,'Weekly Sales'!$H:$H,$A202,'Weekly Sales'!$I:$I,"CPT")+SUMIFS(Transfers!$F:$F,Transfers!$C:$C,$A202,Transfers!$J:$J,"CPT")-SUMIFS(Transfers!$F:$F,Transfers!$C:$C,$A202,Transfers!$I:$I,"CPT",Transfers!$H:$H,"&lt;&gt;Y")+SUMIFS('Stock Received'!$I:$I,'Stock Received'!$E:$E,$A202,'Stock Received'!$L:$L,"CPT")</f>
        <v>0</v>
      </c>
      <c r="F202" s="19" t="n">
        <f aca="false">SUMIFS('JHB Count'!$E:$E,'JHB Count'!$F:$F,$A202)-SUMIFS('Weekly Sales'!$F:$F,'Weekly Sales'!$H:$H,$A202,'Weekly Sales'!$I:$I,"JHB")+SUMIFS(Transfers!$F:$F,Transfers!$C:$C,$A202,Transfers!$J:$J,"JHB")-SUMIFS(Transfers!$F:$F,Transfers!$C:$C,$A202,Transfers!$I:$I,"JHB",Transfers!$H:$H,"&lt;&gt;Y")+SUMIFS('Stock Received'!$I:$I,'Stock Received'!$E:$E,$A202,'Stock Received'!$L:$L,"JHB")</f>
        <v>0</v>
      </c>
      <c r="G202" s="19" t="n">
        <f aca="false">SUMIFS('DBN Count'!$D:$D,'DBN Count'!$E:$E,$A202)-SUMIFS('Weekly Sales'!$F:$F,'Weekly Sales'!$H:$H,$A202,'Weekly Sales'!$I:$I,"DBN")+SUMIFS(Transfers!$F:$F,Transfers!$C:$C,$A202,Transfers!$J:$J,"DBN")-SUMIFS(Transfers!$F:$F,Transfers!$C:$C,$A202,Transfers!$I:$I,"DBN",Transfers!$H:$H,"&lt;&gt;Y")+SUMIFS('Stock Received'!$I:$I,'Stock Received'!$E:$E,$A202,'Stock Received'!$L:$L,"DBN")</f>
        <v>0</v>
      </c>
      <c r="H202" s="29" t="n">
        <f aca="false">E202+F202+G202</f>
        <v>0</v>
      </c>
      <c r="I202" s="19" t="n">
        <f aca="false">SUMIFS('Weekly Sales'!$F:$F,'Weekly Sales'!$H:$H,$A202)</f>
        <v>9.2</v>
      </c>
      <c r="J202" s="19" t="n">
        <f aca="false">SUMIFS(Orders!$L:$L,Orders!$D:$D,$A202,Orders!$F:$F,"&gt;="&amp;J$4,Orders!$F:$F,"&lt;"&amp;EDATE(J$4,1))</f>
        <v>0</v>
      </c>
      <c r="K202" s="19" t="n">
        <f aca="false">SUMIFS(Orders!$L:$L,Orders!$D:$D,$A202,Orders!$F:$F,"&gt;="&amp;K$4,Orders!$F:$F,"&lt;"&amp;EDATE(K$4,1))</f>
        <v>0</v>
      </c>
      <c r="L202" s="19" t="n">
        <f aca="false">SUMIFS(Orders!$L:$L,Orders!$D:$D,$A202,Orders!$F:$F,"&gt;="&amp;L$4,Orders!$F:$F,"&lt;"&amp;EDATE(L$4,1))</f>
        <v>0</v>
      </c>
      <c r="M202" s="19" t="n">
        <f aca="false">N202-J202-K202-L202</f>
        <v>0</v>
      </c>
      <c r="N202" s="19" t="n">
        <f aca="false">SUMIFS(Orders!$L:$L,Orders!$D:$D,$A202)</f>
        <v>0</v>
      </c>
      <c r="O202" s="19" t="n">
        <f aca="false">H202+N202</f>
        <v>0</v>
      </c>
      <c r="P202" s="30"/>
      <c r="Q202" s="19" t="n">
        <f aca="false">IF(SUMIFS('Sales History'!$E:$E,'Sales History'!$G:$G,$A202)&gt;0,SUMIFS('Sales History'!$E:$E,'Sales History'!$G:$G,$A202)/Settings!$B$4,N(P202))</f>
        <v>0</v>
      </c>
      <c r="R202" s="18" t="str">
        <f aca="false">IF(SUMIFS('Sales History'!$E:$E,'Sales History'!$G:$G,$A202)&gt;0,"6-month history",IF(N(P202)&gt;0,"Current sheet","No sales data"))</f>
        <v>No sales data</v>
      </c>
      <c r="S202" s="31" t="str">
        <f aca="false">IF(Q202&gt;0,H202/Q202,"")</f>
        <v/>
      </c>
      <c r="T202" s="30"/>
      <c r="U202" s="19" t="str">
        <f aca="false">IF(T202="","",MAX(0,T202-O202))</f>
        <v/>
      </c>
      <c r="V202" s="32" t="str">
        <f aca="false">IF(D202="End of range","END OF RANGE",IF(T202="","NO BUFFER SET",IF(H202&lt;=0,IF(O202&lt;T202,"OUT - REORDER","OUT - ON ORDER"),IF(O202&lt;T202,"REORDER",IF(H202&lt;T202,"LOW - ON ORDER",IF(AND(S202&lt;&gt;"",N(S202)&gt;Settings!$B$5),"SLOW MOVER","OK"))))))</f>
        <v>NO BUFFER SET</v>
      </c>
      <c r="W202" s="18" t="s">
        <v>295</v>
      </c>
      <c r="X202" s="33" t="n">
        <f aca="false">IF(OR(D202="End of range",U202=""),0,IF(N(U202)&gt;0,U202+ROW()/1000000,0))</f>
        <v>0</v>
      </c>
    </row>
    <row r="203" customFormat="false" ht="14.25" hidden="false" customHeight="true" outlineLevel="0" collapsed="false">
      <c r="A203" s="18" t="s">
        <v>488</v>
      </c>
      <c r="B203" s="18" t="s">
        <v>489</v>
      </c>
      <c r="C203" s="18" t="s">
        <v>331</v>
      </c>
      <c r="D203" s="18" t="s">
        <v>181</v>
      </c>
      <c r="E203" s="19" t="n">
        <f aca="false">SUMIFS('CPT Count'!$D:$D,'CPT Count'!$A:$A,$A203)-SUMIFS('Weekly Sales'!$F:$F,'Weekly Sales'!$H:$H,$A203,'Weekly Sales'!$I:$I,"CPT")+SUMIFS(Transfers!$F:$F,Transfers!$C:$C,$A203,Transfers!$J:$J,"CPT")-SUMIFS(Transfers!$F:$F,Transfers!$C:$C,$A203,Transfers!$I:$I,"CPT",Transfers!$H:$H,"&lt;&gt;Y")+SUMIFS('Stock Received'!$I:$I,'Stock Received'!$E:$E,$A203,'Stock Received'!$L:$L,"CPT")</f>
        <v>0</v>
      </c>
      <c r="F203" s="19" t="n">
        <f aca="false">SUMIFS('JHB Count'!$E:$E,'JHB Count'!$F:$F,$A203)-SUMIFS('Weekly Sales'!$F:$F,'Weekly Sales'!$H:$H,$A203,'Weekly Sales'!$I:$I,"JHB")+SUMIFS(Transfers!$F:$F,Transfers!$C:$C,$A203,Transfers!$J:$J,"JHB")-SUMIFS(Transfers!$F:$F,Transfers!$C:$C,$A203,Transfers!$I:$I,"JHB",Transfers!$H:$H,"&lt;&gt;Y")+SUMIFS('Stock Received'!$I:$I,'Stock Received'!$E:$E,$A203,'Stock Received'!$L:$L,"JHB")</f>
        <v>0</v>
      </c>
      <c r="G203" s="19" t="n">
        <f aca="false">SUMIFS('DBN Count'!$D:$D,'DBN Count'!$E:$E,$A203)-SUMIFS('Weekly Sales'!$F:$F,'Weekly Sales'!$H:$H,$A203,'Weekly Sales'!$I:$I,"DBN")+SUMIFS(Transfers!$F:$F,Transfers!$C:$C,$A203,Transfers!$J:$J,"DBN")-SUMIFS(Transfers!$F:$F,Transfers!$C:$C,$A203,Transfers!$I:$I,"DBN",Transfers!$H:$H,"&lt;&gt;Y")+SUMIFS('Stock Received'!$I:$I,'Stock Received'!$E:$E,$A203,'Stock Received'!$L:$L,"DBN")</f>
        <v>17.62</v>
      </c>
      <c r="H203" s="29" t="n">
        <f aca="false">E203+F203+G203</f>
        <v>17.62</v>
      </c>
      <c r="I203" s="19" t="n">
        <f aca="false">SUMIFS('Weekly Sales'!$F:$F,'Weekly Sales'!$H:$H,$A203)</f>
        <v>0</v>
      </c>
      <c r="J203" s="19" t="n">
        <f aca="false">SUMIFS(Orders!$L:$L,Orders!$D:$D,$A203,Orders!$F:$F,"&gt;="&amp;J$4,Orders!$F:$F,"&lt;"&amp;EDATE(J$4,1))</f>
        <v>0</v>
      </c>
      <c r="K203" s="19" t="n">
        <f aca="false">SUMIFS(Orders!$L:$L,Orders!$D:$D,$A203,Orders!$F:$F,"&gt;="&amp;K$4,Orders!$F:$F,"&lt;"&amp;EDATE(K$4,1))</f>
        <v>0</v>
      </c>
      <c r="L203" s="19" t="n">
        <f aca="false">SUMIFS(Orders!$L:$L,Orders!$D:$D,$A203,Orders!$F:$F,"&gt;="&amp;L$4,Orders!$F:$F,"&lt;"&amp;EDATE(L$4,1))</f>
        <v>0</v>
      </c>
      <c r="M203" s="19" t="n">
        <f aca="false">N203-J203-K203-L203</f>
        <v>0</v>
      </c>
      <c r="N203" s="19" t="n">
        <f aca="false">SUMIFS(Orders!$L:$L,Orders!$D:$D,$A203)</f>
        <v>0</v>
      </c>
      <c r="O203" s="19" t="n">
        <f aca="false">H203+N203</f>
        <v>17.62</v>
      </c>
      <c r="P203" s="30"/>
      <c r="Q203" s="19" t="n">
        <f aca="false">IF(SUMIFS('Sales History'!$E:$E,'Sales History'!$G:$G,$A203)&gt;0,SUMIFS('Sales History'!$E:$E,'Sales History'!$G:$G,$A203)/Settings!$B$4,N(P203))</f>
        <v>0</v>
      </c>
      <c r="R203" s="18" t="str">
        <f aca="false">IF(SUMIFS('Sales History'!$E:$E,'Sales History'!$G:$G,$A203)&gt;0,"6-month history",IF(N(P203)&gt;0,"Current sheet","No sales data"))</f>
        <v>No sales data</v>
      </c>
      <c r="S203" s="31" t="str">
        <f aca="false">IF(Q203&gt;0,H203/Q203,"")</f>
        <v/>
      </c>
      <c r="T203" s="30"/>
      <c r="U203" s="19" t="str">
        <f aca="false">IF(T203="","",MAX(0,T203-O203))</f>
        <v/>
      </c>
      <c r="V203" s="32" t="str">
        <f aca="false">IF(D203="End of range","END OF RANGE",IF(T203="","NO BUFFER SET",IF(H203&lt;=0,IF(O203&lt;T203,"OUT - REORDER","OUT - ON ORDER"),IF(O203&lt;T203,"REORDER",IF(H203&lt;T203,"LOW - ON ORDER",IF(AND(S203&lt;&gt;"",N(S203)&gt;Settings!$B$5),"SLOW MOVER","OK"))))))</f>
        <v>END OF RANGE</v>
      </c>
      <c r="W203" s="18" t="s">
        <v>295</v>
      </c>
      <c r="X203" s="33" t="n">
        <f aca="false">IF(OR(D203="End of range",U203=""),0,IF(N(U203)&gt;0,U203+ROW()/1000000,0))</f>
        <v>0</v>
      </c>
    </row>
    <row r="204" customFormat="false" ht="14.25" hidden="false" customHeight="true" outlineLevel="0" collapsed="false">
      <c r="A204" s="18" t="s">
        <v>490</v>
      </c>
      <c r="B204" s="18" t="s">
        <v>491</v>
      </c>
      <c r="C204" s="18" t="s">
        <v>331</v>
      </c>
      <c r="D204" s="18" t="s">
        <v>181</v>
      </c>
      <c r="E204" s="19" t="n">
        <f aca="false">SUMIFS('CPT Count'!$D:$D,'CPT Count'!$A:$A,$A204)-SUMIFS('Weekly Sales'!$F:$F,'Weekly Sales'!$H:$H,$A204,'Weekly Sales'!$I:$I,"CPT")+SUMIFS(Transfers!$F:$F,Transfers!$C:$C,$A204,Transfers!$J:$J,"CPT")-SUMIFS(Transfers!$F:$F,Transfers!$C:$C,$A204,Transfers!$I:$I,"CPT",Transfers!$H:$H,"&lt;&gt;Y")+SUMIFS('Stock Received'!$I:$I,'Stock Received'!$E:$E,$A204,'Stock Received'!$L:$L,"CPT")</f>
        <v>0</v>
      </c>
      <c r="F204" s="19" t="n">
        <f aca="false">SUMIFS('JHB Count'!$E:$E,'JHB Count'!$F:$F,$A204)-SUMIFS('Weekly Sales'!$F:$F,'Weekly Sales'!$H:$H,$A204,'Weekly Sales'!$I:$I,"JHB")+SUMIFS(Transfers!$F:$F,Transfers!$C:$C,$A204,Transfers!$J:$J,"JHB")-SUMIFS(Transfers!$F:$F,Transfers!$C:$C,$A204,Transfers!$I:$I,"JHB",Transfers!$H:$H,"&lt;&gt;Y")+SUMIFS('Stock Received'!$I:$I,'Stock Received'!$E:$E,$A204,'Stock Received'!$L:$L,"JHB")</f>
        <v>12.83</v>
      </c>
      <c r="G204" s="19" t="n">
        <f aca="false">SUMIFS('DBN Count'!$D:$D,'DBN Count'!$E:$E,$A204)-SUMIFS('Weekly Sales'!$F:$F,'Weekly Sales'!$H:$H,$A204,'Weekly Sales'!$I:$I,"DBN")+SUMIFS(Transfers!$F:$F,Transfers!$C:$C,$A204,Transfers!$J:$J,"DBN")-SUMIFS(Transfers!$F:$F,Transfers!$C:$C,$A204,Transfers!$I:$I,"DBN",Transfers!$H:$H,"&lt;&gt;Y")+SUMIFS('Stock Received'!$I:$I,'Stock Received'!$E:$E,$A204,'Stock Received'!$L:$L,"DBN")</f>
        <v>80.21</v>
      </c>
      <c r="H204" s="29" t="n">
        <f aca="false">E204+F204+G204</f>
        <v>93.04</v>
      </c>
      <c r="I204" s="19" t="n">
        <f aca="false">SUMIFS('Weekly Sales'!$F:$F,'Weekly Sales'!$H:$H,$A204)</f>
        <v>1.57</v>
      </c>
      <c r="J204" s="19" t="n">
        <f aca="false">SUMIFS(Orders!$L:$L,Orders!$D:$D,$A204,Orders!$F:$F,"&gt;="&amp;J$4,Orders!$F:$F,"&lt;"&amp;EDATE(J$4,1))</f>
        <v>0</v>
      </c>
      <c r="K204" s="19" t="n">
        <f aca="false">SUMIFS(Orders!$L:$L,Orders!$D:$D,$A204,Orders!$F:$F,"&gt;="&amp;K$4,Orders!$F:$F,"&lt;"&amp;EDATE(K$4,1))</f>
        <v>0</v>
      </c>
      <c r="L204" s="19" t="n">
        <f aca="false">SUMIFS(Orders!$L:$L,Orders!$D:$D,$A204,Orders!$F:$F,"&gt;="&amp;L$4,Orders!$F:$F,"&lt;"&amp;EDATE(L$4,1))</f>
        <v>0</v>
      </c>
      <c r="M204" s="19" t="n">
        <f aca="false">N204-J204-K204-L204</f>
        <v>0</v>
      </c>
      <c r="N204" s="19" t="n">
        <f aca="false">SUMIFS(Orders!$L:$L,Orders!$D:$D,$A204)</f>
        <v>0</v>
      </c>
      <c r="O204" s="19" t="n">
        <f aca="false">H204+N204</f>
        <v>93.04</v>
      </c>
      <c r="P204" s="30"/>
      <c r="Q204" s="19" t="n">
        <f aca="false">IF(SUMIFS('Sales History'!$E:$E,'Sales History'!$G:$G,$A204)&gt;0,SUMIFS('Sales History'!$E:$E,'Sales History'!$G:$G,$A204)/Settings!$B$4,N(P204))</f>
        <v>0</v>
      </c>
      <c r="R204" s="18" t="str">
        <f aca="false">IF(SUMIFS('Sales History'!$E:$E,'Sales History'!$G:$G,$A204)&gt;0,"6-month history",IF(N(P204)&gt;0,"Current sheet","No sales data"))</f>
        <v>No sales data</v>
      </c>
      <c r="S204" s="31" t="str">
        <f aca="false">IF(Q204&gt;0,H204/Q204,"")</f>
        <v/>
      </c>
      <c r="T204" s="30"/>
      <c r="U204" s="19" t="str">
        <f aca="false">IF(T204="","",MAX(0,T204-O204))</f>
        <v/>
      </c>
      <c r="V204" s="32" t="str">
        <f aca="false">IF(D204="End of range","END OF RANGE",IF(T204="","NO BUFFER SET",IF(H204&lt;=0,IF(O204&lt;T204,"OUT - REORDER","OUT - ON ORDER"),IF(O204&lt;T204,"REORDER",IF(H204&lt;T204,"LOW - ON ORDER",IF(AND(S204&lt;&gt;"",N(S204)&gt;Settings!$B$5),"SLOW MOVER","OK"))))))</f>
        <v>END OF RANGE</v>
      </c>
      <c r="W204" s="18" t="s">
        <v>295</v>
      </c>
      <c r="X204" s="33" t="n">
        <f aca="false">IF(OR(D204="End of range",U204=""),0,IF(N(U204)&gt;0,U204+ROW()/1000000,0))</f>
        <v>0</v>
      </c>
    </row>
    <row r="205" customFormat="false" ht="14.25" hidden="false" customHeight="true" outlineLevel="0" collapsed="false">
      <c r="A205" s="18" t="s">
        <v>492</v>
      </c>
      <c r="B205" s="18" t="s">
        <v>493</v>
      </c>
      <c r="C205" s="18" t="s">
        <v>331</v>
      </c>
      <c r="D205" s="18" t="s">
        <v>181</v>
      </c>
      <c r="E205" s="19" t="n">
        <f aca="false">SUMIFS('CPT Count'!$D:$D,'CPT Count'!$A:$A,$A205)-SUMIFS('Weekly Sales'!$F:$F,'Weekly Sales'!$H:$H,$A205,'Weekly Sales'!$I:$I,"CPT")+SUMIFS(Transfers!$F:$F,Transfers!$C:$C,$A205,Transfers!$J:$J,"CPT")-SUMIFS(Transfers!$F:$F,Transfers!$C:$C,$A205,Transfers!$I:$I,"CPT",Transfers!$H:$H,"&lt;&gt;Y")+SUMIFS('Stock Received'!$I:$I,'Stock Received'!$E:$E,$A205,'Stock Received'!$L:$L,"CPT")</f>
        <v>0</v>
      </c>
      <c r="F205" s="19" t="n">
        <f aca="false">SUMIFS('JHB Count'!$E:$E,'JHB Count'!$F:$F,$A205)-SUMIFS('Weekly Sales'!$F:$F,'Weekly Sales'!$H:$H,$A205,'Weekly Sales'!$I:$I,"JHB")+SUMIFS(Transfers!$F:$F,Transfers!$C:$C,$A205,Transfers!$J:$J,"JHB")-SUMIFS(Transfers!$F:$F,Transfers!$C:$C,$A205,Transfers!$I:$I,"JHB",Transfers!$H:$H,"&lt;&gt;Y")+SUMIFS('Stock Received'!$I:$I,'Stock Received'!$E:$E,$A205,'Stock Received'!$L:$L,"JHB")</f>
        <v>7.2</v>
      </c>
      <c r="G205" s="19" t="n">
        <f aca="false">SUMIFS('DBN Count'!$D:$D,'DBN Count'!$E:$E,$A205)-SUMIFS('Weekly Sales'!$F:$F,'Weekly Sales'!$H:$H,$A205,'Weekly Sales'!$I:$I,"DBN")+SUMIFS(Transfers!$F:$F,Transfers!$C:$C,$A205,Transfers!$J:$J,"DBN")-SUMIFS(Transfers!$F:$F,Transfers!$C:$C,$A205,Transfers!$I:$I,"DBN",Transfers!$H:$H,"&lt;&gt;Y")+SUMIFS('Stock Received'!$I:$I,'Stock Received'!$E:$E,$A205,'Stock Received'!$L:$L,"DBN")</f>
        <v>3.35</v>
      </c>
      <c r="H205" s="29" t="n">
        <f aca="false">E205+F205+G205</f>
        <v>10.55</v>
      </c>
      <c r="I205" s="19" t="n">
        <f aca="false">SUMIFS('Weekly Sales'!$F:$F,'Weekly Sales'!$H:$H,$A205)</f>
        <v>0</v>
      </c>
      <c r="J205" s="19" t="n">
        <f aca="false">SUMIFS(Orders!$L:$L,Orders!$D:$D,$A205,Orders!$F:$F,"&gt;="&amp;J$4,Orders!$F:$F,"&lt;"&amp;EDATE(J$4,1))</f>
        <v>0</v>
      </c>
      <c r="K205" s="19" t="n">
        <f aca="false">SUMIFS(Orders!$L:$L,Orders!$D:$D,$A205,Orders!$F:$F,"&gt;="&amp;K$4,Orders!$F:$F,"&lt;"&amp;EDATE(K$4,1))</f>
        <v>0</v>
      </c>
      <c r="L205" s="19" t="n">
        <f aca="false">SUMIFS(Orders!$L:$L,Orders!$D:$D,$A205,Orders!$F:$F,"&gt;="&amp;L$4,Orders!$F:$F,"&lt;"&amp;EDATE(L$4,1))</f>
        <v>0</v>
      </c>
      <c r="M205" s="19" t="n">
        <f aca="false">N205-J205-K205-L205</f>
        <v>0</v>
      </c>
      <c r="N205" s="19" t="n">
        <f aca="false">SUMIFS(Orders!$L:$L,Orders!$D:$D,$A205)</f>
        <v>0</v>
      </c>
      <c r="O205" s="19" t="n">
        <f aca="false">H205+N205</f>
        <v>10.55</v>
      </c>
      <c r="P205" s="30"/>
      <c r="Q205" s="19" t="n">
        <f aca="false">IF(SUMIFS('Sales History'!$E:$E,'Sales History'!$G:$G,$A205)&gt;0,SUMIFS('Sales History'!$E:$E,'Sales History'!$G:$G,$A205)/Settings!$B$4,N(P205))</f>
        <v>0</v>
      </c>
      <c r="R205" s="18" t="str">
        <f aca="false">IF(SUMIFS('Sales History'!$E:$E,'Sales History'!$G:$G,$A205)&gt;0,"6-month history",IF(N(P205)&gt;0,"Current sheet","No sales data"))</f>
        <v>No sales data</v>
      </c>
      <c r="S205" s="31" t="str">
        <f aca="false">IF(Q205&gt;0,H205/Q205,"")</f>
        <v/>
      </c>
      <c r="T205" s="30"/>
      <c r="U205" s="19" t="str">
        <f aca="false">IF(T205="","",MAX(0,T205-O205))</f>
        <v/>
      </c>
      <c r="V205" s="32" t="str">
        <f aca="false">IF(D205="End of range","END OF RANGE",IF(T205="","NO BUFFER SET",IF(H205&lt;=0,IF(O205&lt;T205,"OUT - REORDER","OUT - ON ORDER"),IF(O205&lt;T205,"REORDER",IF(H205&lt;T205,"LOW - ON ORDER",IF(AND(S205&lt;&gt;"",N(S205)&gt;Settings!$B$5),"SLOW MOVER","OK"))))))</f>
        <v>END OF RANGE</v>
      </c>
      <c r="W205" s="18" t="s">
        <v>295</v>
      </c>
      <c r="X205" s="33" t="n">
        <f aca="false">IF(OR(D205="End of range",U205=""),0,IF(N(U205)&gt;0,U205+ROW()/1000000,0))</f>
        <v>0</v>
      </c>
    </row>
    <row r="206" customFormat="false" ht="14.25" hidden="false" customHeight="true" outlineLevel="0" collapsed="false">
      <c r="A206" s="18" t="s">
        <v>494</v>
      </c>
      <c r="B206" s="18" t="s">
        <v>495</v>
      </c>
      <c r="C206" s="18" t="s">
        <v>331</v>
      </c>
      <c r="D206" s="18" t="s">
        <v>181</v>
      </c>
      <c r="E206" s="19" t="n">
        <f aca="false">SUMIFS('CPT Count'!$D:$D,'CPT Count'!$A:$A,$A206)-SUMIFS('Weekly Sales'!$F:$F,'Weekly Sales'!$H:$H,$A206,'Weekly Sales'!$I:$I,"CPT")+SUMIFS(Transfers!$F:$F,Transfers!$C:$C,$A206,Transfers!$J:$J,"CPT")-SUMIFS(Transfers!$F:$F,Transfers!$C:$C,$A206,Transfers!$I:$I,"CPT",Transfers!$H:$H,"&lt;&gt;Y")+SUMIFS('Stock Received'!$I:$I,'Stock Received'!$E:$E,$A206,'Stock Received'!$L:$L,"CPT")</f>
        <v>0</v>
      </c>
      <c r="F206" s="19" t="n">
        <f aca="false">SUMIFS('JHB Count'!$E:$E,'JHB Count'!$F:$F,$A206)-SUMIFS('Weekly Sales'!$F:$F,'Weekly Sales'!$H:$H,$A206,'Weekly Sales'!$I:$I,"JHB")+SUMIFS(Transfers!$F:$F,Transfers!$C:$C,$A206,Transfers!$J:$J,"JHB")-SUMIFS(Transfers!$F:$F,Transfers!$C:$C,$A206,Transfers!$I:$I,"JHB",Transfers!$H:$H,"&lt;&gt;Y")+SUMIFS('Stock Received'!$I:$I,'Stock Received'!$E:$E,$A206,'Stock Received'!$L:$L,"JHB")</f>
        <v>12.6</v>
      </c>
      <c r="G206" s="19" t="n">
        <f aca="false">SUMIFS('DBN Count'!$D:$D,'DBN Count'!$E:$E,$A206)-SUMIFS('Weekly Sales'!$F:$F,'Weekly Sales'!$H:$H,$A206,'Weekly Sales'!$I:$I,"DBN")+SUMIFS(Transfers!$F:$F,Transfers!$C:$C,$A206,Transfers!$J:$J,"DBN")-SUMIFS(Transfers!$F:$F,Transfers!$C:$C,$A206,Transfers!$I:$I,"DBN",Transfers!$H:$H,"&lt;&gt;Y")+SUMIFS('Stock Received'!$I:$I,'Stock Received'!$E:$E,$A206,'Stock Received'!$L:$L,"DBN")</f>
        <v>0</v>
      </c>
      <c r="H206" s="29" t="n">
        <f aca="false">E206+F206+G206</f>
        <v>12.6</v>
      </c>
      <c r="I206" s="19" t="n">
        <f aca="false">SUMIFS('Weekly Sales'!$F:$F,'Weekly Sales'!$H:$H,$A206)</f>
        <v>0</v>
      </c>
      <c r="J206" s="19" t="n">
        <f aca="false">SUMIFS(Orders!$L:$L,Orders!$D:$D,$A206,Orders!$F:$F,"&gt;="&amp;J$4,Orders!$F:$F,"&lt;"&amp;EDATE(J$4,1))</f>
        <v>0</v>
      </c>
      <c r="K206" s="19" t="n">
        <f aca="false">SUMIFS(Orders!$L:$L,Orders!$D:$D,$A206,Orders!$F:$F,"&gt;="&amp;K$4,Orders!$F:$F,"&lt;"&amp;EDATE(K$4,1))</f>
        <v>0</v>
      </c>
      <c r="L206" s="19" t="n">
        <f aca="false">SUMIFS(Orders!$L:$L,Orders!$D:$D,$A206,Orders!$F:$F,"&gt;="&amp;L$4,Orders!$F:$F,"&lt;"&amp;EDATE(L$4,1))</f>
        <v>0</v>
      </c>
      <c r="M206" s="19" t="n">
        <f aca="false">N206-J206-K206-L206</f>
        <v>0</v>
      </c>
      <c r="N206" s="19" t="n">
        <f aca="false">SUMIFS(Orders!$L:$L,Orders!$D:$D,$A206)</f>
        <v>0</v>
      </c>
      <c r="O206" s="19" t="n">
        <f aca="false">H206+N206</f>
        <v>12.6</v>
      </c>
      <c r="P206" s="30"/>
      <c r="Q206" s="19" t="n">
        <f aca="false">IF(SUMIFS('Sales History'!$E:$E,'Sales History'!$G:$G,$A206)&gt;0,SUMIFS('Sales History'!$E:$E,'Sales History'!$G:$G,$A206)/Settings!$B$4,N(P206))</f>
        <v>0</v>
      </c>
      <c r="R206" s="18" t="str">
        <f aca="false">IF(SUMIFS('Sales History'!$E:$E,'Sales History'!$G:$G,$A206)&gt;0,"6-month history",IF(N(P206)&gt;0,"Current sheet","No sales data"))</f>
        <v>No sales data</v>
      </c>
      <c r="S206" s="31" t="str">
        <f aca="false">IF(Q206&gt;0,H206/Q206,"")</f>
        <v/>
      </c>
      <c r="T206" s="30"/>
      <c r="U206" s="19" t="str">
        <f aca="false">IF(T206="","",MAX(0,T206-O206))</f>
        <v/>
      </c>
      <c r="V206" s="32" t="str">
        <f aca="false">IF(D206="End of range","END OF RANGE",IF(T206="","NO BUFFER SET",IF(H206&lt;=0,IF(O206&lt;T206,"OUT - REORDER","OUT - ON ORDER"),IF(O206&lt;T206,"REORDER",IF(H206&lt;T206,"LOW - ON ORDER",IF(AND(S206&lt;&gt;"",N(S206)&gt;Settings!$B$5),"SLOW MOVER","OK"))))))</f>
        <v>END OF RANGE</v>
      </c>
      <c r="W206" s="18" t="s">
        <v>295</v>
      </c>
      <c r="X206" s="33" t="n">
        <f aca="false">IF(OR(D206="End of range",U206=""),0,IF(N(U206)&gt;0,U206+ROW()/1000000,0))</f>
        <v>0</v>
      </c>
    </row>
    <row r="207" customFormat="false" ht="14.25" hidden="false" customHeight="true" outlineLevel="0" collapsed="false">
      <c r="A207" s="35"/>
      <c r="B207" s="12" t="s">
        <v>496</v>
      </c>
      <c r="E207" s="36" t="n">
        <f aca="false">SUM(E5:E206)</f>
        <v>63775.5</v>
      </c>
      <c r="F207" s="36" t="n">
        <f aca="false">SUM(F5:F206)</f>
        <v>18305.58</v>
      </c>
      <c r="G207" s="36" t="n">
        <f aca="false">SUM(G5:G206)</f>
        <v>4114.27</v>
      </c>
      <c r="H207" s="36" t="n">
        <f aca="false">SUM(H5:H206)</f>
        <v>86195.35</v>
      </c>
      <c r="I207" s="36" t="n">
        <f aca="false">SUM(I5:I206)</f>
        <v>5419.84</v>
      </c>
      <c r="J207" s="36" t="n">
        <f aca="false">SUM(J5:J206)</f>
        <v>7880</v>
      </c>
      <c r="K207" s="36" t="n">
        <f aca="false">SUM(K5:K206)</f>
        <v>25200</v>
      </c>
      <c r="L207" s="36" t="n">
        <f aca="false">SUM(L5:L206)</f>
        <v>13300</v>
      </c>
      <c r="M207" s="36" t="n">
        <f aca="false">SUM(M5:M206)</f>
        <v>0</v>
      </c>
      <c r="N207" s="36" t="n">
        <f aca="false">SUM(N5:N206)</f>
        <v>46380</v>
      </c>
      <c r="O207" s="36" t="n">
        <f aca="false">SUM(O5:O206)</f>
        <v>132575.35</v>
      </c>
      <c r="P207" s="36" t="n">
        <f aca="false">SUM(P5:P206)</f>
        <v>22179</v>
      </c>
      <c r="Q207" s="36" t="n">
        <f aca="false">SUM(Q5:Q206)</f>
        <v>22179</v>
      </c>
      <c r="T207" s="36" t="n">
        <f aca="false">SUM(T5:T206)</f>
        <v>50520</v>
      </c>
      <c r="U207" s="36" t="n">
        <f aca="false">SUM(U5:U206)</f>
        <v>190.63</v>
      </c>
    </row>
    <row r="209" customFormat="false" ht="14.25" hidden="false" customHeight="true" outlineLevel="0" collapsed="false">
      <c r="A209" s="37" t="s">
        <v>497</v>
      </c>
    </row>
  </sheetData>
  <autoFilter ref="A4:X207"/>
  <conditionalFormatting sqref="V5:V206">
    <cfRule type="expression" priority="2" aboveAverage="0" equalAverage="0" bottom="0" percent="0" rank="0" text="" dxfId="0">
      <formula>ISNUMBER(SEARCH("REORDER",V5))</formula>
    </cfRule>
    <cfRule type="expression" priority="3" aboveAverage="0" equalAverage="0" bottom="0" percent="0" rank="0" text="" dxfId="1">
      <formula>ISNUMBER(SEARCH("ON ORDER",V5))</formula>
    </cfRule>
    <cfRule type="expression" priority="4" aboveAverage="0" equalAverage="0" bottom="0" percent="0" rank="0" text="" dxfId="2">
      <formula>ISNUMBER(SEARCH("OK",V5))</formula>
    </cfRule>
    <cfRule type="expression" priority="5" aboveAverage="0" equalAverage="0" bottom="0" percent="0" rank="0" text="" dxfId="3">
      <formula>ISNUMBER(SEARCH("SLOW",V5))</formula>
    </cfRule>
    <cfRule type="expression" priority="6" aboveAverage="0" equalAverage="0" bottom="0" percent="0" rank="0" text="" dxfId="4">
      <formula>ISNUMBER(SEARCH("END OF",V5))</formula>
    </cfRule>
    <cfRule type="expression" priority="7" aboveAverage="0" equalAverage="0" bottom="0" percent="0" rank="0" text="" dxfId="5">
      <formula>ISNUMBER(SEARCH("NO BUFFER",V5))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95" activePane="bottomLeft" state="frozen"/>
      <selection pane="topLeft" activeCell="A1" activeCellId="0" sqref="A1"/>
      <selection pane="bottomLeft" activeCell="I13" activeCellId="0" sqref="I1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3" min="3" style="1" width="8"/>
    <col collapsed="false" customWidth="true" hidden="false" outlineLevel="0" max="4" min="4" style="1" width="14"/>
  </cols>
  <sheetData>
    <row r="1" customFormat="false" ht="18" hidden="false" customHeight="true" outlineLevel="0" collapsed="false">
      <c r="A1" s="2" t="s">
        <v>498</v>
      </c>
    </row>
    <row r="2" customFormat="false" ht="14.25" hidden="false" customHeight="true" outlineLevel="0" collapsed="false">
      <c r="A2" s="37" t="s">
        <v>499</v>
      </c>
    </row>
    <row r="4" customFormat="false" ht="42" hidden="false" customHeight="true" outlineLevel="0" collapsed="false">
      <c r="A4" s="23" t="s">
        <v>53</v>
      </c>
      <c r="B4" s="23" t="s">
        <v>54</v>
      </c>
      <c r="C4" s="23" t="s">
        <v>55</v>
      </c>
      <c r="D4" s="23" t="s">
        <v>500</v>
      </c>
    </row>
    <row r="5" customFormat="false" ht="14.25" hidden="false" customHeight="true" outlineLevel="0" collapsed="false">
      <c r="A5" s="9" t="s">
        <v>77</v>
      </c>
      <c r="B5" s="9" t="s">
        <v>78</v>
      </c>
      <c r="C5" s="9" t="s">
        <v>79</v>
      </c>
      <c r="D5" s="38" t="n">
        <v>730.57</v>
      </c>
    </row>
    <row r="6" customFormat="false" ht="14.25" hidden="false" customHeight="true" outlineLevel="0" collapsed="false">
      <c r="A6" s="9" t="s">
        <v>81</v>
      </c>
      <c r="B6" s="9" t="s">
        <v>82</v>
      </c>
      <c r="C6" s="9" t="s">
        <v>79</v>
      </c>
      <c r="D6" s="38" t="n">
        <v>606.19</v>
      </c>
    </row>
    <row r="7" customFormat="false" ht="14.25" hidden="false" customHeight="true" outlineLevel="0" collapsed="false">
      <c r="A7" s="9" t="s">
        <v>83</v>
      </c>
      <c r="B7" s="9" t="s">
        <v>84</v>
      </c>
      <c r="C7" s="9" t="s">
        <v>79</v>
      </c>
      <c r="D7" s="38" t="n">
        <v>1182.67</v>
      </c>
    </row>
    <row r="8" customFormat="false" ht="14.25" hidden="false" customHeight="true" outlineLevel="0" collapsed="false">
      <c r="A8" s="9" t="s">
        <v>85</v>
      </c>
      <c r="B8" s="9" t="s">
        <v>86</v>
      </c>
      <c r="C8" s="9" t="s">
        <v>79</v>
      </c>
      <c r="D8" s="38" t="n">
        <v>351</v>
      </c>
    </row>
    <row r="9" customFormat="false" ht="14.25" hidden="false" customHeight="true" outlineLevel="0" collapsed="false">
      <c r="A9" s="9" t="s">
        <v>87</v>
      </c>
      <c r="B9" s="9" t="s">
        <v>88</v>
      </c>
      <c r="C9" s="9" t="s">
        <v>79</v>
      </c>
      <c r="D9" s="38" t="n">
        <v>599</v>
      </c>
    </row>
    <row r="10" customFormat="false" ht="14.25" hidden="false" customHeight="true" outlineLevel="0" collapsed="false">
      <c r="A10" s="9" t="s">
        <v>89</v>
      </c>
      <c r="B10" s="9" t="s">
        <v>90</v>
      </c>
      <c r="C10" s="9" t="s">
        <v>79</v>
      </c>
      <c r="D10" s="38" t="n">
        <v>740</v>
      </c>
    </row>
    <row r="11" customFormat="false" ht="14.25" hidden="false" customHeight="true" outlineLevel="0" collapsed="false">
      <c r="A11" s="9" t="s">
        <v>91</v>
      </c>
      <c r="B11" s="9" t="s">
        <v>92</v>
      </c>
      <c r="C11" s="9" t="s">
        <v>79</v>
      </c>
      <c r="D11" s="38" t="n">
        <v>220</v>
      </c>
    </row>
    <row r="12" customFormat="false" ht="14.25" hidden="false" customHeight="true" outlineLevel="0" collapsed="false">
      <c r="A12" s="9" t="s">
        <v>93</v>
      </c>
      <c r="B12" s="9" t="s">
        <v>94</v>
      </c>
      <c r="C12" s="9" t="s">
        <v>79</v>
      </c>
      <c r="D12" s="38" t="n">
        <v>288</v>
      </c>
    </row>
    <row r="13" customFormat="false" ht="14.25" hidden="false" customHeight="true" outlineLevel="0" collapsed="false">
      <c r="A13" s="9" t="s">
        <v>95</v>
      </c>
      <c r="B13" s="9" t="s">
        <v>96</v>
      </c>
      <c r="C13" s="9" t="s">
        <v>79</v>
      </c>
      <c r="D13" s="38" t="n">
        <v>1460</v>
      </c>
    </row>
    <row r="14" customFormat="false" ht="14.25" hidden="false" customHeight="true" outlineLevel="0" collapsed="false">
      <c r="A14" s="9" t="s">
        <v>97</v>
      </c>
      <c r="B14" s="9" t="s">
        <v>98</v>
      </c>
      <c r="C14" s="9" t="s">
        <v>79</v>
      </c>
      <c r="D14" s="38" t="n">
        <v>280</v>
      </c>
    </row>
    <row r="15" customFormat="false" ht="14.25" hidden="false" customHeight="true" outlineLevel="0" collapsed="false">
      <c r="A15" s="9" t="s">
        <v>99</v>
      </c>
      <c r="B15" s="9" t="s">
        <v>100</v>
      </c>
      <c r="C15" s="9" t="s">
        <v>79</v>
      </c>
      <c r="D15" s="38" t="n">
        <v>607.63</v>
      </c>
    </row>
    <row r="16" customFormat="false" ht="14.25" hidden="false" customHeight="true" outlineLevel="0" collapsed="false">
      <c r="A16" s="9" t="s">
        <v>101</v>
      </c>
      <c r="B16" s="9" t="s">
        <v>102</v>
      </c>
      <c r="C16" s="9" t="s">
        <v>79</v>
      </c>
      <c r="D16" s="38" t="n">
        <v>309</v>
      </c>
    </row>
    <row r="17" customFormat="false" ht="14.25" hidden="false" customHeight="true" outlineLevel="0" collapsed="false">
      <c r="A17" s="9" t="s">
        <v>103</v>
      </c>
      <c r="B17" s="9" t="s">
        <v>104</v>
      </c>
      <c r="C17" s="9" t="s">
        <v>79</v>
      </c>
      <c r="D17" s="38" t="n">
        <v>220</v>
      </c>
    </row>
    <row r="18" customFormat="false" ht="14.25" hidden="false" customHeight="true" outlineLevel="0" collapsed="false">
      <c r="A18" s="9" t="s">
        <v>105</v>
      </c>
      <c r="B18" s="9" t="s">
        <v>106</v>
      </c>
      <c r="C18" s="9" t="s">
        <v>79</v>
      </c>
      <c r="D18" s="38" t="n">
        <v>460.59</v>
      </c>
    </row>
    <row r="19" customFormat="false" ht="14.25" hidden="false" customHeight="true" outlineLevel="0" collapsed="false">
      <c r="A19" s="9" t="s">
        <v>107</v>
      </c>
      <c r="B19" s="9" t="s">
        <v>108</v>
      </c>
      <c r="C19" s="9" t="s">
        <v>79</v>
      </c>
      <c r="D19" s="38" t="n">
        <v>0</v>
      </c>
    </row>
    <row r="20" customFormat="false" ht="14.25" hidden="false" customHeight="true" outlineLevel="0" collapsed="false">
      <c r="A20" s="9" t="s">
        <v>109</v>
      </c>
      <c r="B20" s="9" t="s">
        <v>110</v>
      </c>
      <c r="C20" s="9" t="s">
        <v>79</v>
      </c>
      <c r="D20" s="38" t="n">
        <v>0</v>
      </c>
    </row>
    <row r="21" customFormat="false" ht="14.25" hidden="false" customHeight="true" outlineLevel="0" collapsed="false">
      <c r="A21" s="9" t="s">
        <v>111</v>
      </c>
      <c r="B21" s="9" t="s">
        <v>112</v>
      </c>
      <c r="C21" s="9" t="s">
        <v>79</v>
      </c>
      <c r="D21" s="38" t="n">
        <v>338</v>
      </c>
    </row>
    <row r="22" customFormat="false" ht="14.25" hidden="false" customHeight="true" outlineLevel="0" collapsed="false">
      <c r="A22" s="9" t="s">
        <v>113</v>
      </c>
      <c r="B22" s="9" t="s">
        <v>114</v>
      </c>
      <c r="C22" s="9" t="s">
        <v>79</v>
      </c>
      <c r="D22" s="38" t="n">
        <v>219</v>
      </c>
    </row>
    <row r="23" customFormat="false" ht="14.25" hidden="false" customHeight="true" outlineLevel="0" collapsed="false">
      <c r="A23" s="9" t="s">
        <v>115</v>
      </c>
      <c r="B23" s="9" t="s">
        <v>116</v>
      </c>
      <c r="C23" s="9" t="s">
        <v>79</v>
      </c>
      <c r="D23" s="38" t="n">
        <v>28</v>
      </c>
    </row>
    <row r="24" customFormat="false" ht="14.25" hidden="false" customHeight="true" outlineLevel="0" collapsed="false">
      <c r="A24" s="9" t="s">
        <v>117</v>
      </c>
      <c r="B24" s="9" t="s">
        <v>118</v>
      </c>
      <c r="C24" s="9" t="s">
        <v>79</v>
      </c>
      <c r="D24" s="38" t="n">
        <v>260</v>
      </c>
    </row>
    <row r="25" customFormat="false" ht="14.25" hidden="false" customHeight="true" outlineLevel="0" collapsed="false">
      <c r="A25" s="9" t="s">
        <v>119</v>
      </c>
      <c r="B25" s="9" t="s">
        <v>120</v>
      </c>
      <c r="C25" s="9" t="s">
        <v>79</v>
      </c>
      <c r="D25" s="38" t="n">
        <v>480</v>
      </c>
    </row>
    <row r="26" customFormat="false" ht="14.25" hidden="false" customHeight="true" outlineLevel="0" collapsed="false">
      <c r="A26" s="9" t="s">
        <v>121</v>
      </c>
      <c r="B26" s="9" t="s">
        <v>122</v>
      </c>
      <c r="C26" s="9" t="s">
        <v>79</v>
      </c>
      <c r="D26" s="38" t="n">
        <v>380</v>
      </c>
    </row>
    <row r="27" customFormat="false" ht="14.25" hidden="false" customHeight="true" outlineLevel="0" collapsed="false">
      <c r="A27" s="9" t="s">
        <v>123</v>
      </c>
      <c r="B27" s="9" t="s">
        <v>124</v>
      </c>
      <c r="C27" s="9" t="s">
        <v>79</v>
      </c>
      <c r="D27" s="38" t="n">
        <v>172</v>
      </c>
    </row>
    <row r="28" customFormat="false" ht="14.25" hidden="false" customHeight="true" outlineLevel="0" collapsed="false">
      <c r="A28" s="9" t="s">
        <v>125</v>
      </c>
      <c r="B28" s="9" t="s">
        <v>126</v>
      </c>
      <c r="C28" s="9" t="s">
        <v>79</v>
      </c>
      <c r="D28" s="38" t="n">
        <v>132</v>
      </c>
    </row>
    <row r="29" customFormat="false" ht="14.25" hidden="false" customHeight="true" outlineLevel="0" collapsed="false">
      <c r="A29" s="9" t="s">
        <v>127</v>
      </c>
      <c r="B29" s="9" t="s">
        <v>128</v>
      </c>
      <c r="C29" s="9" t="s">
        <v>79</v>
      </c>
      <c r="D29" s="38" t="n">
        <v>360</v>
      </c>
    </row>
    <row r="30" customFormat="false" ht="14.25" hidden="false" customHeight="true" outlineLevel="0" collapsed="false">
      <c r="A30" s="9" t="s">
        <v>129</v>
      </c>
      <c r="B30" s="9" t="s">
        <v>130</v>
      </c>
      <c r="C30" s="9" t="s">
        <v>79</v>
      </c>
      <c r="D30" s="38" t="n">
        <v>1180</v>
      </c>
    </row>
    <row r="31" customFormat="false" ht="14.25" hidden="false" customHeight="true" outlineLevel="0" collapsed="false">
      <c r="A31" s="9" t="s">
        <v>131</v>
      </c>
      <c r="B31" s="9" t="s">
        <v>132</v>
      </c>
      <c r="C31" s="9" t="s">
        <v>79</v>
      </c>
      <c r="D31" s="38" t="n">
        <v>356.97</v>
      </c>
    </row>
    <row r="32" customFormat="false" ht="14.25" hidden="false" customHeight="true" outlineLevel="0" collapsed="false">
      <c r="A32" s="9" t="s">
        <v>133</v>
      </c>
      <c r="B32" s="9" t="s">
        <v>134</v>
      </c>
      <c r="C32" s="9" t="s">
        <v>79</v>
      </c>
      <c r="D32" s="38" t="n">
        <v>120</v>
      </c>
    </row>
    <row r="33" customFormat="false" ht="14.25" hidden="false" customHeight="true" outlineLevel="0" collapsed="false">
      <c r="A33" s="9" t="s">
        <v>135</v>
      </c>
      <c r="B33" s="9" t="s">
        <v>136</v>
      </c>
      <c r="C33" s="9" t="s">
        <v>79</v>
      </c>
      <c r="D33" s="38" t="n">
        <v>148</v>
      </c>
    </row>
    <row r="34" customFormat="false" ht="14.25" hidden="false" customHeight="true" outlineLevel="0" collapsed="false">
      <c r="A34" s="9" t="s">
        <v>137</v>
      </c>
      <c r="B34" s="9" t="s">
        <v>138</v>
      </c>
      <c r="C34" s="9" t="s">
        <v>79</v>
      </c>
      <c r="D34" s="38" t="n">
        <v>420</v>
      </c>
    </row>
    <row r="35" customFormat="false" ht="14.25" hidden="false" customHeight="true" outlineLevel="0" collapsed="false">
      <c r="A35" s="9" t="s">
        <v>139</v>
      </c>
      <c r="B35" s="9" t="s">
        <v>140</v>
      </c>
      <c r="C35" s="9" t="s">
        <v>79</v>
      </c>
      <c r="D35" s="38" t="n">
        <v>594.04</v>
      </c>
    </row>
    <row r="36" customFormat="false" ht="14.25" hidden="false" customHeight="true" outlineLevel="0" collapsed="false">
      <c r="A36" s="9" t="s">
        <v>141</v>
      </c>
      <c r="B36" s="9" t="s">
        <v>142</v>
      </c>
      <c r="C36" s="9" t="s">
        <v>79</v>
      </c>
      <c r="D36" s="38" t="n">
        <v>969.05</v>
      </c>
    </row>
    <row r="37" customFormat="false" ht="14.25" hidden="false" customHeight="true" outlineLevel="0" collapsed="false">
      <c r="A37" s="9" t="s">
        <v>143</v>
      </c>
      <c r="B37" s="9" t="s">
        <v>144</v>
      </c>
      <c r="C37" s="9" t="s">
        <v>79</v>
      </c>
      <c r="D37" s="38" t="n">
        <v>535.32</v>
      </c>
    </row>
    <row r="38" customFormat="false" ht="14.25" hidden="false" customHeight="true" outlineLevel="0" collapsed="false">
      <c r="A38" s="9" t="s">
        <v>145</v>
      </c>
      <c r="B38" s="9" t="s">
        <v>146</v>
      </c>
      <c r="C38" s="9" t="s">
        <v>79</v>
      </c>
      <c r="D38" s="38" t="n">
        <v>485.72</v>
      </c>
    </row>
    <row r="39" customFormat="false" ht="14.25" hidden="false" customHeight="true" outlineLevel="0" collapsed="false">
      <c r="A39" s="9" t="s">
        <v>147</v>
      </c>
      <c r="B39" s="9" t="s">
        <v>148</v>
      </c>
      <c r="C39" s="9" t="s">
        <v>79</v>
      </c>
      <c r="D39" s="38" t="n">
        <v>2305.52</v>
      </c>
    </row>
    <row r="40" customFormat="false" ht="14.25" hidden="false" customHeight="true" outlineLevel="0" collapsed="false">
      <c r="A40" s="9" t="s">
        <v>149</v>
      </c>
      <c r="B40" s="9" t="s">
        <v>150</v>
      </c>
      <c r="C40" s="9" t="s">
        <v>79</v>
      </c>
      <c r="D40" s="38" t="n">
        <v>300</v>
      </c>
    </row>
    <row r="41" customFormat="false" ht="14.25" hidden="false" customHeight="true" outlineLevel="0" collapsed="false">
      <c r="A41" s="9" t="s">
        <v>151</v>
      </c>
      <c r="B41" s="9" t="s">
        <v>152</v>
      </c>
      <c r="C41" s="9" t="s">
        <v>79</v>
      </c>
      <c r="D41" s="38" t="n">
        <v>422</v>
      </c>
    </row>
    <row r="42" customFormat="false" ht="14.25" hidden="false" customHeight="true" outlineLevel="0" collapsed="false">
      <c r="A42" s="9" t="s">
        <v>153</v>
      </c>
      <c r="B42" s="9" t="s">
        <v>154</v>
      </c>
      <c r="C42" s="9" t="s">
        <v>79</v>
      </c>
      <c r="D42" s="38" t="n">
        <v>336</v>
      </c>
    </row>
    <row r="43" customFormat="false" ht="14.25" hidden="false" customHeight="true" outlineLevel="0" collapsed="false">
      <c r="A43" s="9" t="s">
        <v>155</v>
      </c>
      <c r="B43" s="9" t="s">
        <v>156</v>
      </c>
      <c r="C43" s="9" t="s">
        <v>79</v>
      </c>
      <c r="D43" s="38" t="n">
        <v>208</v>
      </c>
    </row>
    <row r="44" customFormat="false" ht="14.25" hidden="false" customHeight="true" outlineLevel="0" collapsed="false">
      <c r="A44" s="9" t="s">
        <v>157</v>
      </c>
      <c r="B44" s="9" t="s">
        <v>158</v>
      </c>
      <c r="C44" s="9" t="s">
        <v>79</v>
      </c>
      <c r="D44" s="38" t="n">
        <v>8</v>
      </c>
    </row>
    <row r="45" customFormat="false" ht="14.25" hidden="false" customHeight="true" outlineLevel="0" collapsed="false">
      <c r="A45" s="9" t="s">
        <v>159</v>
      </c>
      <c r="B45" s="9" t="s">
        <v>160</v>
      </c>
      <c r="C45" s="9" t="s">
        <v>79</v>
      </c>
      <c r="D45" s="38" t="n">
        <v>161.23</v>
      </c>
    </row>
    <row r="46" customFormat="false" ht="14.25" hidden="false" customHeight="true" outlineLevel="0" collapsed="false">
      <c r="A46" s="9" t="s">
        <v>161</v>
      </c>
      <c r="B46" s="9" t="s">
        <v>162</v>
      </c>
      <c r="C46" s="9" t="s">
        <v>79</v>
      </c>
      <c r="D46" s="38" t="n">
        <v>157.49</v>
      </c>
    </row>
    <row r="47" customFormat="false" ht="14.25" hidden="false" customHeight="true" outlineLevel="0" collapsed="false">
      <c r="A47" s="9" t="s">
        <v>163</v>
      </c>
      <c r="B47" s="9" t="s">
        <v>164</v>
      </c>
      <c r="C47" s="9" t="s">
        <v>79</v>
      </c>
      <c r="D47" s="38" t="n">
        <v>839.19</v>
      </c>
    </row>
    <row r="48" customFormat="false" ht="14.25" hidden="false" customHeight="true" outlineLevel="0" collapsed="false">
      <c r="A48" s="9" t="s">
        <v>165</v>
      </c>
      <c r="B48" s="9" t="s">
        <v>166</v>
      </c>
      <c r="C48" s="9" t="s">
        <v>79</v>
      </c>
      <c r="D48" s="38" t="n">
        <v>1662.29</v>
      </c>
    </row>
    <row r="49" customFormat="false" ht="14.25" hidden="false" customHeight="true" outlineLevel="0" collapsed="false">
      <c r="A49" s="9" t="s">
        <v>167</v>
      </c>
      <c r="B49" s="9" t="s">
        <v>168</v>
      </c>
      <c r="C49" s="9" t="s">
        <v>79</v>
      </c>
      <c r="D49" s="38" t="n">
        <v>372</v>
      </c>
    </row>
    <row r="50" customFormat="false" ht="14.25" hidden="false" customHeight="true" outlineLevel="0" collapsed="false">
      <c r="A50" s="9" t="s">
        <v>169</v>
      </c>
      <c r="B50" s="9" t="s">
        <v>170</v>
      </c>
      <c r="C50" s="9" t="s">
        <v>79</v>
      </c>
      <c r="D50" s="38" t="n">
        <v>1192</v>
      </c>
    </row>
    <row r="51" customFormat="false" ht="14.25" hidden="false" customHeight="true" outlineLevel="0" collapsed="false">
      <c r="A51" s="9" t="s">
        <v>171</v>
      </c>
      <c r="B51" s="9" t="s">
        <v>172</v>
      </c>
      <c r="C51" s="9" t="s">
        <v>79</v>
      </c>
      <c r="D51" s="38" t="n">
        <v>32</v>
      </c>
    </row>
    <row r="52" customFormat="false" ht="14.25" hidden="false" customHeight="true" outlineLevel="0" collapsed="false">
      <c r="A52" s="9" t="s">
        <v>173</v>
      </c>
      <c r="B52" s="9" t="s">
        <v>174</v>
      </c>
      <c r="C52" s="9" t="s">
        <v>79</v>
      </c>
      <c r="D52" s="38" t="n">
        <v>135</v>
      </c>
    </row>
    <row r="53" customFormat="false" ht="14.25" hidden="false" customHeight="true" outlineLevel="0" collapsed="false">
      <c r="A53" s="9" t="s">
        <v>175</v>
      </c>
      <c r="B53" s="9" t="s">
        <v>176</v>
      </c>
      <c r="C53" s="9" t="s">
        <v>79</v>
      </c>
      <c r="D53" s="38" t="n">
        <v>867</v>
      </c>
    </row>
    <row r="54" customFormat="false" ht="14.25" hidden="false" customHeight="true" outlineLevel="0" collapsed="false">
      <c r="A54" s="9" t="s">
        <v>177</v>
      </c>
      <c r="B54" s="9" t="s">
        <v>178</v>
      </c>
      <c r="C54" s="9" t="s">
        <v>79</v>
      </c>
      <c r="D54" s="38" t="n">
        <v>680</v>
      </c>
    </row>
    <row r="55" customFormat="false" ht="14.25" hidden="false" customHeight="true" outlineLevel="0" collapsed="false">
      <c r="A55" s="9" t="s">
        <v>179</v>
      </c>
      <c r="B55" s="9" t="s">
        <v>180</v>
      </c>
      <c r="C55" s="9" t="s">
        <v>79</v>
      </c>
      <c r="D55" s="38" t="n">
        <v>172</v>
      </c>
    </row>
    <row r="56" customFormat="false" ht="14.25" hidden="false" customHeight="true" outlineLevel="0" collapsed="false">
      <c r="A56" s="9" t="s">
        <v>182</v>
      </c>
      <c r="B56" s="9" t="s">
        <v>183</v>
      </c>
      <c r="C56" s="9" t="s">
        <v>79</v>
      </c>
      <c r="D56" s="38" t="n">
        <v>220</v>
      </c>
    </row>
    <row r="57" customFormat="false" ht="14.25" hidden="false" customHeight="true" outlineLevel="0" collapsed="false">
      <c r="A57" s="9" t="s">
        <v>184</v>
      </c>
      <c r="B57" s="9" t="s">
        <v>185</v>
      </c>
      <c r="C57" s="9" t="s">
        <v>79</v>
      </c>
      <c r="D57" s="38" t="n">
        <v>440</v>
      </c>
    </row>
    <row r="58" customFormat="false" ht="14.25" hidden="false" customHeight="true" outlineLevel="0" collapsed="false">
      <c r="A58" s="9" t="s">
        <v>186</v>
      </c>
      <c r="B58" s="9" t="s">
        <v>187</v>
      </c>
      <c r="C58" s="9" t="s">
        <v>79</v>
      </c>
      <c r="D58" s="38" t="n">
        <v>397.94</v>
      </c>
    </row>
    <row r="59" customFormat="false" ht="14.25" hidden="false" customHeight="true" outlineLevel="0" collapsed="false">
      <c r="A59" s="9" t="s">
        <v>188</v>
      </c>
      <c r="B59" s="9" t="s">
        <v>189</v>
      </c>
      <c r="C59" s="9" t="s">
        <v>79</v>
      </c>
      <c r="D59" s="38" t="n">
        <v>260</v>
      </c>
    </row>
    <row r="60" customFormat="false" ht="14.25" hidden="false" customHeight="true" outlineLevel="0" collapsed="false">
      <c r="A60" s="9" t="s">
        <v>190</v>
      </c>
      <c r="B60" s="9" t="s">
        <v>191</v>
      </c>
      <c r="C60" s="9" t="s">
        <v>79</v>
      </c>
      <c r="D60" s="38" t="n">
        <v>760</v>
      </c>
    </row>
    <row r="61" customFormat="false" ht="14.25" hidden="false" customHeight="true" outlineLevel="0" collapsed="false">
      <c r="A61" s="9" t="s">
        <v>192</v>
      </c>
      <c r="B61" s="9" t="s">
        <v>193</v>
      </c>
      <c r="C61" s="9" t="s">
        <v>79</v>
      </c>
      <c r="D61" s="38" t="n">
        <v>76</v>
      </c>
    </row>
    <row r="62" customFormat="false" ht="14.25" hidden="false" customHeight="true" outlineLevel="0" collapsed="false">
      <c r="A62" s="9" t="s">
        <v>194</v>
      </c>
      <c r="B62" s="9" t="s">
        <v>195</v>
      </c>
      <c r="C62" s="9" t="s">
        <v>79</v>
      </c>
      <c r="D62" s="38" t="n">
        <v>81</v>
      </c>
    </row>
    <row r="63" customFormat="false" ht="14.25" hidden="false" customHeight="true" outlineLevel="0" collapsed="false">
      <c r="A63" s="9" t="s">
        <v>196</v>
      </c>
      <c r="B63" s="9" t="s">
        <v>197</v>
      </c>
      <c r="C63" s="9" t="s">
        <v>79</v>
      </c>
      <c r="D63" s="38" t="n">
        <v>2547</v>
      </c>
    </row>
    <row r="64" customFormat="false" ht="14.25" hidden="false" customHeight="true" outlineLevel="0" collapsed="false">
      <c r="A64" s="9" t="s">
        <v>198</v>
      </c>
      <c r="B64" s="9" t="s">
        <v>199</v>
      </c>
      <c r="C64" s="9" t="s">
        <v>79</v>
      </c>
      <c r="D64" s="38" t="n">
        <v>643.63</v>
      </c>
    </row>
    <row r="65" customFormat="false" ht="14.25" hidden="false" customHeight="true" outlineLevel="0" collapsed="false">
      <c r="A65" s="9" t="s">
        <v>200</v>
      </c>
      <c r="B65" s="9" t="s">
        <v>201</v>
      </c>
      <c r="C65" s="9" t="s">
        <v>79</v>
      </c>
      <c r="D65" s="38" t="n">
        <v>200</v>
      </c>
    </row>
    <row r="66" customFormat="false" ht="14.25" hidden="false" customHeight="true" outlineLevel="0" collapsed="false">
      <c r="A66" s="9" t="s">
        <v>202</v>
      </c>
      <c r="B66" s="9" t="s">
        <v>203</v>
      </c>
      <c r="C66" s="9" t="s">
        <v>79</v>
      </c>
      <c r="D66" s="38" t="n">
        <v>100</v>
      </c>
    </row>
    <row r="67" customFormat="false" ht="14.25" hidden="false" customHeight="true" outlineLevel="0" collapsed="false">
      <c r="A67" s="9" t="s">
        <v>204</v>
      </c>
      <c r="B67" s="9" t="s">
        <v>205</v>
      </c>
      <c r="C67" s="9" t="s">
        <v>79</v>
      </c>
      <c r="D67" s="38" t="n">
        <v>133</v>
      </c>
    </row>
    <row r="68" customFormat="false" ht="14.25" hidden="false" customHeight="true" outlineLevel="0" collapsed="false">
      <c r="A68" s="9" t="s">
        <v>206</v>
      </c>
      <c r="B68" s="9" t="s">
        <v>207</v>
      </c>
      <c r="C68" s="9" t="s">
        <v>79</v>
      </c>
      <c r="D68" s="38" t="n">
        <v>1247</v>
      </c>
    </row>
    <row r="69" customFormat="false" ht="14.25" hidden="false" customHeight="true" outlineLevel="0" collapsed="false">
      <c r="A69" s="9" t="s">
        <v>208</v>
      </c>
      <c r="B69" s="9" t="s">
        <v>209</v>
      </c>
      <c r="C69" s="9" t="s">
        <v>79</v>
      </c>
      <c r="D69" s="38" t="n">
        <v>239.03</v>
      </c>
    </row>
    <row r="70" customFormat="false" ht="14.25" hidden="false" customHeight="true" outlineLevel="0" collapsed="false">
      <c r="A70" s="9" t="s">
        <v>210</v>
      </c>
      <c r="B70" s="9" t="s">
        <v>211</v>
      </c>
      <c r="C70" s="9" t="s">
        <v>79</v>
      </c>
      <c r="D70" s="38" t="n">
        <v>822</v>
      </c>
    </row>
    <row r="71" customFormat="false" ht="14.25" hidden="false" customHeight="true" outlineLevel="0" collapsed="false">
      <c r="A71" s="9" t="s">
        <v>212</v>
      </c>
      <c r="B71" s="9" t="s">
        <v>213</v>
      </c>
      <c r="C71" s="9" t="s">
        <v>79</v>
      </c>
      <c r="D71" s="38" t="n">
        <v>3506</v>
      </c>
    </row>
    <row r="72" customFormat="false" ht="14.25" hidden="false" customHeight="true" outlineLevel="0" collapsed="false">
      <c r="A72" s="9" t="s">
        <v>214</v>
      </c>
      <c r="B72" s="9" t="s">
        <v>215</v>
      </c>
      <c r="C72" s="9" t="s">
        <v>79</v>
      </c>
      <c r="D72" s="38" t="n">
        <v>740</v>
      </c>
    </row>
    <row r="73" customFormat="false" ht="14.25" hidden="false" customHeight="true" outlineLevel="0" collapsed="false">
      <c r="A73" s="9" t="s">
        <v>216</v>
      </c>
      <c r="B73" s="9" t="s">
        <v>217</v>
      </c>
      <c r="C73" s="9" t="s">
        <v>79</v>
      </c>
      <c r="D73" s="38" t="n">
        <v>1140</v>
      </c>
    </row>
    <row r="74" customFormat="false" ht="14.25" hidden="false" customHeight="true" outlineLevel="0" collapsed="false">
      <c r="A74" s="9" t="s">
        <v>218</v>
      </c>
      <c r="B74" s="9" t="s">
        <v>219</v>
      </c>
      <c r="C74" s="9" t="s">
        <v>79</v>
      </c>
      <c r="D74" s="38" t="n">
        <v>865</v>
      </c>
    </row>
    <row r="75" customFormat="false" ht="14.25" hidden="false" customHeight="true" outlineLevel="0" collapsed="false">
      <c r="A75" s="9" t="s">
        <v>220</v>
      </c>
      <c r="B75" s="9" t="s">
        <v>221</v>
      </c>
      <c r="C75" s="9" t="s">
        <v>79</v>
      </c>
      <c r="D75" s="38" t="n">
        <v>1100</v>
      </c>
    </row>
    <row r="76" customFormat="false" ht="14.25" hidden="false" customHeight="true" outlineLevel="0" collapsed="false">
      <c r="A76" s="9" t="s">
        <v>222</v>
      </c>
      <c r="B76" s="9" t="s">
        <v>223</v>
      </c>
      <c r="C76" s="9" t="s">
        <v>79</v>
      </c>
      <c r="D76" s="38" t="n">
        <v>1331</v>
      </c>
    </row>
    <row r="77" customFormat="false" ht="14.25" hidden="false" customHeight="true" outlineLevel="0" collapsed="false">
      <c r="A77" s="9" t="s">
        <v>224</v>
      </c>
      <c r="B77" s="9" t="s">
        <v>225</v>
      </c>
      <c r="C77" s="9" t="s">
        <v>79</v>
      </c>
      <c r="D77" s="38" t="n">
        <v>380.64</v>
      </c>
    </row>
    <row r="78" customFormat="false" ht="14.25" hidden="false" customHeight="true" outlineLevel="0" collapsed="false">
      <c r="A78" s="9" t="s">
        <v>226</v>
      </c>
      <c r="B78" s="9" t="s">
        <v>227</v>
      </c>
      <c r="C78" s="9" t="s">
        <v>79</v>
      </c>
      <c r="D78" s="38" t="n">
        <v>547</v>
      </c>
    </row>
    <row r="79" customFormat="false" ht="14.25" hidden="false" customHeight="true" outlineLevel="0" collapsed="false">
      <c r="A79" s="9" t="s">
        <v>228</v>
      </c>
      <c r="B79" s="9" t="s">
        <v>229</v>
      </c>
      <c r="C79" s="9" t="s">
        <v>79</v>
      </c>
      <c r="D79" s="38" t="n">
        <v>0</v>
      </c>
    </row>
    <row r="80" customFormat="false" ht="14.25" hidden="false" customHeight="true" outlineLevel="0" collapsed="false">
      <c r="A80" s="9" t="s">
        <v>230</v>
      </c>
      <c r="B80" s="9" t="s">
        <v>231</v>
      </c>
      <c r="C80" s="9" t="s">
        <v>79</v>
      </c>
      <c r="D80" s="38" t="n">
        <v>0</v>
      </c>
    </row>
    <row r="81" customFormat="false" ht="14.25" hidden="false" customHeight="true" outlineLevel="0" collapsed="false">
      <c r="A81" s="9" t="s">
        <v>232</v>
      </c>
      <c r="B81" s="9" t="s">
        <v>233</v>
      </c>
      <c r="C81" s="9" t="s">
        <v>79</v>
      </c>
      <c r="D81" s="38" t="n">
        <v>0</v>
      </c>
    </row>
    <row r="82" customFormat="false" ht="14.25" hidden="false" customHeight="true" outlineLevel="0" collapsed="false">
      <c r="A82" s="9" t="s">
        <v>234</v>
      </c>
      <c r="B82" s="9" t="s">
        <v>235</v>
      </c>
      <c r="C82" s="9" t="s">
        <v>79</v>
      </c>
      <c r="D82" s="38" t="n">
        <v>473.25</v>
      </c>
    </row>
    <row r="83" customFormat="false" ht="14.25" hidden="false" customHeight="true" outlineLevel="0" collapsed="false">
      <c r="A83" s="9" t="s">
        <v>236</v>
      </c>
      <c r="B83" s="9" t="s">
        <v>237</v>
      </c>
      <c r="C83" s="9" t="s">
        <v>79</v>
      </c>
      <c r="D83" s="38" t="n">
        <v>24</v>
      </c>
    </row>
    <row r="84" customFormat="false" ht="14.25" hidden="false" customHeight="true" outlineLevel="0" collapsed="false">
      <c r="A84" s="9" t="s">
        <v>238</v>
      </c>
      <c r="B84" s="9" t="s">
        <v>239</v>
      </c>
      <c r="C84" s="9" t="s">
        <v>79</v>
      </c>
      <c r="D84" s="38" t="n">
        <v>740</v>
      </c>
    </row>
    <row r="85" customFormat="false" ht="14.25" hidden="false" customHeight="true" outlineLevel="0" collapsed="false">
      <c r="A85" s="9" t="s">
        <v>240</v>
      </c>
      <c r="B85" s="9" t="s">
        <v>241</v>
      </c>
      <c r="C85" s="9" t="s">
        <v>79</v>
      </c>
      <c r="D85" s="38" t="n">
        <v>304</v>
      </c>
    </row>
    <row r="86" customFormat="false" ht="14.25" hidden="false" customHeight="true" outlineLevel="0" collapsed="false">
      <c r="A86" s="9" t="s">
        <v>242</v>
      </c>
      <c r="B86" s="9" t="s">
        <v>243</v>
      </c>
      <c r="C86" s="9" t="s">
        <v>79</v>
      </c>
      <c r="D86" s="38" t="n">
        <v>397</v>
      </c>
    </row>
    <row r="87" customFormat="false" ht="14.25" hidden="false" customHeight="true" outlineLevel="0" collapsed="false">
      <c r="A87" s="9" t="s">
        <v>244</v>
      </c>
      <c r="B87" s="9" t="s">
        <v>245</v>
      </c>
      <c r="C87" s="9" t="s">
        <v>79</v>
      </c>
      <c r="D87" s="38" t="n">
        <v>941</v>
      </c>
    </row>
    <row r="88" customFormat="false" ht="14.25" hidden="false" customHeight="true" outlineLevel="0" collapsed="false">
      <c r="A88" s="9" t="s">
        <v>246</v>
      </c>
      <c r="B88" s="9" t="s">
        <v>247</v>
      </c>
      <c r="C88" s="9" t="s">
        <v>79</v>
      </c>
      <c r="D88" s="38" t="n">
        <v>0</v>
      </c>
    </row>
    <row r="89" customFormat="false" ht="14.25" hidden="false" customHeight="true" outlineLevel="0" collapsed="false">
      <c r="A89" s="9" t="s">
        <v>248</v>
      </c>
      <c r="B89" s="9" t="s">
        <v>249</v>
      </c>
      <c r="C89" s="9" t="s">
        <v>79</v>
      </c>
      <c r="D89" s="38" t="n">
        <v>0</v>
      </c>
    </row>
    <row r="90" customFormat="false" ht="14.25" hidden="false" customHeight="true" outlineLevel="0" collapsed="false">
      <c r="A90" s="9" t="s">
        <v>250</v>
      </c>
      <c r="B90" s="9" t="s">
        <v>251</v>
      </c>
      <c r="C90" s="9" t="s">
        <v>79</v>
      </c>
      <c r="D90" s="38" t="n">
        <v>0</v>
      </c>
    </row>
    <row r="91" customFormat="false" ht="14.25" hidden="false" customHeight="true" outlineLevel="0" collapsed="false">
      <c r="A91" s="9" t="s">
        <v>252</v>
      </c>
      <c r="B91" s="9" t="s">
        <v>253</v>
      </c>
      <c r="C91" s="9" t="s">
        <v>79</v>
      </c>
      <c r="D91" s="38" t="n">
        <v>220</v>
      </c>
    </row>
    <row r="92" customFormat="false" ht="14.25" hidden="false" customHeight="true" outlineLevel="0" collapsed="false">
      <c r="A92" s="9" t="s">
        <v>254</v>
      </c>
      <c r="B92" s="9" t="s">
        <v>255</v>
      </c>
      <c r="C92" s="9" t="s">
        <v>79</v>
      </c>
      <c r="D92" s="38" t="n">
        <v>326.54</v>
      </c>
    </row>
    <row r="93" customFormat="false" ht="14.25" hidden="false" customHeight="true" outlineLevel="0" collapsed="false">
      <c r="A93" s="9" t="s">
        <v>256</v>
      </c>
      <c r="B93" s="9" t="s">
        <v>257</v>
      </c>
      <c r="C93" s="9" t="s">
        <v>79</v>
      </c>
      <c r="D93" s="38" t="n">
        <v>432</v>
      </c>
    </row>
    <row r="94" customFormat="false" ht="14.25" hidden="false" customHeight="true" outlineLevel="0" collapsed="false">
      <c r="A94" s="9" t="s">
        <v>258</v>
      </c>
      <c r="B94" s="9" t="s">
        <v>259</v>
      </c>
      <c r="C94" s="9" t="s">
        <v>79</v>
      </c>
      <c r="D94" s="38" t="n">
        <v>0</v>
      </c>
    </row>
    <row r="95" customFormat="false" ht="14.25" hidden="false" customHeight="true" outlineLevel="0" collapsed="false">
      <c r="A95" s="9" t="s">
        <v>260</v>
      </c>
      <c r="B95" s="9" t="s">
        <v>261</v>
      </c>
      <c r="C95" s="9" t="s">
        <v>79</v>
      </c>
      <c r="D95" s="38" t="n">
        <v>0</v>
      </c>
    </row>
    <row r="96" customFormat="false" ht="14.25" hidden="false" customHeight="true" outlineLevel="0" collapsed="false">
      <c r="A96" s="9" t="s">
        <v>262</v>
      </c>
      <c r="B96" s="9" t="s">
        <v>263</v>
      </c>
      <c r="C96" s="9" t="s">
        <v>79</v>
      </c>
      <c r="D96" s="38" t="n">
        <v>0</v>
      </c>
    </row>
    <row r="97" customFormat="false" ht="14.25" hidden="false" customHeight="true" outlineLevel="0" collapsed="false">
      <c r="A97" s="9" t="s">
        <v>268</v>
      </c>
      <c r="B97" s="9" t="s">
        <v>269</v>
      </c>
      <c r="C97" s="9" t="s">
        <v>79</v>
      </c>
      <c r="D97" s="38" t="n">
        <v>24</v>
      </c>
    </row>
    <row r="98" customFormat="false" ht="14.25" hidden="false" customHeight="true" outlineLevel="0" collapsed="false">
      <c r="A98" s="9" t="s">
        <v>270</v>
      </c>
      <c r="B98" s="9" t="s">
        <v>271</v>
      </c>
      <c r="C98" s="9" t="s">
        <v>79</v>
      </c>
      <c r="D98" s="38" t="n">
        <v>240</v>
      </c>
    </row>
    <row r="99" customFormat="false" ht="14.25" hidden="false" customHeight="true" outlineLevel="0" collapsed="false">
      <c r="A99" s="9" t="s">
        <v>272</v>
      </c>
      <c r="B99" s="9" t="s">
        <v>273</v>
      </c>
      <c r="C99" s="9" t="s">
        <v>79</v>
      </c>
      <c r="D99" s="38" t="n">
        <v>160</v>
      </c>
    </row>
    <row r="100" customFormat="false" ht="14.25" hidden="false" customHeight="true" outlineLevel="0" collapsed="false">
      <c r="A100" s="9" t="s">
        <v>274</v>
      </c>
      <c r="B100" s="9" t="s">
        <v>275</v>
      </c>
      <c r="C100" s="9" t="s">
        <v>79</v>
      </c>
      <c r="D100" s="38" t="n">
        <v>4</v>
      </c>
    </row>
    <row r="101" customFormat="false" ht="14.25" hidden="false" customHeight="true" outlineLevel="0" collapsed="false">
      <c r="A101" s="9" t="s">
        <v>276</v>
      </c>
      <c r="B101" s="9" t="s">
        <v>277</v>
      </c>
      <c r="C101" s="9" t="s">
        <v>79</v>
      </c>
      <c r="D101" s="38" t="n">
        <v>68</v>
      </c>
    </row>
    <row r="102" customFormat="false" ht="14.25" hidden="false" customHeight="true" outlineLevel="0" collapsed="false">
      <c r="A102" s="9" t="s">
        <v>278</v>
      </c>
      <c r="B102" s="9" t="s">
        <v>279</v>
      </c>
      <c r="C102" s="9" t="s">
        <v>79</v>
      </c>
      <c r="D102" s="38" t="n">
        <v>53.03</v>
      </c>
    </row>
    <row r="103" customFormat="false" ht="14.25" hidden="false" customHeight="true" outlineLevel="0" collapsed="false">
      <c r="A103" s="9" t="s">
        <v>280</v>
      </c>
      <c r="B103" s="9" t="s">
        <v>281</v>
      </c>
      <c r="C103" s="9" t="s">
        <v>79</v>
      </c>
      <c r="D103" s="38" t="n">
        <v>132</v>
      </c>
    </row>
    <row r="104" customFormat="false" ht="14.25" hidden="false" customHeight="true" outlineLevel="0" collapsed="false">
      <c r="A104" s="9" t="s">
        <v>282</v>
      </c>
      <c r="B104" s="9" t="s">
        <v>283</v>
      </c>
      <c r="C104" s="9" t="s">
        <v>79</v>
      </c>
      <c r="D104" s="38" t="n">
        <v>52</v>
      </c>
    </row>
    <row r="105" customFormat="false" ht="14.25" hidden="false" customHeight="true" outlineLevel="0" collapsed="false">
      <c r="A105" s="9" t="s">
        <v>284</v>
      </c>
      <c r="B105" s="9" t="s">
        <v>285</v>
      </c>
      <c r="C105" s="9" t="s">
        <v>79</v>
      </c>
      <c r="D105" s="38" t="n">
        <v>208</v>
      </c>
    </row>
    <row r="106" customFormat="false" ht="14.25" hidden="false" customHeight="true" outlineLevel="0" collapsed="false">
      <c r="A106" s="9" t="s">
        <v>286</v>
      </c>
      <c r="B106" s="9" t="s">
        <v>287</v>
      </c>
      <c r="C106" s="9" t="s">
        <v>79</v>
      </c>
      <c r="D106" s="38" t="n">
        <v>520</v>
      </c>
    </row>
    <row r="107" customFormat="false" ht="14.25" hidden="false" customHeight="true" outlineLevel="0" collapsed="false">
      <c r="A107" s="9" t="s">
        <v>288</v>
      </c>
      <c r="B107" s="9" t="s">
        <v>289</v>
      </c>
      <c r="C107" s="9" t="s">
        <v>79</v>
      </c>
      <c r="D107" s="38" t="n">
        <v>168</v>
      </c>
    </row>
    <row r="108" customFormat="false" ht="14.25" hidden="false" customHeight="true" outlineLevel="0" collapsed="false">
      <c r="A108" s="9" t="s">
        <v>290</v>
      </c>
      <c r="B108" s="9" t="s">
        <v>291</v>
      </c>
      <c r="C108" s="9" t="s">
        <v>79</v>
      </c>
      <c r="D108" s="38" t="n">
        <v>124</v>
      </c>
    </row>
    <row r="109" customFormat="false" ht="14.25" hidden="false" customHeight="true" outlineLevel="0" collapsed="false">
      <c r="A109" s="9" t="s">
        <v>329</v>
      </c>
      <c r="B109" s="9" t="s">
        <v>330</v>
      </c>
      <c r="C109" s="9" t="s">
        <v>331</v>
      </c>
      <c r="D109" s="38" t="n">
        <v>279</v>
      </c>
    </row>
    <row r="110" customFormat="false" ht="14.25" hidden="false" customHeight="true" outlineLevel="0" collapsed="false">
      <c r="A110" s="9" t="s">
        <v>332</v>
      </c>
      <c r="B110" s="9" t="s">
        <v>333</v>
      </c>
      <c r="C110" s="9" t="s">
        <v>331</v>
      </c>
      <c r="D110" s="38" t="n">
        <v>319.27</v>
      </c>
    </row>
    <row r="111" customFormat="false" ht="14.25" hidden="false" customHeight="true" outlineLevel="0" collapsed="false">
      <c r="A111" s="9" t="s">
        <v>334</v>
      </c>
      <c r="B111" s="9" t="s">
        <v>335</v>
      </c>
      <c r="C111" s="9" t="s">
        <v>331</v>
      </c>
      <c r="D111" s="38" t="n">
        <v>306.87</v>
      </c>
    </row>
    <row r="112" customFormat="false" ht="14.25" hidden="false" customHeight="true" outlineLevel="0" collapsed="false">
      <c r="A112" s="9" t="s">
        <v>336</v>
      </c>
      <c r="B112" s="9" t="s">
        <v>337</v>
      </c>
      <c r="C112" s="9" t="s">
        <v>331</v>
      </c>
      <c r="D112" s="38" t="n">
        <v>14.38</v>
      </c>
    </row>
    <row r="113" customFormat="false" ht="14.25" hidden="false" customHeight="true" outlineLevel="0" collapsed="false">
      <c r="A113" s="9" t="s">
        <v>338</v>
      </c>
      <c r="B113" s="9" t="s">
        <v>339</v>
      </c>
      <c r="C113" s="9" t="s">
        <v>331</v>
      </c>
      <c r="D113" s="38" t="n">
        <v>168</v>
      </c>
    </row>
    <row r="114" customFormat="false" ht="14.25" hidden="false" customHeight="true" outlineLevel="0" collapsed="false">
      <c r="A114" s="9" t="s">
        <v>341</v>
      </c>
      <c r="B114" s="9" t="s">
        <v>342</v>
      </c>
      <c r="C114" s="9" t="s">
        <v>331</v>
      </c>
      <c r="D114" s="38" t="n">
        <v>317.09</v>
      </c>
    </row>
    <row r="115" customFormat="false" ht="14.25" hidden="false" customHeight="true" outlineLevel="0" collapsed="false">
      <c r="A115" s="9" t="s">
        <v>344</v>
      </c>
      <c r="B115" s="9" t="s">
        <v>345</v>
      </c>
      <c r="C115" s="9" t="s">
        <v>331</v>
      </c>
      <c r="D115" s="38" t="n">
        <v>355</v>
      </c>
    </row>
    <row r="116" customFormat="false" ht="14.25" hidden="false" customHeight="true" outlineLevel="0" collapsed="false">
      <c r="A116" s="9" t="s">
        <v>346</v>
      </c>
      <c r="B116" s="9" t="s">
        <v>347</v>
      </c>
      <c r="C116" s="9" t="s">
        <v>331</v>
      </c>
      <c r="D116" s="38" t="n">
        <v>237.62</v>
      </c>
    </row>
    <row r="117" customFormat="false" ht="14.25" hidden="false" customHeight="true" outlineLevel="0" collapsed="false">
      <c r="A117" s="9" t="s">
        <v>348</v>
      </c>
      <c r="B117" s="9" t="s">
        <v>349</v>
      </c>
      <c r="C117" s="9" t="s">
        <v>331</v>
      </c>
      <c r="D117" s="38" t="n">
        <v>63</v>
      </c>
    </row>
    <row r="118" customFormat="false" ht="14.25" hidden="false" customHeight="true" outlineLevel="0" collapsed="false">
      <c r="A118" s="9" t="s">
        <v>350</v>
      </c>
      <c r="B118" s="9" t="s">
        <v>351</v>
      </c>
      <c r="C118" s="9" t="s">
        <v>331</v>
      </c>
      <c r="D118" s="38" t="n">
        <v>90</v>
      </c>
    </row>
    <row r="119" customFormat="false" ht="14.25" hidden="false" customHeight="true" outlineLevel="0" collapsed="false">
      <c r="A119" s="9" t="s">
        <v>352</v>
      </c>
      <c r="B119" s="9" t="s">
        <v>353</v>
      </c>
      <c r="C119" s="9" t="s">
        <v>331</v>
      </c>
      <c r="D119" s="38" t="n">
        <v>142</v>
      </c>
    </row>
    <row r="120" customFormat="false" ht="14.25" hidden="false" customHeight="true" outlineLevel="0" collapsed="false">
      <c r="A120" s="9" t="s">
        <v>354</v>
      </c>
      <c r="B120" s="9" t="s">
        <v>355</v>
      </c>
      <c r="C120" s="9" t="s">
        <v>331</v>
      </c>
      <c r="D120" s="38" t="n">
        <v>152</v>
      </c>
    </row>
    <row r="121" customFormat="false" ht="14.25" hidden="false" customHeight="true" outlineLevel="0" collapsed="false">
      <c r="A121" s="9" t="s">
        <v>356</v>
      </c>
      <c r="B121" s="9" t="s">
        <v>357</v>
      </c>
      <c r="C121" s="9" t="s">
        <v>331</v>
      </c>
      <c r="D121" s="38" t="n">
        <v>185</v>
      </c>
    </row>
    <row r="122" customFormat="false" ht="14.25" hidden="false" customHeight="true" outlineLevel="0" collapsed="false">
      <c r="A122" s="9" t="s">
        <v>359</v>
      </c>
      <c r="B122" s="9" t="s">
        <v>360</v>
      </c>
      <c r="C122" s="9" t="s">
        <v>331</v>
      </c>
      <c r="D122" s="38" t="n">
        <v>129.6</v>
      </c>
    </row>
    <row r="123" customFormat="false" ht="14.25" hidden="false" customHeight="true" outlineLevel="0" collapsed="false">
      <c r="A123" s="9" t="s">
        <v>362</v>
      </c>
      <c r="B123" s="9" t="s">
        <v>363</v>
      </c>
      <c r="C123" s="9" t="s">
        <v>331</v>
      </c>
      <c r="D123" s="38" t="n">
        <v>348</v>
      </c>
    </row>
    <row r="124" customFormat="false" ht="14.25" hidden="false" customHeight="true" outlineLevel="0" collapsed="false">
      <c r="A124" s="9" t="s">
        <v>364</v>
      </c>
      <c r="B124" s="9" t="s">
        <v>365</v>
      </c>
      <c r="C124" s="9" t="s">
        <v>331</v>
      </c>
      <c r="D124" s="38" t="n">
        <v>214</v>
      </c>
    </row>
    <row r="125" customFormat="false" ht="14.25" hidden="false" customHeight="true" outlineLevel="0" collapsed="false">
      <c r="A125" s="9" t="s">
        <v>367</v>
      </c>
      <c r="B125" s="9" t="s">
        <v>368</v>
      </c>
      <c r="C125" s="9" t="s">
        <v>331</v>
      </c>
      <c r="D125" s="38" t="n">
        <v>88</v>
      </c>
    </row>
    <row r="126" customFormat="false" ht="14.25" hidden="false" customHeight="true" outlineLevel="0" collapsed="false">
      <c r="A126" s="9" t="s">
        <v>369</v>
      </c>
      <c r="B126" s="9" t="s">
        <v>370</v>
      </c>
      <c r="C126" s="9" t="s">
        <v>331</v>
      </c>
      <c r="D126" s="38" t="n">
        <v>315</v>
      </c>
    </row>
    <row r="127" customFormat="false" ht="14.25" hidden="false" customHeight="true" outlineLevel="0" collapsed="false">
      <c r="A127" s="9" t="s">
        <v>371</v>
      </c>
      <c r="B127" s="9" t="s">
        <v>372</v>
      </c>
      <c r="C127" s="9" t="s">
        <v>331</v>
      </c>
      <c r="D127" s="38" t="n">
        <v>277</v>
      </c>
    </row>
    <row r="128" customFormat="false" ht="14.25" hidden="false" customHeight="true" outlineLevel="0" collapsed="false">
      <c r="A128" s="9" t="s">
        <v>373</v>
      </c>
      <c r="B128" s="9" t="s">
        <v>374</v>
      </c>
      <c r="C128" s="9" t="s">
        <v>331</v>
      </c>
      <c r="D128" s="38" t="n">
        <v>54</v>
      </c>
    </row>
    <row r="129" customFormat="false" ht="14.25" hidden="false" customHeight="true" outlineLevel="0" collapsed="false">
      <c r="A129" s="9" t="s">
        <v>376</v>
      </c>
      <c r="B129" s="9" t="s">
        <v>377</v>
      </c>
      <c r="C129" s="9" t="s">
        <v>331</v>
      </c>
      <c r="D129" s="38" t="n">
        <v>11.2</v>
      </c>
    </row>
    <row r="130" customFormat="false" ht="14.25" hidden="false" customHeight="true" outlineLevel="0" collapsed="false">
      <c r="A130" s="9" t="s">
        <v>378</v>
      </c>
      <c r="B130" s="9" t="s">
        <v>379</v>
      </c>
      <c r="C130" s="9" t="s">
        <v>331</v>
      </c>
      <c r="D130" s="38" t="n">
        <v>194</v>
      </c>
    </row>
    <row r="131" customFormat="false" ht="14.25" hidden="false" customHeight="true" outlineLevel="0" collapsed="false">
      <c r="A131" s="9" t="s">
        <v>380</v>
      </c>
      <c r="B131" s="9" t="s">
        <v>381</v>
      </c>
      <c r="C131" s="9" t="s">
        <v>331</v>
      </c>
      <c r="D131" s="38" t="n">
        <v>255.21</v>
      </c>
    </row>
    <row r="132" customFormat="false" ht="14.25" hidden="false" customHeight="true" outlineLevel="0" collapsed="false">
      <c r="A132" s="9" t="s">
        <v>382</v>
      </c>
      <c r="B132" s="9" t="s">
        <v>383</v>
      </c>
      <c r="C132" s="9" t="s">
        <v>331</v>
      </c>
      <c r="D132" s="38" t="n">
        <v>135</v>
      </c>
    </row>
    <row r="133" customFormat="false" ht="14.25" hidden="false" customHeight="true" outlineLevel="0" collapsed="false">
      <c r="A133" s="9" t="s">
        <v>384</v>
      </c>
      <c r="B133" s="9" t="s">
        <v>385</v>
      </c>
      <c r="C133" s="9" t="s">
        <v>331</v>
      </c>
      <c r="D133" s="38" t="n">
        <v>27.65</v>
      </c>
    </row>
    <row r="134" customFormat="false" ht="14.25" hidden="false" customHeight="true" outlineLevel="0" collapsed="false">
      <c r="A134" s="9" t="s">
        <v>386</v>
      </c>
      <c r="B134" s="9" t="s">
        <v>387</v>
      </c>
      <c r="C134" s="9" t="s">
        <v>331</v>
      </c>
      <c r="D134" s="38" t="n">
        <v>525</v>
      </c>
    </row>
    <row r="135" customFormat="false" ht="14.25" hidden="false" customHeight="true" outlineLevel="0" collapsed="false">
      <c r="A135" s="9" t="s">
        <v>388</v>
      </c>
      <c r="B135" s="9" t="s">
        <v>389</v>
      </c>
      <c r="C135" s="9" t="s">
        <v>331</v>
      </c>
      <c r="D135" s="38" t="n">
        <v>77</v>
      </c>
    </row>
    <row r="136" customFormat="false" ht="14.25" hidden="false" customHeight="true" outlineLevel="0" collapsed="false">
      <c r="A136" s="9" t="s">
        <v>390</v>
      </c>
      <c r="B136" s="9" t="s">
        <v>391</v>
      </c>
      <c r="C136" s="9" t="s">
        <v>331</v>
      </c>
      <c r="D136" s="38" t="n">
        <v>135</v>
      </c>
    </row>
    <row r="137" customFormat="false" ht="14.25" hidden="false" customHeight="true" outlineLevel="0" collapsed="false">
      <c r="A137" s="9" t="s">
        <v>392</v>
      </c>
      <c r="B137" s="9" t="s">
        <v>393</v>
      </c>
      <c r="C137" s="9" t="s">
        <v>331</v>
      </c>
      <c r="D137" s="38" t="n">
        <v>72</v>
      </c>
    </row>
    <row r="138" customFormat="false" ht="14.25" hidden="false" customHeight="true" outlineLevel="0" collapsed="false">
      <c r="A138" s="9" t="s">
        <v>394</v>
      </c>
      <c r="B138" s="9" t="s">
        <v>395</v>
      </c>
      <c r="C138" s="9" t="s">
        <v>331</v>
      </c>
      <c r="D138" s="38" t="n">
        <v>279</v>
      </c>
    </row>
    <row r="139" customFormat="false" ht="14.25" hidden="false" customHeight="true" outlineLevel="0" collapsed="false">
      <c r="A139" s="9" t="s">
        <v>396</v>
      </c>
      <c r="B139" s="9" t="s">
        <v>397</v>
      </c>
      <c r="C139" s="9" t="s">
        <v>331</v>
      </c>
      <c r="D139" s="38" t="n">
        <v>131</v>
      </c>
    </row>
    <row r="140" customFormat="false" ht="14.25" hidden="false" customHeight="true" outlineLevel="0" collapsed="false">
      <c r="A140" s="9" t="s">
        <v>398</v>
      </c>
      <c r="B140" s="9" t="s">
        <v>399</v>
      </c>
      <c r="C140" s="9" t="s">
        <v>331</v>
      </c>
      <c r="D140" s="38" t="n">
        <v>289.2</v>
      </c>
    </row>
    <row r="141" customFormat="false" ht="14.25" hidden="false" customHeight="true" outlineLevel="0" collapsed="false">
      <c r="A141" s="9" t="s">
        <v>400</v>
      </c>
      <c r="B141" s="9" t="s">
        <v>401</v>
      </c>
      <c r="C141" s="9" t="s">
        <v>331</v>
      </c>
      <c r="D141" s="38" t="n">
        <v>686</v>
      </c>
    </row>
    <row r="142" customFormat="false" ht="14.25" hidden="false" customHeight="true" outlineLevel="0" collapsed="false">
      <c r="A142" s="9" t="s">
        <v>402</v>
      </c>
      <c r="B142" s="9" t="s">
        <v>403</v>
      </c>
      <c r="C142" s="9" t="s">
        <v>331</v>
      </c>
      <c r="D142" s="38" t="n">
        <v>267</v>
      </c>
    </row>
    <row r="143" customFormat="false" ht="14.25" hidden="false" customHeight="true" outlineLevel="0" collapsed="false">
      <c r="A143" s="9" t="s">
        <v>405</v>
      </c>
      <c r="B143" s="9" t="s">
        <v>406</v>
      </c>
      <c r="C143" s="9" t="s">
        <v>331</v>
      </c>
      <c r="D143" s="38" t="n">
        <v>777.37</v>
      </c>
    </row>
    <row r="144" customFormat="false" ht="14.25" hidden="false" customHeight="true" outlineLevel="0" collapsed="false">
      <c r="A144" s="9" t="s">
        <v>407</v>
      </c>
      <c r="B144" s="9" t="s">
        <v>408</v>
      </c>
      <c r="C144" s="9" t="s">
        <v>331</v>
      </c>
      <c r="D144" s="38" t="n">
        <v>550.89</v>
      </c>
    </row>
    <row r="145" customFormat="false" ht="14.25" hidden="false" customHeight="true" outlineLevel="0" collapsed="false">
      <c r="A145" s="9" t="s">
        <v>409</v>
      </c>
      <c r="B145" s="9" t="s">
        <v>410</v>
      </c>
      <c r="C145" s="9" t="s">
        <v>331</v>
      </c>
      <c r="D145" s="38" t="n">
        <v>81</v>
      </c>
    </row>
    <row r="146" customFormat="false" ht="14.25" hidden="false" customHeight="true" outlineLevel="0" collapsed="false">
      <c r="A146" s="9" t="s">
        <v>411</v>
      </c>
      <c r="B146" s="9" t="s">
        <v>412</v>
      </c>
      <c r="C146" s="9" t="s">
        <v>331</v>
      </c>
      <c r="D146" s="38" t="n">
        <v>387</v>
      </c>
    </row>
    <row r="147" customFormat="false" ht="14.25" hidden="false" customHeight="true" outlineLevel="0" collapsed="false">
      <c r="A147" s="9" t="s">
        <v>413</v>
      </c>
      <c r="B147" s="9" t="s">
        <v>414</v>
      </c>
      <c r="C147" s="9" t="s">
        <v>331</v>
      </c>
      <c r="D147" s="38" t="n">
        <v>532</v>
      </c>
    </row>
    <row r="148" customFormat="false" ht="14.25" hidden="false" customHeight="true" outlineLevel="0" collapsed="false">
      <c r="A148" s="9" t="s">
        <v>415</v>
      </c>
      <c r="B148" s="9" t="s">
        <v>416</v>
      </c>
      <c r="C148" s="9" t="s">
        <v>331</v>
      </c>
      <c r="D148" s="38" t="n">
        <v>269</v>
      </c>
    </row>
    <row r="149" customFormat="false" ht="14.25" hidden="false" customHeight="true" outlineLevel="0" collapsed="false">
      <c r="A149" s="9" t="s">
        <v>417</v>
      </c>
      <c r="B149" s="9" t="s">
        <v>418</v>
      </c>
      <c r="C149" s="9" t="s">
        <v>331</v>
      </c>
      <c r="D149" s="38" t="n">
        <v>305</v>
      </c>
    </row>
    <row r="150" customFormat="false" ht="14.25" hidden="false" customHeight="true" outlineLevel="0" collapsed="false">
      <c r="A150" s="9" t="s">
        <v>419</v>
      </c>
      <c r="B150" s="9" t="s">
        <v>420</v>
      </c>
      <c r="C150" s="9" t="s">
        <v>331</v>
      </c>
      <c r="D150" s="38" t="n">
        <v>185.86</v>
      </c>
    </row>
    <row r="151" customFormat="false" ht="14.25" hidden="false" customHeight="true" outlineLevel="0" collapsed="false">
      <c r="A151" s="9" t="s">
        <v>421</v>
      </c>
      <c r="B151" s="9" t="s">
        <v>422</v>
      </c>
      <c r="C151" s="9" t="s">
        <v>331</v>
      </c>
      <c r="D151" s="38" t="n">
        <v>160</v>
      </c>
    </row>
    <row r="152" customFormat="false" ht="14.25" hidden="false" customHeight="true" outlineLevel="0" collapsed="false">
      <c r="A152" s="9" t="s">
        <v>423</v>
      </c>
      <c r="B152" s="9" t="s">
        <v>424</v>
      </c>
      <c r="C152" s="9" t="s">
        <v>331</v>
      </c>
      <c r="D152" s="38" t="n">
        <v>438</v>
      </c>
    </row>
    <row r="153" customFormat="false" ht="14.25" hidden="false" customHeight="true" outlineLevel="0" collapsed="false">
      <c r="A153" s="9" t="s">
        <v>425</v>
      </c>
      <c r="B153" s="9" t="s">
        <v>426</v>
      </c>
      <c r="C153" s="9" t="s">
        <v>331</v>
      </c>
      <c r="D153" s="38" t="n">
        <v>125.45</v>
      </c>
    </row>
    <row r="154" customFormat="false" ht="14.25" hidden="false" customHeight="true" outlineLevel="0" collapsed="false">
      <c r="A154" s="9" t="s">
        <v>427</v>
      </c>
      <c r="B154" s="9" t="s">
        <v>428</v>
      </c>
      <c r="C154" s="9" t="s">
        <v>331</v>
      </c>
      <c r="D154" s="38" t="n">
        <v>122.4</v>
      </c>
    </row>
    <row r="155" customFormat="false" ht="14.25" hidden="false" customHeight="true" outlineLevel="0" collapsed="false">
      <c r="A155" s="9" t="s">
        <v>429</v>
      </c>
      <c r="B155" s="9" t="s">
        <v>430</v>
      </c>
      <c r="C155" s="9" t="s">
        <v>331</v>
      </c>
      <c r="D155" s="38" t="n">
        <v>218</v>
      </c>
    </row>
    <row r="156" customFormat="false" ht="14.25" hidden="false" customHeight="true" outlineLevel="0" collapsed="false">
      <c r="A156" s="9" t="s">
        <v>431</v>
      </c>
      <c r="B156" s="9" t="s">
        <v>432</v>
      </c>
      <c r="C156" s="9" t="s">
        <v>331</v>
      </c>
      <c r="D156" s="38" t="n">
        <v>186</v>
      </c>
    </row>
    <row r="157" customFormat="false" ht="14.25" hidden="false" customHeight="true" outlineLevel="0" collapsed="false">
      <c r="A157" s="9" t="s">
        <v>433</v>
      </c>
      <c r="B157" s="9" t="s">
        <v>434</v>
      </c>
      <c r="C157" s="9" t="s">
        <v>331</v>
      </c>
      <c r="D157" s="38" t="n">
        <v>369</v>
      </c>
    </row>
    <row r="158" customFormat="false" ht="14.25" hidden="false" customHeight="true" outlineLevel="0" collapsed="false">
      <c r="A158" s="9" t="s">
        <v>435</v>
      </c>
      <c r="B158" s="9" t="s">
        <v>436</v>
      </c>
      <c r="C158" s="9" t="s">
        <v>331</v>
      </c>
      <c r="D158" s="38" t="n">
        <v>211</v>
      </c>
    </row>
    <row r="159" customFormat="false" ht="14.25" hidden="false" customHeight="true" outlineLevel="0" collapsed="false">
      <c r="A159" s="9" t="s">
        <v>437</v>
      </c>
      <c r="B159" s="9" t="s">
        <v>438</v>
      </c>
      <c r="C159" s="9" t="s">
        <v>331</v>
      </c>
      <c r="D159" s="38" t="n">
        <v>169</v>
      </c>
    </row>
    <row r="160" customFormat="false" ht="14.25" hidden="false" customHeight="true" outlineLevel="0" collapsed="false">
      <c r="A160" s="9" t="s">
        <v>439</v>
      </c>
      <c r="B160" s="9" t="s">
        <v>440</v>
      </c>
      <c r="C160" s="9" t="s">
        <v>331</v>
      </c>
      <c r="D160" s="38" t="n">
        <v>381</v>
      </c>
    </row>
    <row r="161" customFormat="false" ht="14.25" hidden="false" customHeight="true" outlineLevel="0" collapsed="false">
      <c r="A161" s="9" t="s">
        <v>441</v>
      </c>
      <c r="B161" s="9" t="s">
        <v>442</v>
      </c>
      <c r="C161" s="9" t="s">
        <v>331</v>
      </c>
      <c r="D161" s="38" t="n">
        <v>186</v>
      </c>
    </row>
    <row r="162" customFormat="false" ht="14.25" hidden="false" customHeight="true" outlineLevel="0" collapsed="false">
      <c r="A162" s="9" t="s">
        <v>443</v>
      </c>
      <c r="B162" s="9" t="s">
        <v>444</v>
      </c>
      <c r="C162" s="9" t="s">
        <v>331</v>
      </c>
      <c r="D162" s="38" t="n">
        <v>59</v>
      </c>
    </row>
    <row r="163" customFormat="false" ht="14.25" hidden="false" customHeight="true" outlineLevel="0" collapsed="false">
      <c r="A163" s="9" t="s">
        <v>445</v>
      </c>
      <c r="B163" s="9" t="s">
        <v>446</v>
      </c>
      <c r="C163" s="9" t="s">
        <v>331</v>
      </c>
      <c r="D163" s="38" t="n">
        <v>95</v>
      </c>
    </row>
    <row r="164" customFormat="false" ht="14.25" hidden="false" customHeight="true" outlineLevel="0" collapsed="false">
      <c r="A164" s="9" t="s">
        <v>448</v>
      </c>
      <c r="B164" s="9" t="s">
        <v>449</v>
      </c>
      <c r="C164" s="9" t="s">
        <v>331</v>
      </c>
      <c r="D164" s="38" t="n">
        <v>198</v>
      </c>
    </row>
    <row r="165" customFormat="false" ht="14.25" hidden="false" customHeight="true" outlineLevel="0" collapsed="false">
      <c r="A165" s="9" t="s">
        <v>450</v>
      </c>
      <c r="B165" s="9" t="s">
        <v>451</v>
      </c>
      <c r="C165" s="9" t="s">
        <v>331</v>
      </c>
      <c r="D165" s="38" t="n">
        <v>0</v>
      </c>
    </row>
    <row r="166" customFormat="false" ht="14.25" hidden="false" customHeight="true" outlineLevel="0" collapsed="false">
      <c r="A166" s="9" t="s">
        <v>452</v>
      </c>
      <c r="B166" s="9" t="s">
        <v>453</v>
      </c>
      <c r="C166" s="9" t="s">
        <v>331</v>
      </c>
      <c r="D166" s="38" t="n">
        <v>0</v>
      </c>
    </row>
    <row r="167" customFormat="false" ht="14.25" hidden="false" customHeight="true" outlineLevel="0" collapsed="false">
      <c r="A167" s="9" t="s">
        <v>454</v>
      </c>
      <c r="B167" s="9" t="s">
        <v>455</v>
      </c>
      <c r="C167" s="9" t="s">
        <v>331</v>
      </c>
      <c r="D167" s="38" t="n">
        <v>0</v>
      </c>
    </row>
    <row r="168" customFormat="false" ht="14.25" hidden="false" customHeight="true" outlineLevel="0" collapsed="false">
      <c r="A168" s="9" t="s">
        <v>456</v>
      </c>
      <c r="B168" s="9" t="s">
        <v>457</v>
      </c>
      <c r="C168" s="9" t="s">
        <v>331</v>
      </c>
      <c r="D168" s="38" t="n">
        <v>0</v>
      </c>
    </row>
    <row r="169" customFormat="false" ht="14.25" hidden="false" customHeight="true" outlineLevel="0" collapsed="false">
      <c r="A169" s="9" t="s">
        <v>458</v>
      </c>
      <c r="B169" s="9" t="s">
        <v>459</v>
      </c>
      <c r="C169" s="9" t="s">
        <v>331</v>
      </c>
      <c r="D169" s="38" t="n">
        <v>126</v>
      </c>
    </row>
    <row r="170" customFormat="false" ht="14.25" hidden="false" customHeight="true" outlineLevel="0" collapsed="false">
      <c r="A170" s="9" t="s">
        <v>460</v>
      </c>
      <c r="B170" s="9" t="s">
        <v>461</v>
      </c>
      <c r="C170" s="9" t="s">
        <v>331</v>
      </c>
      <c r="D170" s="38" t="n">
        <v>135</v>
      </c>
    </row>
    <row r="171" customFormat="false" ht="14.25" hidden="false" customHeight="true" outlineLevel="0" collapsed="false">
      <c r="A171" s="9" t="s">
        <v>462</v>
      </c>
      <c r="B171" s="9" t="s">
        <v>463</v>
      </c>
      <c r="C171" s="9" t="s">
        <v>331</v>
      </c>
      <c r="D171" s="38" t="n">
        <v>126</v>
      </c>
    </row>
    <row r="172" customFormat="false" ht="14.25" hidden="false" customHeight="true" outlineLevel="0" collapsed="false">
      <c r="A172" s="9" t="s">
        <v>464</v>
      </c>
      <c r="B172" s="9" t="s">
        <v>465</v>
      </c>
      <c r="C172" s="9" t="s">
        <v>331</v>
      </c>
      <c r="D172" s="38" t="n">
        <v>90</v>
      </c>
    </row>
    <row r="173" customFormat="false" ht="14.25" hidden="false" customHeight="true" outlineLevel="0" collapsed="false">
      <c r="A173" s="9" t="s">
        <v>466</v>
      </c>
      <c r="B173" s="9" t="s">
        <v>467</v>
      </c>
      <c r="C173" s="9" t="s">
        <v>331</v>
      </c>
      <c r="D173" s="38" t="n">
        <v>144</v>
      </c>
    </row>
    <row r="174" customFormat="false" ht="14.25" hidden="false" customHeight="true" outlineLevel="0" collapsed="false">
      <c r="A174" s="9" t="s">
        <v>468</v>
      </c>
      <c r="B174" s="9" t="s">
        <v>469</v>
      </c>
      <c r="C174" s="9" t="s">
        <v>331</v>
      </c>
      <c r="D174" s="38" t="n">
        <v>0</v>
      </c>
    </row>
    <row r="175" customFormat="false" ht="14.25" hidden="false" customHeight="true" outlineLevel="0" collapsed="false">
      <c r="A175" s="9" t="s">
        <v>470</v>
      </c>
      <c r="B175" s="9" t="s">
        <v>471</v>
      </c>
      <c r="C175" s="9" t="s">
        <v>331</v>
      </c>
      <c r="D175" s="38" t="n">
        <v>18</v>
      </c>
    </row>
    <row r="176" customFormat="false" ht="14.25" hidden="false" customHeight="true" outlineLevel="0" collapsed="false">
      <c r="A176" s="9" t="s">
        <v>472</v>
      </c>
      <c r="B176" s="9" t="s">
        <v>473</v>
      </c>
      <c r="C176" s="9" t="s">
        <v>331</v>
      </c>
      <c r="D176" s="38" t="n">
        <v>36</v>
      </c>
    </row>
    <row r="177" customFormat="false" ht="14.25" hidden="false" customHeight="true" outlineLevel="0" collapsed="false">
      <c r="A177" s="9" t="s">
        <v>474</v>
      </c>
      <c r="B177" s="9" t="s">
        <v>475</v>
      </c>
      <c r="C177" s="9" t="s">
        <v>331</v>
      </c>
      <c r="D177" s="38" t="n">
        <v>189</v>
      </c>
    </row>
    <row r="178" customFormat="false" ht="14.25" hidden="false" customHeight="true" outlineLevel="0" collapsed="false">
      <c r="A178" s="9" t="s">
        <v>476</v>
      </c>
      <c r="B178" s="9" t="s">
        <v>477</v>
      </c>
      <c r="C178" s="9" t="s">
        <v>331</v>
      </c>
      <c r="D178" s="38" t="n">
        <v>135</v>
      </c>
    </row>
    <row r="179" customFormat="false" ht="14.25" hidden="false" customHeight="true" outlineLevel="0" collapsed="false">
      <c r="A179" s="9" t="s">
        <v>478</v>
      </c>
      <c r="B179" s="9" t="s">
        <v>479</v>
      </c>
      <c r="C179" s="9" t="s">
        <v>331</v>
      </c>
      <c r="D179" s="38" t="n">
        <v>171</v>
      </c>
    </row>
    <row r="180" customFormat="false" ht="14.25" hidden="false" customHeight="true" outlineLevel="0" collapsed="false">
      <c r="A180" s="9" t="s">
        <v>480</v>
      </c>
      <c r="B180" s="9" t="s">
        <v>481</v>
      </c>
      <c r="C180" s="9" t="s">
        <v>331</v>
      </c>
      <c r="D180" s="38" t="n">
        <v>450</v>
      </c>
    </row>
    <row r="181" customFormat="false" ht="14.25" hidden="false" customHeight="true" outlineLevel="0" collapsed="false">
      <c r="A181" s="9" t="s">
        <v>482</v>
      </c>
      <c r="B181" s="9" t="s">
        <v>483</v>
      </c>
      <c r="C181" s="9" t="s">
        <v>331</v>
      </c>
      <c r="D181" s="38" t="n">
        <v>3.6</v>
      </c>
    </row>
    <row r="182" customFormat="false" ht="14.25" hidden="false" customHeight="true" outlineLevel="0" collapsed="false">
      <c r="B182" s="12" t="s">
        <v>30</v>
      </c>
      <c r="D182" s="13" t="n">
        <f aca="false">SUM(D5:D181)</f>
        <v>63238.19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83" activeCellId="0" sqref="H18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8"/>
    <col collapsed="false" customWidth="true" hidden="false" outlineLevel="0" max="4" min="3" style="1" width="10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34"/>
    <col collapsed="false" customWidth="true" hidden="false" outlineLevel="0" max="8" min="8" style="1" width="60"/>
  </cols>
  <sheetData>
    <row r="1" customFormat="false" ht="18" hidden="false" customHeight="true" outlineLevel="0" collapsed="false">
      <c r="A1" s="2" t="s">
        <v>501</v>
      </c>
    </row>
    <row r="2" customFormat="false" ht="14.25" hidden="false" customHeight="true" outlineLevel="0" collapsed="false">
      <c r="A2" s="37" t="s">
        <v>502</v>
      </c>
    </row>
    <row r="4" customFormat="false" ht="42" hidden="false" customHeight="true" outlineLevel="0" collapsed="false">
      <c r="A4" s="23" t="s">
        <v>503</v>
      </c>
      <c r="B4" s="23" t="s">
        <v>55</v>
      </c>
      <c r="C4" s="23" t="s">
        <v>504</v>
      </c>
      <c r="D4" s="23" t="s">
        <v>505</v>
      </c>
      <c r="E4" s="23" t="s">
        <v>506</v>
      </c>
      <c r="F4" s="23" t="s">
        <v>507</v>
      </c>
      <c r="G4" s="23" t="s">
        <v>508</v>
      </c>
      <c r="H4" s="23" t="s">
        <v>509</v>
      </c>
    </row>
    <row r="5" customFormat="false" ht="14.25" hidden="false" customHeight="true" outlineLevel="0" collapsed="false">
      <c r="A5" s="9" t="s">
        <v>78</v>
      </c>
      <c r="B5" s="9" t="s">
        <v>79</v>
      </c>
      <c r="C5" s="39" t="n">
        <v>2</v>
      </c>
      <c r="D5" s="39" t="n">
        <v>1</v>
      </c>
      <c r="E5" s="40" t="n">
        <f aca="false">C5*Settings!$B$11*IF(B5="Hide",Settings!$B$9,Settings!$B$10)+D5*IF(B5="Hide",Settings!$B$9,Settings!$B$10)</f>
        <v>44</v>
      </c>
      <c r="F5" s="41" t="s">
        <v>77</v>
      </c>
      <c r="G5" s="3" t="s">
        <v>510</v>
      </c>
      <c r="H5" s="9"/>
    </row>
    <row r="6" customFormat="false" ht="14.25" hidden="false" customHeight="true" outlineLevel="0" collapsed="false">
      <c r="A6" s="9" t="s">
        <v>82</v>
      </c>
      <c r="B6" s="9" t="s">
        <v>79</v>
      </c>
      <c r="C6" s="39" t="n">
        <v>3</v>
      </c>
      <c r="D6" s="39" t="n">
        <v>1</v>
      </c>
      <c r="E6" s="40" t="n">
        <f aca="false">C6*Settings!$B$11*IF(B6="Hide",Settings!$B$9,Settings!$B$10)+D6*IF(B6="Hide",Settings!$B$9,Settings!$B$10)</f>
        <v>64</v>
      </c>
      <c r="F6" s="41" t="s">
        <v>81</v>
      </c>
      <c r="G6" s="3" t="s">
        <v>510</v>
      </c>
      <c r="H6" s="9"/>
    </row>
    <row r="7" customFormat="false" ht="14.25" hidden="false" customHeight="true" outlineLevel="0" collapsed="false">
      <c r="A7" s="9" t="s">
        <v>84</v>
      </c>
      <c r="B7" s="9" t="s">
        <v>79</v>
      </c>
      <c r="C7" s="39" t="n">
        <v>6</v>
      </c>
      <c r="D7" s="39" t="n">
        <v>3</v>
      </c>
      <c r="E7" s="40" t="n">
        <f aca="false">C7*Settings!$B$11*IF(B7="Hide",Settings!$B$9,Settings!$B$10)+D7*IF(B7="Hide",Settings!$B$9,Settings!$B$10)</f>
        <v>132</v>
      </c>
      <c r="F7" s="41" t="s">
        <v>83</v>
      </c>
      <c r="G7" s="3" t="s">
        <v>510</v>
      </c>
      <c r="H7" s="9"/>
    </row>
    <row r="8" customFormat="false" ht="14.25" hidden="false" customHeight="true" outlineLevel="0" collapsed="false">
      <c r="A8" s="9" t="s">
        <v>86</v>
      </c>
      <c r="B8" s="9" t="s">
        <v>79</v>
      </c>
      <c r="C8" s="39" t="n">
        <v>3</v>
      </c>
      <c r="D8" s="39" t="n">
        <v>0</v>
      </c>
      <c r="E8" s="40" t="n">
        <f aca="false">C8*Settings!$B$11*IF(B8="Hide",Settings!$B$9,Settings!$B$10)+D8*IF(B8="Hide",Settings!$B$9,Settings!$B$10)</f>
        <v>60</v>
      </c>
      <c r="F8" s="41" t="s">
        <v>85</v>
      </c>
      <c r="G8" s="3" t="s">
        <v>510</v>
      </c>
      <c r="H8" s="9"/>
    </row>
    <row r="9" customFormat="false" ht="14.25" hidden="false" customHeight="true" outlineLevel="0" collapsed="false">
      <c r="A9" s="9" t="s">
        <v>88</v>
      </c>
      <c r="B9" s="9" t="s">
        <v>79</v>
      </c>
      <c r="C9" s="39" t="n">
        <v>1</v>
      </c>
      <c r="D9" s="39" t="n">
        <v>4</v>
      </c>
      <c r="E9" s="40" t="n">
        <f aca="false">C9*Settings!$B$11*IF(B9="Hide",Settings!$B$9,Settings!$B$10)+D9*IF(B9="Hide",Settings!$B$9,Settings!$B$10)</f>
        <v>36</v>
      </c>
      <c r="F9" s="41" t="s">
        <v>87</v>
      </c>
      <c r="G9" s="3" t="s">
        <v>510</v>
      </c>
      <c r="H9" s="9"/>
    </row>
    <row r="10" customFormat="false" ht="14.25" hidden="false" customHeight="true" outlineLevel="0" collapsed="false">
      <c r="A10" s="9" t="s">
        <v>90</v>
      </c>
      <c r="B10" s="9" t="s">
        <v>79</v>
      </c>
      <c r="C10" s="39" t="n">
        <v>2</v>
      </c>
      <c r="D10" s="39" t="n">
        <v>4</v>
      </c>
      <c r="E10" s="40" t="n">
        <f aca="false">C10*Settings!$B$11*IF(B10="Hide",Settings!$B$9,Settings!$B$10)+D10*IF(B10="Hide",Settings!$B$9,Settings!$B$10)</f>
        <v>56</v>
      </c>
      <c r="F10" s="41" t="s">
        <v>89</v>
      </c>
      <c r="G10" s="3" t="s">
        <v>510</v>
      </c>
      <c r="H10" s="9"/>
    </row>
    <row r="11" customFormat="false" ht="14.25" hidden="false" customHeight="true" outlineLevel="0" collapsed="false">
      <c r="A11" s="9" t="s">
        <v>92</v>
      </c>
      <c r="B11" s="9" t="s">
        <v>79</v>
      </c>
      <c r="C11" s="39" t="n">
        <v>4</v>
      </c>
      <c r="D11" s="39" t="n">
        <v>3</v>
      </c>
      <c r="E11" s="40" t="n">
        <f aca="false">C11*Settings!$B$11*IF(B11="Hide",Settings!$B$9,Settings!$B$10)+D11*IF(B11="Hide",Settings!$B$9,Settings!$B$10)</f>
        <v>92</v>
      </c>
      <c r="F11" s="41" t="s">
        <v>91</v>
      </c>
      <c r="G11" s="3" t="s">
        <v>510</v>
      </c>
      <c r="H11" s="9"/>
    </row>
    <row r="12" customFormat="false" ht="14.25" hidden="false" customHeight="true" outlineLevel="0" collapsed="false">
      <c r="A12" s="9" t="s">
        <v>94</v>
      </c>
      <c r="B12" s="9" t="s">
        <v>79</v>
      </c>
      <c r="C12" s="39" t="n">
        <v>4</v>
      </c>
      <c r="D12" s="39" t="n">
        <v>3</v>
      </c>
      <c r="E12" s="40" t="n">
        <f aca="false">C12*Settings!$B$11*IF(B12="Hide",Settings!$B$9,Settings!$B$10)+D12*IF(B12="Hide",Settings!$B$9,Settings!$B$10)</f>
        <v>92</v>
      </c>
      <c r="F12" s="41" t="s">
        <v>93</v>
      </c>
      <c r="G12" s="3" t="s">
        <v>510</v>
      </c>
      <c r="H12" s="9"/>
    </row>
    <row r="13" customFormat="false" ht="14.25" hidden="false" customHeight="true" outlineLevel="0" collapsed="false">
      <c r="A13" s="9" t="s">
        <v>96</v>
      </c>
      <c r="B13" s="9" t="s">
        <v>79</v>
      </c>
      <c r="C13" s="39" t="n">
        <v>6</v>
      </c>
      <c r="D13" s="39" t="n">
        <v>1</v>
      </c>
      <c r="E13" s="40" t="n">
        <f aca="false">C13*Settings!$B$11*IF(B13="Hide",Settings!$B$9,Settings!$B$10)+D13*IF(B13="Hide",Settings!$B$9,Settings!$B$10)</f>
        <v>124</v>
      </c>
      <c r="F13" s="41" t="s">
        <v>95</v>
      </c>
      <c r="G13" s="3" t="s">
        <v>510</v>
      </c>
      <c r="H13" s="9"/>
    </row>
    <row r="14" customFormat="false" ht="14.25" hidden="false" customHeight="true" outlineLevel="0" collapsed="false">
      <c r="A14" s="9" t="s">
        <v>100</v>
      </c>
      <c r="B14" s="9" t="s">
        <v>79</v>
      </c>
      <c r="C14" s="39" t="n">
        <v>2</v>
      </c>
      <c r="D14" s="39" t="n">
        <v>4</v>
      </c>
      <c r="E14" s="40" t="n">
        <f aca="false">C14*Settings!$B$11*IF(B14="Hide",Settings!$B$9,Settings!$B$10)+D14*IF(B14="Hide",Settings!$B$9,Settings!$B$10)</f>
        <v>56</v>
      </c>
      <c r="F14" s="41" t="s">
        <v>99</v>
      </c>
      <c r="G14" s="3" t="s">
        <v>510</v>
      </c>
      <c r="H14" s="9"/>
    </row>
    <row r="15" customFormat="false" ht="14.25" hidden="false" customHeight="true" outlineLevel="0" collapsed="false">
      <c r="A15" s="9" t="s">
        <v>102</v>
      </c>
      <c r="B15" s="9" t="s">
        <v>79</v>
      </c>
      <c r="C15" s="39" t="n">
        <v>3</v>
      </c>
      <c r="D15" s="39" t="n">
        <v>2</v>
      </c>
      <c r="E15" s="40" t="n">
        <f aca="false">C15*Settings!$B$11*IF(B15="Hide",Settings!$B$9,Settings!$B$10)+D15*IF(B15="Hide",Settings!$B$9,Settings!$B$10)</f>
        <v>68</v>
      </c>
      <c r="F15" s="41" t="s">
        <v>101</v>
      </c>
      <c r="G15" s="3" t="s">
        <v>510</v>
      </c>
      <c r="H15" s="9"/>
    </row>
    <row r="16" customFormat="false" ht="14.25" hidden="false" customHeight="true" outlineLevel="0" collapsed="false">
      <c r="A16" s="9" t="s">
        <v>104</v>
      </c>
      <c r="B16" s="9" t="s">
        <v>79</v>
      </c>
      <c r="C16" s="39" t="n">
        <v>4</v>
      </c>
      <c r="D16" s="39" t="n">
        <v>1</v>
      </c>
      <c r="E16" s="40" t="n">
        <f aca="false">C16*Settings!$B$11*IF(B16="Hide",Settings!$B$9,Settings!$B$10)+D16*IF(B16="Hide",Settings!$B$9,Settings!$B$10)</f>
        <v>84</v>
      </c>
      <c r="F16" s="41" t="s">
        <v>103</v>
      </c>
      <c r="G16" s="3" t="s">
        <v>510</v>
      </c>
      <c r="H16" s="9"/>
    </row>
    <row r="17" customFormat="false" ht="14.25" hidden="false" customHeight="true" outlineLevel="0" collapsed="false">
      <c r="A17" s="9" t="s">
        <v>106</v>
      </c>
      <c r="B17" s="9" t="s">
        <v>79</v>
      </c>
      <c r="C17" s="39" t="n">
        <v>2</v>
      </c>
      <c r="D17" s="39" t="n">
        <v>0</v>
      </c>
      <c r="E17" s="40" t="n">
        <f aca="false">C17*Settings!$B$11*IF(B17="Hide",Settings!$B$9,Settings!$B$10)+D17*IF(B17="Hide",Settings!$B$9,Settings!$B$10)</f>
        <v>40</v>
      </c>
      <c r="F17" s="41" t="s">
        <v>105</v>
      </c>
      <c r="G17" s="3" t="s">
        <v>510</v>
      </c>
      <c r="H17" s="9"/>
    </row>
    <row r="18" customFormat="false" ht="14.25" hidden="false" customHeight="true" outlineLevel="0" collapsed="false">
      <c r="A18" s="9" t="s">
        <v>112</v>
      </c>
      <c r="B18" s="9" t="s">
        <v>79</v>
      </c>
      <c r="C18" s="39" t="n">
        <v>4</v>
      </c>
      <c r="D18" s="39" t="n">
        <v>0</v>
      </c>
      <c r="E18" s="40" t="n">
        <f aca="false">C18*Settings!$B$11*IF(B18="Hide",Settings!$B$9,Settings!$B$10)+D18*IF(B18="Hide",Settings!$B$9,Settings!$B$10)</f>
        <v>80</v>
      </c>
      <c r="F18" s="41" t="s">
        <v>111</v>
      </c>
      <c r="G18" s="3" t="s">
        <v>510</v>
      </c>
      <c r="H18" s="9"/>
    </row>
    <row r="19" customFormat="false" ht="14.25" hidden="false" customHeight="true" outlineLevel="0" collapsed="false">
      <c r="A19" s="9" t="s">
        <v>511</v>
      </c>
      <c r="B19" s="9" t="s">
        <v>79</v>
      </c>
      <c r="C19" s="39" t="n">
        <v>3</v>
      </c>
      <c r="D19" s="39" t="n">
        <v>3</v>
      </c>
      <c r="E19" s="40" t="n">
        <f aca="false">C19*Settings!$B$11*IF(B19="Hide",Settings!$B$9,Settings!$B$10)+D19*IF(B19="Hide",Settings!$B$9,Settings!$B$10)</f>
        <v>72</v>
      </c>
      <c r="F19" s="41" t="s">
        <v>115</v>
      </c>
      <c r="G19" s="42" t="s">
        <v>512</v>
      </c>
      <c r="H19" s="9"/>
    </row>
    <row r="20" customFormat="false" ht="14.25" hidden="false" customHeight="true" outlineLevel="0" collapsed="false">
      <c r="A20" s="9" t="s">
        <v>513</v>
      </c>
      <c r="B20" s="9" t="s">
        <v>79</v>
      </c>
      <c r="C20" s="39" t="n">
        <v>0</v>
      </c>
      <c r="D20" s="39" t="n">
        <v>0</v>
      </c>
      <c r="E20" s="40" t="n">
        <f aca="false">C20*Settings!$B$11*IF(B20="Hide",Settings!$B$9,Settings!$B$10)+D20*IF(B20="Hide",Settings!$B$9,Settings!$B$10)</f>
        <v>0</v>
      </c>
      <c r="F20" s="41" t="s">
        <v>117</v>
      </c>
      <c r="G20" s="42" t="s">
        <v>512</v>
      </c>
      <c r="H20" s="9"/>
    </row>
    <row r="21" customFormat="false" ht="14.25" hidden="false" customHeight="true" outlineLevel="0" collapsed="false">
      <c r="A21" s="9" t="s">
        <v>514</v>
      </c>
      <c r="B21" s="9" t="s">
        <v>79</v>
      </c>
      <c r="C21" s="39" t="n">
        <v>0</v>
      </c>
      <c r="D21" s="39" t="n">
        <v>2</v>
      </c>
      <c r="E21" s="40" t="n">
        <f aca="false">C21*Settings!$B$11*IF(B21="Hide",Settings!$B$9,Settings!$B$10)+D21*IF(B21="Hide",Settings!$B$9,Settings!$B$10)</f>
        <v>8</v>
      </c>
      <c r="F21" s="41" t="s">
        <v>131</v>
      </c>
      <c r="G21" s="42" t="s">
        <v>512</v>
      </c>
      <c r="H21" s="9"/>
    </row>
    <row r="22" customFormat="false" ht="14.25" hidden="false" customHeight="true" outlineLevel="0" collapsed="false">
      <c r="A22" s="9" t="s">
        <v>297</v>
      </c>
      <c r="B22" s="9" t="s">
        <v>79</v>
      </c>
      <c r="C22" s="39" t="n">
        <v>22</v>
      </c>
      <c r="D22" s="39" t="n">
        <v>2</v>
      </c>
      <c r="E22" s="40" t="n">
        <f aca="false">C22*Settings!$B$11*IF(B22="Hide",Settings!$B$9,Settings!$B$10)+D22*IF(B22="Hide",Settings!$B$9,Settings!$B$10)</f>
        <v>448</v>
      </c>
      <c r="F22" s="41" t="s">
        <v>296</v>
      </c>
      <c r="G22" s="42" t="s">
        <v>512</v>
      </c>
      <c r="H22" s="9"/>
    </row>
    <row r="23" customFormat="false" ht="14.25" hidden="false" customHeight="true" outlineLevel="0" collapsed="false">
      <c r="A23" s="9" t="s">
        <v>110</v>
      </c>
      <c r="B23" s="9" t="s">
        <v>79</v>
      </c>
      <c r="C23" s="39" t="n">
        <v>0</v>
      </c>
      <c r="D23" s="39" t="n">
        <v>0</v>
      </c>
      <c r="E23" s="40" t="n">
        <f aca="false">C23*Settings!$B$11*IF(B23="Hide",Settings!$B$9,Settings!$B$10)+D23*IF(B23="Hide",Settings!$B$9,Settings!$B$10)</f>
        <v>0</v>
      </c>
      <c r="F23" s="41" t="s">
        <v>109</v>
      </c>
      <c r="G23" s="42" t="s">
        <v>515</v>
      </c>
      <c r="H23" s="9"/>
    </row>
    <row r="24" customFormat="false" ht="14.25" hidden="false" customHeight="true" outlineLevel="0" collapsed="false">
      <c r="A24" s="9" t="s">
        <v>299</v>
      </c>
      <c r="B24" s="9" t="s">
        <v>79</v>
      </c>
      <c r="C24" s="39" t="n">
        <v>11</v>
      </c>
      <c r="D24" s="39" t="n">
        <v>2</v>
      </c>
      <c r="E24" s="40" t="n">
        <f aca="false">C24*Settings!$B$11*IF(B24="Hide",Settings!$B$9,Settings!$B$10)+D24*IF(B24="Hide",Settings!$B$9,Settings!$B$10)</f>
        <v>228</v>
      </c>
      <c r="F24" s="41" t="s">
        <v>298</v>
      </c>
      <c r="G24" s="42" t="s">
        <v>512</v>
      </c>
      <c r="H24" s="9"/>
    </row>
    <row r="25" customFormat="false" ht="14.25" hidden="false" customHeight="true" outlineLevel="0" collapsed="false">
      <c r="A25" s="9" t="s">
        <v>309</v>
      </c>
      <c r="B25" s="9" t="s">
        <v>79</v>
      </c>
      <c r="C25" s="39" t="n">
        <v>31</v>
      </c>
      <c r="D25" s="39" t="n">
        <v>5</v>
      </c>
      <c r="E25" s="40" t="n">
        <f aca="false">C25*Settings!$B$11*IF(B25="Hide",Settings!$B$9,Settings!$B$10)+D25*IF(B25="Hide",Settings!$B$9,Settings!$B$10)</f>
        <v>640</v>
      </c>
      <c r="F25" s="41" t="s">
        <v>308</v>
      </c>
      <c r="G25" s="42" t="s">
        <v>512</v>
      </c>
      <c r="H25" s="9"/>
    </row>
    <row r="26" customFormat="false" ht="14.25" hidden="false" customHeight="true" outlineLevel="0" collapsed="false">
      <c r="A26" s="9" t="s">
        <v>293</v>
      </c>
      <c r="B26" s="9" t="s">
        <v>79</v>
      </c>
      <c r="C26" s="39" t="n">
        <v>3</v>
      </c>
      <c r="D26" s="39" t="n">
        <v>0</v>
      </c>
      <c r="E26" s="40" t="n">
        <f aca="false">C26*Settings!$B$11*IF(B26="Hide",Settings!$B$9,Settings!$B$10)+D26*IF(B26="Hide",Settings!$B$9,Settings!$B$10)</f>
        <v>60</v>
      </c>
      <c r="F26" s="41" t="s">
        <v>292</v>
      </c>
      <c r="G26" s="42" t="s">
        <v>512</v>
      </c>
      <c r="H26" s="9"/>
    </row>
    <row r="27" customFormat="false" ht="14.25" hidden="false" customHeight="true" outlineLevel="0" collapsed="false">
      <c r="A27" s="9" t="s">
        <v>301</v>
      </c>
      <c r="B27" s="9" t="s">
        <v>79</v>
      </c>
      <c r="C27" s="39" t="n">
        <v>2</v>
      </c>
      <c r="D27" s="39" t="n">
        <v>4</v>
      </c>
      <c r="E27" s="40" t="n">
        <f aca="false">C27*Settings!$B$11*IF(B27="Hide",Settings!$B$9,Settings!$B$10)+D27*IF(B27="Hide",Settings!$B$9,Settings!$B$10)</f>
        <v>56</v>
      </c>
      <c r="F27" s="41" t="s">
        <v>300</v>
      </c>
      <c r="G27" s="42" t="s">
        <v>512</v>
      </c>
      <c r="H27" s="9"/>
    </row>
    <row r="28" customFormat="false" ht="14.25" hidden="false" customHeight="true" outlineLevel="0" collapsed="false">
      <c r="A28" s="9" t="s">
        <v>303</v>
      </c>
      <c r="B28" s="9" t="s">
        <v>79</v>
      </c>
      <c r="C28" s="39" t="n">
        <v>41</v>
      </c>
      <c r="D28" s="39" t="n">
        <v>2</v>
      </c>
      <c r="E28" s="40" t="n">
        <f aca="false">C28*Settings!$B$11*IF(B28="Hide",Settings!$B$9,Settings!$B$10)+D28*IF(B28="Hide",Settings!$B$9,Settings!$B$10)</f>
        <v>828</v>
      </c>
      <c r="F28" s="41" t="s">
        <v>302</v>
      </c>
      <c r="G28" s="42" t="s">
        <v>512</v>
      </c>
      <c r="H28" s="9"/>
    </row>
    <row r="29" customFormat="false" ht="14.25" hidden="false" customHeight="true" outlineLevel="0" collapsed="false">
      <c r="A29" s="9" t="s">
        <v>313</v>
      </c>
      <c r="B29" s="9" t="s">
        <v>79</v>
      </c>
      <c r="C29" s="39" t="n">
        <v>55</v>
      </c>
      <c r="D29" s="39" t="n">
        <v>2</v>
      </c>
      <c r="E29" s="40" t="n">
        <f aca="false">C29*Settings!$B$11*IF(B29="Hide",Settings!$B$9,Settings!$B$10)+D29*IF(B29="Hide",Settings!$B$9,Settings!$B$10)</f>
        <v>1108</v>
      </c>
      <c r="F29" s="41" t="s">
        <v>312</v>
      </c>
      <c r="G29" s="42" t="s">
        <v>512</v>
      </c>
      <c r="H29" s="9"/>
    </row>
    <row r="30" customFormat="false" ht="14.25" hidden="false" customHeight="true" outlineLevel="0" collapsed="false">
      <c r="A30" s="9" t="s">
        <v>307</v>
      </c>
      <c r="B30" s="9" t="s">
        <v>79</v>
      </c>
      <c r="C30" s="39" t="n">
        <v>21</v>
      </c>
      <c r="D30" s="39" t="n">
        <v>4</v>
      </c>
      <c r="E30" s="40" t="n">
        <f aca="false">C30*Settings!$B$11*IF(B30="Hide",Settings!$B$9,Settings!$B$10)+D30*IF(B30="Hide",Settings!$B$9,Settings!$B$10)</f>
        <v>436</v>
      </c>
      <c r="F30" s="41" t="s">
        <v>306</v>
      </c>
      <c r="G30" s="42" t="s">
        <v>512</v>
      </c>
      <c r="H30" s="9"/>
    </row>
    <row r="31" customFormat="false" ht="14.25" hidden="false" customHeight="true" outlineLevel="0" collapsed="false">
      <c r="A31" s="9" t="s">
        <v>305</v>
      </c>
      <c r="B31" s="9" t="s">
        <v>79</v>
      </c>
      <c r="C31" s="39" t="n">
        <v>18</v>
      </c>
      <c r="D31" s="39" t="n">
        <v>0</v>
      </c>
      <c r="E31" s="40" t="n">
        <f aca="false">C31*Settings!$B$11*IF(B31="Hide",Settings!$B$9,Settings!$B$10)+D31*IF(B31="Hide",Settings!$B$9,Settings!$B$10)</f>
        <v>360</v>
      </c>
      <c r="F31" s="41" t="s">
        <v>304</v>
      </c>
      <c r="G31" s="42" t="s">
        <v>512</v>
      </c>
      <c r="H31" s="9"/>
    </row>
    <row r="32" customFormat="false" ht="14.25" hidden="false" customHeight="true" outlineLevel="0" collapsed="false">
      <c r="A32" s="9" t="s">
        <v>311</v>
      </c>
      <c r="B32" s="9" t="s">
        <v>79</v>
      </c>
      <c r="C32" s="39" t="n">
        <v>13</v>
      </c>
      <c r="D32" s="39" t="n">
        <v>0</v>
      </c>
      <c r="E32" s="40" t="n">
        <f aca="false">C32*Settings!$B$11*IF(B32="Hide",Settings!$B$9,Settings!$B$10)+D32*IF(B32="Hide",Settings!$B$9,Settings!$B$10)</f>
        <v>260</v>
      </c>
      <c r="F32" s="41" t="s">
        <v>310</v>
      </c>
      <c r="G32" s="42" t="s">
        <v>512</v>
      </c>
      <c r="H32" s="9"/>
    </row>
    <row r="33" customFormat="false" ht="14.25" hidden="false" customHeight="true" outlineLevel="0" collapsed="false">
      <c r="A33" s="9" t="s">
        <v>108</v>
      </c>
      <c r="B33" s="9" t="s">
        <v>79</v>
      </c>
      <c r="C33" s="39" t="n">
        <v>69</v>
      </c>
      <c r="D33" s="39" t="n">
        <v>3</v>
      </c>
      <c r="E33" s="40" t="n">
        <f aca="false">C33*Settings!$B$11*IF(B33="Hide",Settings!$B$9,Settings!$B$10)+D33*IF(B33="Hide",Settings!$B$9,Settings!$B$10)</f>
        <v>1392</v>
      </c>
      <c r="F33" s="41" t="s">
        <v>107</v>
      </c>
      <c r="G33" s="42" t="s">
        <v>512</v>
      </c>
      <c r="H33" s="9" t="s">
        <v>516</v>
      </c>
    </row>
    <row r="34" customFormat="false" ht="14.25" hidden="false" customHeight="true" outlineLevel="0" collapsed="false">
      <c r="A34" s="9" t="s">
        <v>134</v>
      </c>
      <c r="B34" s="9" t="s">
        <v>79</v>
      </c>
      <c r="C34" s="39" t="n">
        <v>3</v>
      </c>
      <c r="D34" s="39" t="n">
        <v>2</v>
      </c>
      <c r="E34" s="40" t="n">
        <f aca="false">C34*Settings!$B$11*IF(B34="Hide",Settings!$B$9,Settings!$B$10)+D34*IF(B34="Hide",Settings!$B$9,Settings!$B$10)</f>
        <v>68</v>
      </c>
      <c r="F34" s="41" t="s">
        <v>133</v>
      </c>
      <c r="G34" s="3" t="s">
        <v>510</v>
      </c>
      <c r="H34" s="9"/>
    </row>
    <row r="35" customFormat="false" ht="14.25" hidden="false" customHeight="true" outlineLevel="0" collapsed="false">
      <c r="A35" s="9" t="s">
        <v>136</v>
      </c>
      <c r="B35" s="9" t="s">
        <v>79</v>
      </c>
      <c r="C35" s="39" t="n">
        <v>0</v>
      </c>
      <c r="D35" s="39" t="n">
        <v>2</v>
      </c>
      <c r="E35" s="40" t="n">
        <f aca="false">C35*Settings!$B$11*IF(B35="Hide",Settings!$B$9,Settings!$B$10)+D35*IF(B35="Hide",Settings!$B$9,Settings!$B$10)</f>
        <v>8</v>
      </c>
      <c r="F35" s="41" t="s">
        <v>135</v>
      </c>
      <c r="G35" s="3" t="s">
        <v>510</v>
      </c>
      <c r="H35" s="9"/>
    </row>
    <row r="36" customFormat="false" ht="14.25" hidden="false" customHeight="true" outlineLevel="0" collapsed="false">
      <c r="A36" s="9" t="s">
        <v>138</v>
      </c>
      <c r="B36" s="9" t="s">
        <v>79</v>
      </c>
      <c r="C36" s="39" t="n">
        <v>1</v>
      </c>
      <c r="D36" s="39" t="n">
        <v>3</v>
      </c>
      <c r="E36" s="40" t="n">
        <f aca="false">C36*Settings!$B$11*IF(B36="Hide",Settings!$B$9,Settings!$B$10)+D36*IF(B36="Hide",Settings!$B$9,Settings!$B$10)</f>
        <v>32</v>
      </c>
      <c r="F36" s="41" t="s">
        <v>137</v>
      </c>
      <c r="G36" s="3" t="s">
        <v>510</v>
      </c>
      <c r="H36" s="9"/>
    </row>
    <row r="37" customFormat="false" ht="14.25" hidden="false" customHeight="true" outlineLevel="0" collapsed="false">
      <c r="A37" s="9" t="s">
        <v>140</v>
      </c>
      <c r="B37" s="9" t="s">
        <v>79</v>
      </c>
      <c r="C37" s="39" t="n">
        <v>0</v>
      </c>
      <c r="D37" s="39" t="n">
        <v>1</v>
      </c>
      <c r="E37" s="40" t="n">
        <f aca="false">C37*Settings!$B$11*IF(B37="Hide",Settings!$B$9,Settings!$B$10)+D37*IF(B37="Hide",Settings!$B$9,Settings!$B$10)</f>
        <v>4</v>
      </c>
      <c r="F37" s="41" t="s">
        <v>139</v>
      </c>
      <c r="G37" s="3" t="s">
        <v>510</v>
      </c>
      <c r="H37" s="9"/>
    </row>
    <row r="38" customFormat="false" ht="14.25" hidden="false" customHeight="true" outlineLevel="0" collapsed="false">
      <c r="A38" s="9" t="s">
        <v>142</v>
      </c>
      <c r="B38" s="9" t="s">
        <v>79</v>
      </c>
      <c r="C38" s="39" t="n">
        <v>4</v>
      </c>
      <c r="D38" s="39" t="n">
        <v>1</v>
      </c>
      <c r="E38" s="40" t="n">
        <f aca="false">C38*Settings!$B$11*IF(B38="Hide",Settings!$B$9,Settings!$B$10)+D38*IF(B38="Hide",Settings!$B$9,Settings!$B$10)</f>
        <v>84</v>
      </c>
      <c r="F38" s="41" t="s">
        <v>141</v>
      </c>
      <c r="G38" s="3" t="s">
        <v>510</v>
      </c>
      <c r="H38" s="9"/>
    </row>
    <row r="39" customFormat="false" ht="14.25" hidden="false" customHeight="true" outlineLevel="0" collapsed="false">
      <c r="A39" s="9" t="s">
        <v>144</v>
      </c>
      <c r="B39" s="9" t="s">
        <v>79</v>
      </c>
      <c r="C39" s="39" t="n">
        <v>7</v>
      </c>
      <c r="D39" s="39" t="n">
        <v>1</v>
      </c>
      <c r="E39" s="40" t="n">
        <f aca="false">C39*Settings!$B$11*IF(B39="Hide",Settings!$B$9,Settings!$B$10)+D39*IF(B39="Hide",Settings!$B$9,Settings!$B$10)</f>
        <v>144</v>
      </c>
      <c r="F39" s="41" t="s">
        <v>143</v>
      </c>
      <c r="G39" s="3" t="s">
        <v>510</v>
      </c>
      <c r="H39" s="9"/>
    </row>
    <row r="40" customFormat="false" ht="14.25" hidden="false" customHeight="true" outlineLevel="0" collapsed="false">
      <c r="A40" s="9" t="s">
        <v>146</v>
      </c>
      <c r="B40" s="9" t="s">
        <v>79</v>
      </c>
      <c r="C40" s="39" t="n">
        <v>3</v>
      </c>
      <c r="D40" s="39" t="n">
        <v>2</v>
      </c>
      <c r="E40" s="40" t="n">
        <f aca="false">C40*Settings!$B$11*IF(B40="Hide",Settings!$B$9,Settings!$B$10)+D40*IF(B40="Hide",Settings!$B$9,Settings!$B$10)</f>
        <v>68</v>
      </c>
      <c r="F40" s="41" t="s">
        <v>145</v>
      </c>
      <c r="G40" s="3" t="s">
        <v>510</v>
      </c>
      <c r="H40" s="9"/>
    </row>
    <row r="41" customFormat="false" ht="14.25" hidden="false" customHeight="true" outlineLevel="0" collapsed="false">
      <c r="A41" s="9" t="s">
        <v>150</v>
      </c>
      <c r="B41" s="9" t="s">
        <v>79</v>
      </c>
      <c r="C41" s="39" t="n">
        <v>3</v>
      </c>
      <c r="D41" s="39" t="n">
        <v>3</v>
      </c>
      <c r="E41" s="40" t="n">
        <f aca="false">C41*Settings!$B$11*IF(B41="Hide",Settings!$B$9,Settings!$B$10)+D41*IF(B41="Hide",Settings!$B$9,Settings!$B$10)</f>
        <v>72</v>
      </c>
      <c r="F41" s="41" t="s">
        <v>149</v>
      </c>
      <c r="G41" s="3" t="s">
        <v>510</v>
      </c>
      <c r="H41" s="9"/>
    </row>
    <row r="42" customFormat="false" ht="14.25" hidden="false" customHeight="true" outlineLevel="0" collapsed="false">
      <c r="A42" s="9" t="s">
        <v>152</v>
      </c>
      <c r="B42" s="9" t="s">
        <v>79</v>
      </c>
      <c r="C42" s="39" t="n">
        <v>4</v>
      </c>
      <c r="D42" s="39" t="n">
        <v>3</v>
      </c>
      <c r="E42" s="40" t="n">
        <f aca="false">C42*Settings!$B$11*IF(B42="Hide",Settings!$B$9,Settings!$B$10)+D42*IF(B42="Hide",Settings!$B$9,Settings!$B$10)</f>
        <v>92</v>
      </c>
      <c r="F42" s="41" t="s">
        <v>151</v>
      </c>
      <c r="G42" s="3" t="s">
        <v>510</v>
      </c>
      <c r="H42" s="9"/>
    </row>
    <row r="43" customFormat="false" ht="14.25" hidden="false" customHeight="true" outlineLevel="0" collapsed="false">
      <c r="A43" s="9" t="s">
        <v>154</v>
      </c>
      <c r="B43" s="9" t="s">
        <v>79</v>
      </c>
      <c r="C43" s="39" t="n">
        <v>3</v>
      </c>
      <c r="D43" s="39" t="n">
        <v>1</v>
      </c>
      <c r="E43" s="40" t="n">
        <f aca="false">C43*Settings!$B$11*IF(B43="Hide",Settings!$B$9,Settings!$B$10)+D43*IF(B43="Hide",Settings!$B$9,Settings!$B$10)</f>
        <v>64</v>
      </c>
      <c r="F43" s="41" t="s">
        <v>153</v>
      </c>
      <c r="G43" s="3" t="s">
        <v>510</v>
      </c>
      <c r="H43" s="9"/>
    </row>
    <row r="44" customFormat="false" ht="14.25" hidden="false" customHeight="true" outlineLevel="0" collapsed="false">
      <c r="A44" s="9" t="s">
        <v>156</v>
      </c>
      <c r="B44" s="9" t="s">
        <v>79</v>
      </c>
      <c r="C44" s="39" t="n">
        <v>3</v>
      </c>
      <c r="D44" s="39" t="n">
        <v>0</v>
      </c>
      <c r="E44" s="40" t="n">
        <f aca="false">C44*Settings!$B$11*IF(B44="Hide",Settings!$B$9,Settings!$B$10)+D44*IF(B44="Hide",Settings!$B$9,Settings!$B$10)</f>
        <v>60</v>
      </c>
      <c r="F44" s="41" t="s">
        <v>155</v>
      </c>
      <c r="G44" s="3" t="s">
        <v>510</v>
      </c>
      <c r="H44" s="9"/>
    </row>
    <row r="45" customFormat="false" ht="14.25" hidden="false" customHeight="true" outlineLevel="0" collapsed="false">
      <c r="A45" s="9" t="s">
        <v>164</v>
      </c>
      <c r="B45" s="9" t="s">
        <v>79</v>
      </c>
      <c r="C45" s="39" t="n">
        <v>8</v>
      </c>
      <c r="D45" s="39" t="n">
        <v>1</v>
      </c>
      <c r="E45" s="40" t="n">
        <f aca="false">C45*Settings!$B$11*IF(B45="Hide",Settings!$B$9,Settings!$B$10)+D45*IF(B45="Hide",Settings!$B$9,Settings!$B$10)</f>
        <v>164</v>
      </c>
      <c r="F45" s="41" t="s">
        <v>163</v>
      </c>
      <c r="G45" s="3" t="s">
        <v>510</v>
      </c>
      <c r="H45" s="9"/>
    </row>
    <row r="46" customFormat="false" ht="14.25" hidden="false" customHeight="true" outlineLevel="0" collapsed="false">
      <c r="A46" s="9" t="s">
        <v>319</v>
      </c>
      <c r="B46" s="9" t="s">
        <v>79</v>
      </c>
      <c r="C46" s="39" t="n">
        <v>7</v>
      </c>
      <c r="D46" s="39" t="n">
        <v>3</v>
      </c>
      <c r="E46" s="40" t="n">
        <f aca="false">C46*Settings!$B$11*IF(B46="Hide",Settings!$B$9,Settings!$B$10)+D46*IF(B46="Hide",Settings!$B$9,Settings!$B$10)</f>
        <v>152</v>
      </c>
      <c r="F46" s="41" t="s">
        <v>318</v>
      </c>
      <c r="G46" s="42" t="s">
        <v>515</v>
      </c>
      <c r="H46" s="9" t="s">
        <v>517</v>
      </c>
    </row>
    <row r="47" customFormat="false" ht="14.25" hidden="false" customHeight="true" outlineLevel="0" collapsed="false">
      <c r="A47" s="9" t="s">
        <v>166</v>
      </c>
      <c r="B47" s="9" t="s">
        <v>79</v>
      </c>
      <c r="C47" s="39" t="n">
        <v>13</v>
      </c>
      <c r="D47" s="39" t="n">
        <v>4</v>
      </c>
      <c r="E47" s="40" t="n">
        <f aca="false">C47*Settings!$B$11*IF(B47="Hide",Settings!$B$9,Settings!$B$10)+D47*IF(B47="Hide",Settings!$B$9,Settings!$B$10)</f>
        <v>276</v>
      </c>
      <c r="F47" s="41" t="s">
        <v>165</v>
      </c>
      <c r="G47" s="3" t="s">
        <v>510</v>
      </c>
      <c r="H47" s="9"/>
    </row>
    <row r="48" customFormat="false" ht="14.25" hidden="false" customHeight="true" outlineLevel="0" collapsed="false">
      <c r="A48" s="9" t="s">
        <v>168</v>
      </c>
      <c r="B48" s="9" t="s">
        <v>79</v>
      </c>
      <c r="C48" s="39" t="n">
        <v>3</v>
      </c>
      <c r="D48" s="39" t="n">
        <v>1</v>
      </c>
      <c r="E48" s="40" t="n">
        <f aca="false">C48*Settings!$B$11*IF(B48="Hide",Settings!$B$9,Settings!$B$10)+D48*IF(B48="Hide",Settings!$B$9,Settings!$B$10)</f>
        <v>64</v>
      </c>
      <c r="F48" s="41" t="s">
        <v>167</v>
      </c>
      <c r="G48" s="3" t="s">
        <v>510</v>
      </c>
      <c r="H48" s="9"/>
    </row>
    <row r="49" customFormat="false" ht="14.25" hidden="false" customHeight="true" outlineLevel="0" collapsed="false">
      <c r="A49" s="9" t="s">
        <v>170</v>
      </c>
      <c r="B49" s="9" t="s">
        <v>79</v>
      </c>
      <c r="C49" s="39" t="n">
        <v>23</v>
      </c>
      <c r="D49" s="39" t="n">
        <v>4</v>
      </c>
      <c r="E49" s="40" t="n">
        <f aca="false">C49*Settings!$B$11*IF(B49="Hide",Settings!$B$9,Settings!$B$10)+D49*IF(B49="Hide",Settings!$B$9,Settings!$B$10)</f>
        <v>476</v>
      </c>
      <c r="F49" s="41" t="s">
        <v>169</v>
      </c>
      <c r="G49" s="3" t="s">
        <v>510</v>
      </c>
      <c r="H49" s="9"/>
    </row>
    <row r="50" customFormat="false" ht="14.25" hidden="false" customHeight="true" outlineLevel="0" collapsed="false">
      <c r="A50" s="9" t="s">
        <v>322</v>
      </c>
      <c r="B50" s="9" t="s">
        <v>79</v>
      </c>
      <c r="C50" s="39" t="n">
        <v>2</v>
      </c>
      <c r="D50" s="39" t="n">
        <v>4</v>
      </c>
      <c r="E50" s="40" t="n">
        <f aca="false">C50*Settings!$B$11*IF(B50="Hide",Settings!$B$9,Settings!$B$10)+D50*IF(B50="Hide",Settings!$B$9,Settings!$B$10)</f>
        <v>56</v>
      </c>
      <c r="F50" s="41" t="s">
        <v>321</v>
      </c>
      <c r="G50" s="42" t="s">
        <v>515</v>
      </c>
      <c r="H50" s="9"/>
    </row>
    <row r="51" customFormat="false" ht="14.25" hidden="false" customHeight="true" outlineLevel="0" collapsed="false">
      <c r="A51" s="9" t="s">
        <v>172</v>
      </c>
      <c r="B51" s="9" t="s">
        <v>79</v>
      </c>
      <c r="C51" s="39" t="n">
        <v>8</v>
      </c>
      <c r="D51" s="39" t="n">
        <v>3</v>
      </c>
      <c r="E51" s="40" t="n">
        <f aca="false">C51*Settings!$B$11*IF(B51="Hide",Settings!$B$9,Settings!$B$10)+D51*IF(B51="Hide",Settings!$B$9,Settings!$B$10)</f>
        <v>172</v>
      </c>
      <c r="F51" s="41" t="s">
        <v>171</v>
      </c>
      <c r="G51" s="3" t="s">
        <v>510</v>
      </c>
      <c r="H51" s="9"/>
    </row>
    <row r="52" customFormat="false" ht="14.25" hidden="false" customHeight="true" outlineLevel="0" collapsed="false">
      <c r="A52" s="9" t="s">
        <v>518</v>
      </c>
      <c r="B52" s="9" t="s">
        <v>79</v>
      </c>
      <c r="C52" s="39" t="n">
        <v>35</v>
      </c>
      <c r="D52" s="39" t="n">
        <v>6</v>
      </c>
      <c r="E52" s="40" t="n">
        <f aca="false">C52*Settings!$B$11*IF(B52="Hide",Settings!$B$9,Settings!$B$10)+D52*IF(B52="Hide",Settings!$B$9,Settings!$B$10)</f>
        <v>724</v>
      </c>
      <c r="F52" s="41" t="s">
        <v>173</v>
      </c>
      <c r="G52" s="42" t="s">
        <v>512</v>
      </c>
      <c r="H52" s="9" t="s">
        <v>519</v>
      </c>
    </row>
    <row r="53" customFormat="false" ht="14.25" hidden="false" customHeight="true" outlineLevel="0" collapsed="false">
      <c r="A53" s="9" t="s">
        <v>176</v>
      </c>
      <c r="B53" s="9" t="s">
        <v>79</v>
      </c>
      <c r="C53" s="39" t="n">
        <v>3</v>
      </c>
      <c r="D53" s="39" t="n">
        <v>1</v>
      </c>
      <c r="E53" s="40" t="n">
        <f aca="false">C53*Settings!$B$11*IF(B53="Hide",Settings!$B$9,Settings!$B$10)+D53*IF(B53="Hide",Settings!$B$9,Settings!$B$10)</f>
        <v>64</v>
      </c>
      <c r="F53" s="41" t="s">
        <v>175</v>
      </c>
      <c r="G53" s="3" t="s">
        <v>510</v>
      </c>
      <c r="H53" s="9"/>
    </row>
    <row r="54" customFormat="false" ht="14.25" hidden="false" customHeight="true" outlineLevel="0" collapsed="false">
      <c r="A54" s="9" t="s">
        <v>178</v>
      </c>
      <c r="B54" s="9" t="s">
        <v>79</v>
      </c>
      <c r="C54" s="39" t="n">
        <v>0</v>
      </c>
      <c r="D54" s="39" t="n">
        <v>2</v>
      </c>
      <c r="E54" s="40" t="n">
        <f aca="false">C54*Settings!$B$11*IF(B54="Hide",Settings!$B$9,Settings!$B$10)+D54*IF(B54="Hide",Settings!$B$9,Settings!$B$10)</f>
        <v>8</v>
      </c>
      <c r="F54" s="41" t="s">
        <v>177</v>
      </c>
      <c r="G54" s="3" t="s">
        <v>510</v>
      </c>
      <c r="H54" s="9"/>
    </row>
    <row r="55" customFormat="false" ht="14.25" hidden="false" customHeight="true" outlineLevel="0" collapsed="false">
      <c r="A55" s="9" t="s">
        <v>520</v>
      </c>
      <c r="B55" s="9" t="s">
        <v>79</v>
      </c>
      <c r="C55" s="39" t="n">
        <v>0</v>
      </c>
      <c r="D55" s="39" t="n">
        <v>2</v>
      </c>
      <c r="E55" s="40" t="n">
        <f aca="false">C55*Settings!$B$11*IF(B55="Hide",Settings!$B$9,Settings!$B$10)+D55*IF(B55="Hide",Settings!$B$9,Settings!$B$10)</f>
        <v>8</v>
      </c>
      <c r="F55" s="41" t="s">
        <v>179</v>
      </c>
      <c r="G55" s="42" t="s">
        <v>512</v>
      </c>
      <c r="H55" s="9"/>
    </row>
    <row r="56" customFormat="false" ht="14.25" hidden="false" customHeight="true" outlineLevel="0" collapsed="false">
      <c r="A56" s="9" t="s">
        <v>521</v>
      </c>
      <c r="B56" s="9" t="s">
        <v>79</v>
      </c>
      <c r="C56" s="39" t="n">
        <v>1</v>
      </c>
      <c r="D56" s="39" t="n">
        <v>0</v>
      </c>
      <c r="E56" s="40" t="n">
        <f aca="false">C56*Settings!$B$11*IF(B56="Hide",Settings!$B$9,Settings!$B$10)+D56*IF(B56="Hide",Settings!$B$9,Settings!$B$10)</f>
        <v>20</v>
      </c>
      <c r="F56" s="41" t="s">
        <v>314</v>
      </c>
      <c r="G56" s="42" t="s">
        <v>512</v>
      </c>
      <c r="H56" s="9"/>
    </row>
    <row r="57" customFormat="false" ht="14.25" hidden="false" customHeight="true" outlineLevel="0" collapsed="false">
      <c r="A57" s="9" t="s">
        <v>522</v>
      </c>
      <c r="B57" s="9" t="s">
        <v>79</v>
      </c>
      <c r="C57" s="39" t="n">
        <v>0</v>
      </c>
      <c r="D57" s="39" t="n">
        <v>0</v>
      </c>
      <c r="E57" s="40" t="n">
        <f aca="false">C57*Settings!$B$11*IF(B57="Hide",Settings!$B$9,Settings!$B$10)+D57*IF(B57="Hide",Settings!$B$9,Settings!$B$10)</f>
        <v>0</v>
      </c>
      <c r="F57" s="41" t="s">
        <v>182</v>
      </c>
      <c r="G57" s="42" t="s">
        <v>512</v>
      </c>
      <c r="H57" s="9"/>
    </row>
    <row r="58" customFormat="false" ht="14.25" hidden="false" customHeight="true" outlineLevel="0" collapsed="false">
      <c r="A58" s="9" t="s">
        <v>523</v>
      </c>
      <c r="B58" s="9" t="s">
        <v>79</v>
      </c>
      <c r="C58" s="39" t="n">
        <v>0</v>
      </c>
      <c r="D58" s="39" t="n">
        <v>1</v>
      </c>
      <c r="E58" s="40" t="n">
        <f aca="false">C58*Settings!$B$11*IF(B58="Hide",Settings!$B$9,Settings!$B$10)+D58*IF(B58="Hide",Settings!$B$9,Settings!$B$10)</f>
        <v>4</v>
      </c>
      <c r="F58" s="41" t="s">
        <v>184</v>
      </c>
      <c r="G58" s="42" t="s">
        <v>512</v>
      </c>
      <c r="H58" s="9"/>
    </row>
    <row r="59" customFormat="false" ht="14.25" hidden="false" customHeight="true" outlineLevel="0" collapsed="false">
      <c r="A59" s="9" t="s">
        <v>524</v>
      </c>
      <c r="B59" s="9" t="s">
        <v>79</v>
      </c>
      <c r="C59" s="39" t="n">
        <v>0</v>
      </c>
      <c r="D59" s="39" t="n">
        <v>2</v>
      </c>
      <c r="E59" s="40" t="n">
        <f aca="false">C59*Settings!$B$11*IF(B59="Hide",Settings!$B$9,Settings!$B$10)+D59*IF(B59="Hide",Settings!$B$9,Settings!$B$10)</f>
        <v>8</v>
      </c>
      <c r="F59" s="41" t="s">
        <v>316</v>
      </c>
      <c r="G59" s="42" t="s">
        <v>512</v>
      </c>
      <c r="H59" s="9"/>
    </row>
    <row r="60" customFormat="false" ht="14.25" hidden="false" customHeight="true" outlineLevel="0" collapsed="false">
      <c r="A60" s="9" t="s">
        <v>187</v>
      </c>
      <c r="B60" s="9" t="s">
        <v>79</v>
      </c>
      <c r="C60" s="39" t="n">
        <v>2</v>
      </c>
      <c r="D60" s="39" t="n">
        <v>1</v>
      </c>
      <c r="E60" s="40" t="n">
        <f aca="false">C60*Settings!$B$11*IF(B60="Hide",Settings!$B$9,Settings!$B$10)+D60*IF(B60="Hide",Settings!$B$9,Settings!$B$10)</f>
        <v>44</v>
      </c>
      <c r="F60" s="41" t="s">
        <v>186</v>
      </c>
      <c r="G60" s="3" t="s">
        <v>510</v>
      </c>
      <c r="H60" s="9"/>
    </row>
    <row r="61" customFormat="false" ht="14.25" hidden="false" customHeight="true" outlineLevel="0" collapsed="false">
      <c r="A61" s="9" t="s">
        <v>191</v>
      </c>
      <c r="B61" s="9" t="s">
        <v>79</v>
      </c>
      <c r="C61" s="39" t="n">
        <v>2</v>
      </c>
      <c r="D61" s="39" t="n">
        <v>4</v>
      </c>
      <c r="E61" s="40" t="n">
        <f aca="false">C61*Settings!$B$11*IF(B61="Hide",Settings!$B$9,Settings!$B$10)+D61*IF(B61="Hide",Settings!$B$9,Settings!$B$10)</f>
        <v>56</v>
      </c>
      <c r="F61" s="41" t="s">
        <v>190</v>
      </c>
      <c r="G61" s="3" t="s">
        <v>510</v>
      </c>
      <c r="H61" s="9"/>
    </row>
    <row r="62" customFormat="false" ht="14.25" hidden="false" customHeight="true" outlineLevel="0" collapsed="false">
      <c r="A62" s="9" t="s">
        <v>525</v>
      </c>
      <c r="B62" s="9" t="s">
        <v>79</v>
      </c>
      <c r="C62" s="39" t="n">
        <v>2</v>
      </c>
      <c r="D62" s="39" t="n">
        <v>0</v>
      </c>
      <c r="E62" s="40" t="n">
        <f aca="false">C62*Settings!$B$11*IF(B62="Hide",Settings!$B$9,Settings!$B$10)+D62*IF(B62="Hide",Settings!$B$9,Settings!$B$10)</f>
        <v>40</v>
      </c>
      <c r="F62" s="41" t="s">
        <v>192</v>
      </c>
      <c r="G62" s="42" t="s">
        <v>512</v>
      </c>
      <c r="H62" s="9"/>
    </row>
    <row r="63" customFormat="false" ht="14.25" hidden="false" customHeight="true" outlineLevel="0" collapsed="false">
      <c r="A63" s="9" t="s">
        <v>526</v>
      </c>
      <c r="B63" s="9" t="s">
        <v>79</v>
      </c>
      <c r="C63" s="39" t="n">
        <v>7</v>
      </c>
      <c r="D63" s="39" t="n">
        <v>2</v>
      </c>
      <c r="E63" s="40" t="n">
        <f aca="false">C63*Settings!$B$11*IF(B63="Hide",Settings!$B$9,Settings!$B$10)+D63*IF(B63="Hide",Settings!$B$9,Settings!$B$10)</f>
        <v>148</v>
      </c>
      <c r="F63" s="41" t="s">
        <v>194</v>
      </c>
      <c r="G63" s="42" t="s">
        <v>512</v>
      </c>
      <c r="H63" s="9" t="s">
        <v>527</v>
      </c>
    </row>
    <row r="64" customFormat="false" ht="14.25" hidden="false" customHeight="true" outlineLevel="0" collapsed="false">
      <c r="A64" s="9" t="s">
        <v>197</v>
      </c>
      <c r="B64" s="9" t="s">
        <v>79</v>
      </c>
      <c r="C64" s="39" t="n">
        <v>12</v>
      </c>
      <c r="D64" s="39" t="n">
        <v>2</v>
      </c>
      <c r="E64" s="40" t="n">
        <f aca="false">C64*Settings!$B$11*IF(B64="Hide",Settings!$B$9,Settings!$B$10)+D64*IF(B64="Hide",Settings!$B$9,Settings!$B$10)</f>
        <v>248</v>
      </c>
      <c r="F64" s="41" t="s">
        <v>196</v>
      </c>
      <c r="G64" s="3" t="s">
        <v>510</v>
      </c>
      <c r="H64" s="9"/>
    </row>
    <row r="65" customFormat="false" ht="14.25" hidden="false" customHeight="true" outlineLevel="0" collapsed="false">
      <c r="A65" s="9" t="s">
        <v>199</v>
      </c>
      <c r="B65" s="9" t="s">
        <v>79</v>
      </c>
      <c r="C65" s="39" t="n">
        <v>13</v>
      </c>
      <c r="D65" s="39" t="n">
        <v>1</v>
      </c>
      <c r="E65" s="40" t="n">
        <f aca="false">C65*Settings!$B$11*IF(B65="Hide",Settings!$B$9,Settings!$B$10)+D65*IF(B65="Hide",Settings!$B$9,Settings!$B$10)</f>
        <v>264</v>
      </c>
      <c r="F65" s="41" t="s">
        <v>198</v>
      </c>
      <c r="G65" s="3" t="s">
        <v>510</v>
      </c>
      <c r="H65" s="9"/>
    </row>
    <row r="66" customFormat="false" ht="14.25" hidden="false" customHeight="true" outlineLevel="0" collapsed="false">
      <c r="A66" s="9" t="s">
        <v>201</v>
      </c>
      <c r="B66" s="9" t="s">
        <v>79</v>
      </c>
      <c r="C66" s="39" t="n">
        <v>3</v>
      </c>
      <c r="D66" s="39" t="n">
        <v>3</v>
      </c>
      <c r="E66" s="40" t="n">
        <f aca="false">C66*Settings!$B$11*IF(B66="Hide",Settings!$B$9,Settings!$B$10)+D66*IF(B66="Hide",Settings!$B$9,Settings!$B$10)</f>
        <v>72</v>
      </c>
      <c r="F66" s="41" t="s">
        <v>200</v>
      </c>
      <c r="G66" s="3" t="s">
        <v>510</v>
      </c>
      <c r="H66" s="9"/>
    </row>
    <row r="67" customFormat="false" ht="14.25" hidden="false" customHeight="true" outlineLevel="0" collapsed="false">
      <c r="A67" s="9" t="s">
        <v>203</v>
      </c>
      <c r="B67" s="9" t="s">
        <v>79</v>
      </c>
      <c r="C67" s="39" t="n">
        <v>7</v>
      </c>
      <c r="D67" s="39" t="n">
        <v>0</v>
      </c>
      <c r="E67" s="40" t="n">
        <f aca="false">C67*Settings!$B$11*IF(B67="Hide",Settings!$B$9,Settings!$B$10)+D67*IF(B67="Hide",Settings!$B$9,Settings!$B$10)</f>
        <v>140</v>
      </c>
      <c r="F67" s="41" t="s">
        <v>202</v>
      </c>
      <c r="G67" s="3" t="s">
        <v>510</v>
      </c>
      <c r="H67" s="9"/>
    </row>
    <row r="68" customFormat="false" ht="14.25" hidden="false" customHeight="true" outlineLevel="0" collapsed="false">
      <c r="A68" s="9" t="s">
        <v>324</v>
      </c>
      <c r="B68" s="9" t="s">
        <v>79</v>
      </c>
      <c r="C68" s="39" t="n">
        <v>0</v>
      </c>
      <c r="D68" s="39" t="n">
        <v>4</v>
      </c>
      <c r="E68" s="40" t="n">
        <f aca="false">C68*Settings!$B$11*IF(B68="Hide",Settings!$B$9,Settings!$B$10)+D68*IF(B68="Hide",Settings!$B$9,Settings!$B$10)</f>
        <v>16</v>
      </c>
      <c r="F68" s="41" t="s">
        <v>323</v>
      </c>
      <c r="G68" s="42" t="s">
        <v>515</v>
      </c>
      <c r="H68" s="9"/>
    </row>
    <row r="69" customFormat="false" ht="14.25" hidden="false" customHeight="true" outlineLevel="0" collapsed="false">
      <c r="A69" s="9" t="s">
        <v>207</v>
      </c>
      <c r="B69" s="9" t="s">
        <v>79</v>
      </c>
      <c r="C69" s="39" t="n">
        <v>4</v>
      </c>
      <c r="D69" s="39" t="n">
        <v>5</v>
      </c>
      <c r="E69" s="40" t="n">
        <f aca="false">C69*Settings!$B$11*IF(B69="Hide",Settings!$B$9,Settings!$B$10)+D69*IF(B69="Hide",Settings!$B$9,Settings!$B$10)</f>
        <v>100</v>
      </c>
      <c r="F69" s="41" t="s">
        <v>206</v>
      </c>
      <c r="G69" s="3" t="s">
        <v>510</v>
      </c>
      <c r="H69" s="9"/>
    </row>
    <row r="70" customFormat="false" ht="14.25" hidden="false" customHeight="true" outlineLevel="0" collapsed="false">
      <c r="A70" s="9" t="s">
        <v>209</v>
      </c>
      <c r="B70" s="9" t="s">
        <v>79</v>
      </c>
      <c r="C70" s="39" t="n">
        <v>5</v>
      </c>
      <c r="D70" s="39" t="n">
        <v>4</v>
      </c>
      <c r="E70" s="40" t="n">
        <f aca="false">C70*Settings!$B$11*IF(B70="Hide",Settings!$B$9,Settings!$B$10)+D70*IF(B70="Hide",Settings!$B$9,Settings!$B$10)</f>
        <v>116</v>
      </c>
      <c r="F70" s="41" t="s">
        <v>208</v>
      </c>
      <c r="G70" s="3" t="s">
        <v>510</v>
      </c>
      <c r="H70" s="9"/>
    </row>
    <row r="71" customFormat="false" ht="14.25" hidden="false" customHeight="true" outlineLevel="0" collapsed="false">
      <c r="A71" s="9" t="s">
        <v>211</v>
      </c>
      <c r="B71" s="9" t="s">
        <v>79</v>
      </c>
      <c r="C71" s="39" t="n">
        <v>37</v>
      </c>
      <c r="D71" s="39" t="n">
        <v>5</v>
      </c>
      <c r="E71" s="40" t="n">
        <f aca="false">C71*Settings!$B$11*IF(B71="Hide",Settings!$B$9,Settings!$B$10)+D71*IF(B71="Hide",Settings!$B$9,Settings!$B$10)</f>
        <v>760</v>
      </c>
      <c r="F71" s="41" t="s">
        <v>210</v>
      </c>
      <c r="G71" s="3" t="s">
        <v>510</v>
      </c>
      <c r="H71" s="9"/>
    </row>
    <row r="72" customFormat="false" ht="14.25" hidden="false" customHeight="true" outlineLevel="0" collapsed="false">
      <c r="A72" s="9" t="s">
        <v>213</v>
      </c>
      <c r="B72" s="9" t="s">
        <v>79</v>
      </c>
      <c r="C72" s="39" t="n">
        <v>13</v>
      </c>
      <c r="D72" s="39" t="n">
        <v>4</v>
      </c>
      <c r="E72" s="40" t="n">
        <f aca="false">C72*Settings!$B$11*IF(B72="Hide",Settings!$B$9,Settings!$B$10)+D72*IF(B72="Hide",Settings!$B$9,Settings!$B$10)</f>
        <v>276</v>
      </c>
      <c r="F72" s="41" t="s">
        <v>212</v>
      </c>
      <c r="G72" s="3" t="s">
        <v>510</v>
      </c>
      <c r="H72" s="9"/>
    </row>
    <row r="73" customFormat="false" ht="14.25" hidden="false" customHeight="true" outlineLevel="0" collapsed="false">
      <c r="A73" s="9" t="s">
        <v>528</v>
      </c>
      <c r="B73" s="9" t="s">
        <v>79</v>
      </c>
      <c r="C73" s="39" t="n">
        <v>33</v>
      </c>
      <c r="D73" s="39" t="n">
        <v>6</v>
      </c>
      <c r="E73" s="40" t="n">
        <f aca="false">C73*Settings!$B$11*IF(B73="Hide",Settings!$B$9,Settings!$B$10)+D73*IF(B73="Hide",Settings!$B$9,Settings!$B$10)</f>
        <v>684</v>
      </c>
      <c r="F73" s="41" t="s">
        <v>214</v>
      </c>
      <c r="G73" s="42" t="s">
        <v>512</v>
      </c>
      <c r="H73" s="9"/>
    </row>
    <row r="74" customFormat="false" ht="14.25" hidden="false" customHeight="true" outlineLevel="0" collapsed="false">
      <c r="A74" s="9" t="s">
        <v>529</v>
      </c>
      <c r="B74" s="9" t="s">
        <v>79</v>
      </c>
      <c r="C74" s="39" t="n">
        <v>43</v>
      </c>
      <c r="D74" s="39" t="n">
        <v>1</v>
      </c>
      <c r="E74" s="40" t="n">
        <f aca="false">C74*Settings!$B$11*IF(B74="Hide",Settings!$B$9,Settings!$B$10)+D74*IF(B74="Hide",Settings!$B$9,Settings!$B$10)</f>
        <v>864</v>
      </c>
      <c r="F74" s="41" t="s">
        <v>218</v>
      </c>
      <c r="G74" s="42" t="s">
        <v>512</v>
      </c>
      <c r="H74" s="9"/>
    </row>
    <row r="75" customFormat="false" ht="14.25" hidden="false" customHeight="true" outlineLevel="0" collapsed="false">
      <c r="A75" s="9" t="s">
        <v>530</v>
      </c>
      <c r="B75" s="9" t="s">
        <v>79</v>
      </c>
      <c r="C75" s="39" t="n">
        <v>4</v>
      </c>
      <c r="D75" s="39" t="n">
        <v>1</v>
      </c>
      <c r="E75" s="40" t="n">
        <f aca="false">C75*Settings!$B$11*IF(B75="Hide",Settings!$B$9,Settings!$B$10)+D75*IF(B75="Hide",Settings!$B$9,Settings!$B$10)</f>
        <v>84</v>
      </c>
      <c r="F75" s="41" t="s">
        <v>222</v>
      </c>
      <c r="G75" s="42" t="s">
        <v>512</v>
      </c>
      <c r="H75" s="9"/>
    </row>
    <row r="76" customFormat="false" ht="14.25" hidden="false" customHeight="true" outlineLevel="0" collapsed="false">
      <c r="A76" s="9" t="s">
        <v>531</v>
      </c>
      <c r="B76" s="9" t="s">
        <v>79</v>
      </c>
      <c r="C76" s="39" t="n">
        <v>3</v>
      </c>
      <c r="D76" s="39" t="n">
        <v>0</v>
      </c>
      <c r="E76" s="40" t="n">
        <f aca="false">C76*Settings!$B$11*IF(B76="Hide",Settings!$B$9,Settings!$B$10)+D76*IF(B76="Hide",Settings!$B$9,Settings!$B$10)</f>
        <v>60</v>
      </c>
      <c r="F76" s="41" t="s">
        <v>224</v>
      </c>
      <c r="G76" s="42" t="s">
        <v>512</v>
      </c>
      <c r="H76" s="9"/>
    </row>
    <row r="77" customFormat="false" ht="14.25" hidden="false" customHeight="true" outlineLevel="0" collapsed="false">
      <c r="A77" s="9" t="s">
        <v>532</v>
      </c>
      <c r="B77" s="9" t="s">
        <v>79</v>
      </c>
      <c r="C77" s="39" t="n">
        <v>14</v>
      </c>
      <c r="D77" s="39" t="n">
        <v>4</v>
      </c>
      <c r="E77" s="40" t="n">
        <f aca="false">C77*Settings!$B$11*IF(B77="Hide",Settings!$B$9,Settings!$B$10)+D77*IF(B77="Hide",Settings!$B$9,Settings!$B$10)</f>
        <v>296</v>
      </c>
      <c r="F77" s="41" t="s">
        <v>226</v>
      </c>
      <c r="G77" s="42" t="s">
        <v>512</v>
      </c>
      <c r="H77" s="9"/>
    </row>
    <row r="78" customFormat="false" ht="14.25" hidden="false" customHeight="true" outlineLevel="0" collapsed="false">
      <c r="A78" s="9" t="s">
        <v>533</v>
      </c>
      <c r="B78" s="9" t="s">
        <v>79</v>
      </c>
      <c r="C78" s="39" t="n">
        <v>0</v>
      </c>
      <c r="D78" s="39" t="n">
        <v>1</v>
      </c>
      <c r="E78" s="40" t="n">
        <f aca="false">C78*Settings!$B$11*IF(B78="Hide",Settings!$B$9,Settings!$B$10)+D78*IF(B78="Hide",Settings!$B$9,Settings!$B$10)</f>
        <v>4</v>
      </c>
      <c r="F78" s="41" t="s">
        <v>228</v>
      </c>
      <c r="G78" s="42" t="s">
        <v>512</v>
      </c>
      <c r="H78" s="9"/>
    </row>
    <row r="79" customFormat="false" ht="14.25" hidden="false" customHeight="true" outlineLevel="0" collapsed="false">
      <c r="A79" s="9" t="s">
        <v>534</v>
      </c>
      <c r="B79" s="9" t="s">
        <v>79</v>
      </c>
      <c r="C79" s="39" t="n">
        <v>36</v>
      </c>
      <c r="D79" s="39" t="n">
        <v>2</v>
      </c>
      <c r="E79" s="40" t="n">
        <f aca="false">C79*Settings!$B$11*IF(B79="Hide",Settings!$B$9,Settings!$B$10)+D79*IF(B79="Hide",Settings!$B$9,Settings!$B$10)</f>
        <v>728</v>
      </c>
      <c r="F79" s="41" t="s">
        <v>230</v>
      </c>
      <c r="G79" s="42" t="s">
        <v>512</v>
      </c>
      <c r="H79" s="9"/>
    </row>
    <row r="80" customFormat="false" ht="14.25" hidden="false" customHeight="true" outlineLevel="0" collapsed="false">
      <c r="A80" s="9" t="s">
        <v>535</v>
      </c>
      <c r="B80" s="9" t="s">
        <v>79</v>
      </c>
      <c r="C80" s="39" t="n">
        <v>39</v>
      </c>
      <c r="D80" s="39" t="n">
        <v>1</v>
      </c>
      <c r="E80" s="40" t="n">
        <f aca="false">C80*Settings!$B$11*IF(B80="Hide",Settings!$B$9,Settings!$B$10)+D80*IF(B80="Hide",Settings!$B$9,Settings!$B$10)</f>
        <v>784</v>
      </c>
      <c r="F80" s="41" t="s">
        <v>232</v>
      </c>
      <c r="G80" s="42" t="s">
        <v>512</v>
      </c>
      <c r="H80" s="9"/>
    </row>
    <row r="81" customFormat="false" ht="14.25" hidden="false" customHeight="true" outlineLevel="0" collapsed="false">
      <c r="A81" s="9" t="s">
        <v>243</v>
      </c>
      <c r="B81" s="9" t="s">
        <v>79</v>
      </c>
      <c r="C81" s="39" t="n">
        <v>5</v>
      </c>
      <c r="D81" s="39" t="n">
        <v>4</v>
      </c>
      <c r="E81" s="40" t="n">
        <f aca="false">C81*Settings!$B$11*IF(B81="Hide",Settings!$B$9,Settings!$B$10)+D81*IF(B81="Hide",Settings!$B$9,Settings!$B$10)</f>
        <v>116</v>
      </c>
      <c r="F81" s="41" t="s">
        <v>242</v>
      </c>
      <c r="G81" s="3" t="s">
        <v>510</v>
      </c>
      <c r="H81" s="9"/>
    </row>
    <row r="82" customFormat="false" ht="14.25" hidden="false" customHeight="true" outlineLevel="0" collapsed="false">
      <c r="A82" s="9" t="s">
        <v>245</v>
      </c>
      <c r="B82" s="9" t="s">
        <v>79</v>
      </c>
      <c r="C82" s="39" t="n">
        <v>2</v>
      </c>
      <c r="D82" s="39" t="n">
        <v>0</v>
      </c>
      <c r="E82" s="40" t="n">
        <f aca="false">C82*Settings!$B$11*IF(B82="Hide",Settings!$B$9,Settings!$B$10)+D82*IF(B82="Hide",Settings!$B$9,Settings!$B$10)</f>
        <v>40</v>
      </c>
      <c r="F82" s="41" t="s">
        <v>244</v>
      </c>
      <c r="G82" s="3" t="s">
        <v>510</v>
      </c>
      <c r="H82" s="9"/>
    </row>
    <row r="83" customFormat="false" ht="14.25" hidden="false" customHeight="true" outlineLevel="0" collapsed="false">
      <c r="A83" s="9" t="s">
        <v>160</v>
      </c>
      <c r="B83" s="9" t="s">
        <v>79</v>
      </c>
      <c r="C83" s="39" t="n">
        <v>6</v>
      </c>
      <c r="D83" s="39" t="n">
        <v>0</v>
      </c>
      <c r="E83" s="40" t="n">
        <f aca="false">C83*Settings!$B$11*IF(B83="Hide",Settings!$B$9,Settings!$B$10)+D83*IF(B83="Hide",Settings!$B$9,Settings!$B$10)</f>
        <v>120</v>
      </c>
      <c r="F83" s="41" t="s">
        <v>159</v>
      </c>
      <c r="G83" s="3" t="s">
        <v>510</v>
      </c>
      <c r="H83" s="9"/>
    </row>
    <row r="84" customFormat="false" ht="14.25" hidden="false" customHeight="true" outlineLevel="0" collapsed="false">
      <c r="A84" s="9" t="s">
        <v>162</v>
      </c>
      <c r="B84" s="9" t="s">
        <v>79</v>
      </c>
      <c r="C84" s="39" t="n">
        <v>6</v>
      </c>
      <c r="D84" s="39" t="n">
        <v>0</v>
      </c>
      <c r="E84" s="40" t="n">
        <f aca="false">C84*Settings!$B$11*IF(B84="Hide",Settings!$B$9,Settings!$B$10)+D84*IF(B84="Hide",Settings!$B$9,Settings!$B$10)</f>
        <v>120</v>
      </c>
      <c r="F84" s="41" t="s">
        <v>161</v>
      </c>
      <c r="G84" s="3" t="s">
        <v>510</v>
      </c>
      <c r="H84" s="9"/>
    </row>
    <row r="85" customFormat="false" ht="14.25" hidden="false" customHeight="true" outlineLevel="0" collapsed="false">
      <c r="A85" s="9" t="s">
        <v>255</v>
      </c>
      <c r="B85" s="9" t="s">
        <v>79</v>
      </c>
      <c r="C85" s="39" t="n">
        <v>1</v>
      </c>
      <c r="D85" s="39" t="n">
        <v>0</v>
      </c>
      <c r="E85" s="40" t="n">
        <f aca="false">C85*Settings!$B$11*IF(B85="Hide",Settings!$B$9,Settings!$B$10)+D85*IF(B85="Hide",Settings!$B$9,Settings!$B$10)</f>
        <v>20</v>
      </c>
      <c r="F85" s="41" t="s">
        <v>254</v>
      </c>
      <c r="G85" s="3" t="s">
        <v>510</v>
      </c>
      <c r="H85" s="9"/>
    </row>
    <row r="86" customFormat="false" ht="14.25" hidden="false" customHeight="true" outlineLevel="0" collapsed="false">
      <c r="A86" s="9" t="s">
        <v>257</v>
      </c>
      <c r="B86" s="9" t="s">
        <v>79</v>
      </c>
      <c r="C86" s="39" t="n">
        <v>1</v>
      </c>
      <c r="D86" s="39" t="n">
        <v>0</v>
      </c>
      <c r="E86" s="40" t="n">
        <f aca="false">C86*Settings!$B$11*IF(B86="Hide",Settings!$B$9,Settings!$B$10)+D86*IF(B86="Hide",Settings!$B$9,Settings!$B$10)</f>
        <v>20</v>
      </c>
      <c r="F86" s="41" t="s">
        <v>256</v>
      </c>
      <c r="G86" s="3" t="s">
        <v>510</v>
      </c>
      <c r="H86" s="9"/>
    </row>
    <row r="87" customFormat="false" ht="14.25" hidden="false" customHeight="true" outlineLevel="0" collapsed="false">
      <c r="A87" s="9" t="s">
        <v>536</v>
      </c>
      <c r="B87" s="9" t="s">
        <v>79</v>
      </c>
      <c r="C87" s="39" t="n">
        <v>19</v>
      </c>
      <c r="D87" s="39" t="n">
        <v>0</v>
      </c>
      <c r="E87" s="40" t="n">
        <f aca="false">C87*Settings!$B$11*IF(B87="Hide",Settings!$B$9,Settings!$B$10)+D87*IF(B87="Hide",Settings!$B$9,Settings!$B$10)</f>
        <v>380</v>
      </c>
      <c r="F87" s="41" t="s">
        <v>216</v>
      </c>
      <c r="G87" s="42" t="s">
        <v>512</v>
      </c>
      <c r="H87" s="9"/>
    </row>
    <row r="88" customFormat="false" ht="14.25" hidden="false" customHeight="true" outlineLevel="0" collapsed="false">
      <c r="A88" s="9" t="s">
        <v>158</v>
      </c>
      <c r="B88" s="9" t="s">
        <v>79</v>
      </c>
      <c r="C88" s="39" t="n">
        <v>6</v>
      </c>
      <c r="D88" s="39" t="n">
        <v>0</v>
      </c>
      <c r="E88" s="40" t="n">
        <f aca="false">C88*Settings!$B$11*IF(B88="Hide",Settings!$B$9,Settings!$B$10)+D88*IF(B88="Hide",Settings!$B$9,Settings!$B$10)</f>
        <v>120</v>
      </c>
      <c r="F88" s="41" t="s">
        <v>157</v>
      </c>
      <c r="G88" s="3" t="s">
        <v>510</v>
      </c>
      <c r="H88" s="9"/>
    </row>
    <row r="89" customFormat="false" ht="14.25" hidden="false" customHeight="true" outlineLevel="0" collapsed="false">
      <c r="A89" s="9" t="s">
        <v>247</v>
      </c>
      <c r="B89" s="9" t="s">
        <v>79</v>
      </c>
      <c r="C89" s="39" t="n">
        <v>12</v>
      </c>
      <c r="D89" s="39" t="n">
        <v>7</v>
      </c>
      <c r="E89" s="40" t="n">
        <f aca="false">C89*Settings!$B$11*IF(B89="Hide",Settings!$B$9,Settings!$B$10)+D89*IF(B89="Hide",Settings!$B$9,Settings!$B$10)</f>
        <v>268</v>
      </c>
      <c r="F89" s="41" t="s">
        <v>246</v>
      </c>
      <c r="G89" s="3" t="s">
        <v>510</v>
      </c>
      <c r="H89" s="9"/>
    </row>
    <row r="90" customFormat="false" ht="14.25" hidden="false" customHeight="true" outlineLevel="0" collapsed="false">
      <c r="A90" s="9" t="s">
        <v>249</v>
      </c>
      <c r="B90" s="9" t="s">
        <v>79</v>
      </c>
      <c r="C90" s="39" t="n">
        <v>3</v>
      </c>
      <c r="D90" s="39" t="n">
        <v>4</v>
      </c>
      <c r="E90" s="40" t="n">
        <f aca="false">C90*Settings!$B$11*IF(B90="Hide",Settings!$B$9,Settings!$B$10)+D90*IF(B90="Hide",Settings!$B$9,Settings!$B$10)</f>
        <v>76</v>
      </c>
      <c r="F90" s="41" t="s">
        <v>248</v>
      </c>
      <c r="G90" s="3" t="s">
        <v>510</v>
      </c>
      <c r="H90" s="9"/>
    </row>
    <row r="91" customFormat="false" ht="14.25" hidden="false" customHeight="true" outlineLevel="0" collapsed="false">
      <c r="A91" s="9" t="s">
        <v>251</v>
      </c>
      <c r="B91" s="9" t="s">
        <v>79</v>
      </c>
      <c r="C91" s="39" t="n">
        <v>32</v>
      </c>
      <c r="D91" s="39" t="n">
        <v>7</v>
      </c>
      <c r="E91" s="40" t="n">
        <f aca="false">C91*Settings!$B$11*IF(B91="Hide",Settings!$B$9,Settings!$B$10)+D91*IF(B91="Hide",Settings!$B$9,Settings!$B$10)</f>
        <v>668</v>
      </c>
      <c r="F91" s="41" t="s">
        <v>250</v>
      </c>
      <c r="G91" s="3" t="s">
        <v>510</v>
      </c>
      <c r="H91" s="9"/>
    </row>
    <row r="92" customFormat="false" ht="14.25" hidden="false" customHeight="true" outlineLevel="0" collapsed="false">
      <c r="A92" s="9" t="s">
        <v>537</v>
      </c>
      <c r="B92" s="9" t="s">
        <v>79</v>
      </c>
      <c r="C92" s="39" t="n">
        <v>0</v>
      </c>
      <c r="D92" s="39" t="n">
        <v>0</v>
      </c>
      <c r="E92" s="40" t="n">
        <f aca="false">C92*Settings!$B$11*IF(B92="Hide",Settings!$B$9,Settings!$B$10)+D92*IF(B92="Hide",Settings!$B$9,Settings!$B$10)</f>
        <v>0</v>
      </c>
      <c r="F92" s="41" t="s">
        <v>268</v>
      </c>
      <c r="G92" s="3" t="s">
        <v>510</v>
      </c>
      <c r="H92" s="9"/>
    </row>
    <row r="93" customFormat="false" ht="14.25" hidden="false" customHeight="true" outlineLevel="0" collapsed="false">
      <c r="A93" s="9" t="s">
        <v>538</v>
      </c>
      <c r="B93" s="9" t="s">
        <v>79</v>
      </c>
      <c r="C93" s="39" t="n">
        <v>2</v>
      </c>
      <c r="D93" s="39" t="n">
        <v>3</v>
      </c>
      <c r="E93" s="40" t="n">
        <f aca="false">C93*Settings!$B$11*IF(B93="Hide",Settings!$B$9,Settings!$B$10)+D93*IF(B93="Hide",Settings!$B$9,Settings!$B$10)</f>
        <v>52</v>
      </c>
      <c r="F93" s="41" t="s">
        <v>270</v>
      </c>
      <c r="G93" s="3" t="s">
        <v>510</v>
      </c>
      <c r="H93" s="9"/>
    </row>
    <row r="94" customFormat="false" ht="14.25" hidden="false" customHeight="true" outlineLevel="0" collapsed="false">
      <c r="A94" s="9" t="s">
        <v>539</v>
      </c>
      <c r="B94" s="9" t="s">
        <v>79</v>
      </c>
      <c r="C94" s="39" t="n">
        <v>1</v>
      </c>
      <c r="D94" s="39" t="n">
        <v>3</v>
      </c>
      <c r="E94" s="40" t="n">
        <f aca="false">C94*Settings!$B$11*IF(B94="Hide",Settings!$B$9,Settings!$B$10)+D94*IF(B94="Hide",Settings!$B$9,Settings!$B$10)</f>
        <v>32</v>
      </c>
      <c r="F94" s="41" t="s">
        <v>272</v>
      </c>
      <c r="G94" s="3" t="s">
        <v>510</v>
      </c>
      <c r="H94" s="9"/>
    </row>
    <row r="95" customFormat="false" ht="14.25" hidden="false" customHeight="true" outlineLevel="0" collapsed="false">
      <c r="A95" s="9" t="s">
        <v>540</v>
      </c>
      <c r="B95" s="9" t="s">
        <v>79</v>
      </c>
      <c r="C95" s="39" t="n">
        <v>0</v>
      </c>
      <c r="D95" s="39" t="n">
        <v>1</v>
      </c>
      <c r="E95" s="40" t="n">
        <f aca="false">C95*Settings!$B$11*IF(B95="Hide",Settings!$B$9,Settings!$B$10)+D95*IF(B95="Hide",Settings!$B$9,Settings!$B$10)</f>
        <v>4</v>
      </c>
      <c r="F95" s="41" t="s">
        <v>274</v>
      </c>
      <c r="G95" s="3" t="s">
        <v>510</v>
      </c>
      <c r="H95" s="9"/>
    </row>
    <row r="96" customFormat="false" ht="14.25" hidden="false" customHeight="true" outlineLevel="0" collapsed="false">
      <c r="A96" s="9" t="s">
        <v>541</v>
      </c>
      <c r="B96" s="9" t="s">
        <v>79</v>
      </c>
      <c r="C96" s="39" t="n">
        <v>3</v>
      </c>
      <c r="D96" s="39" t="n">
        <v>2</v>
      </c>
      <c r="E96" s="40" t="n">
        <f aca="false">C96*Settings!$B$11*IF(B96="Hide",Settings!$B$9,Settings!$B$10)+D96*IF(B96="Hide",Settings!$B$9,Settings!$B$10)</f>
        <v>68</v>
      </c>
      <c r="F96" s="41" t="s">
        <v>276</v>
      </c>
      <c r="G96" s="3" t="s">
        <v>510</v>
      </c>
      <c r="H96" s="9"/>
    </row>
    <row r="97" customFormat="false" ht="14.25" hidden="false" customHeight="true" outlineLevel="0" collapsed="false">
      <c r="A97" s="9" t="s">
        <v>542</v>
      </c>
      <c r="B97" s="9" t="s">
        <v>79</v>
      </c>
      <c r="C97" s="39" t="n">
        <v>3</v>
      </c>
      <c r="D97" s="39" t="n">
        <v>0</v>
      </c>
      <c r="E97" s="40" t="n">
        <f aca="false">C97*Settings!$B$11*IF(B97="Hide",Settings!$B$9,Settings!$B$10)+D97*IF(B97="Hide",Settings!$B$9,Settings!$B$10)</f>
        <v>60</v>
      </c>
      <c r="F97" s="41" t="s">
        <v>188</v>
      </c>
      <c r="G97" s="42" t="s">
        <v>512</v>
      </c>
      <c r="H97" s="9"/>
    </row>
    <row r="98" customFormat="false" ht="14.25" hidden="false" customHeight="true" outlineLevel="0" collapsed="false">
      <c r="A98" s="9" t="s">
        <v>543</v>
      </c>
      <c r="B98" s="9" t="s">
        <v>79</v>
      </c>
      <c r="C98" s="39" t="n">
        <v>0</v>
      </c>
      <c r="D98" s="39" t="n">
        <v>2</v>
      </c>
      <c r="E98" s="40" t="n">
        <f aca="false">C98*Settings!$B$11*IF(B98="Hide",Settings!$B$9,Settings!$B$10)+D98*IF(B98="Hide",Settings!$B$9,Settings!$B$10)</f>
        <v>8</v>
      </c>
      <c r="F98" s="41" t="s">
        <v>278</v>
      </c>
      <c r="G98" s="42" t="s">
        <v>512</v>
      </c>
      <c r="H98" s="9"/>
    </row>
    <row r="99" customFormat="false" ht="14.25" hidden="false" customHeight="true" outlineLevel="0" collapsed="false">
      <c r="A99" s="9" t="s">
        <v>544</v>
      </c>
      <c r="B99" s="9" t="s">
        <v>79</v>
      </c>
      <c r="C99" s="39" t="n">
        <v>0</v>
      </c>
      <c r="D99" s="39" t="n">
        <v>4</v>
      </c>
      <c r="E99" s="40" t="n">
        <f aca="false">C99*Settings!$B$11*IF(B99="Hide",Settings!$B$9,Settings!$B$10)+D99*IF(B99="Hide",Settings!$B$9,Settings!$B$10)</f>
        <v>16</v>
      </c>
      <c r="F99" s="41" t="s">
        <v>325</v>
      </c>
      <c r="G99" s="42" t="s">
        <v>512</v>
      </c>
      <c r="H99" s="9"/>
    </row>
    <row r="100" customFormat="false" ht="14.25" hidden="false" customHeight="true" outlineLevel="0" collapsed="false">
      <c r="A100" s="9" t="s">
        <v>545</v>
      </c>
      <c r="B100" s="9" t="s">
        <v>79</v>
      </c>
      <c r="C100" s="39" t="n">
        <v>2</v>
      </c>
      <c r="D100" s="39" t="n">
        <v>1</v>
      </c>
      <c r="E100" s="40" t="n">
        <f aca="false">C100*Settings!$B$11*IF(B100="Hide",Settings!$B$9,Settings!$B$10)+D100*IF(B100="Hide",Settings!$B$9,Settings!$B$10)</f>
        <v>44</v>
      </c>
      <c r="F100" s="41" t="s">
        <v>280</v>
      </c>
      <c r="G100" s="3" t="s">
        <v>510</v>
      </c>
      <c r="H100" s="9"/>
    </row>
    <row r="101" customFormat="false" ht="14.25" hidden="false" customHeight="true" outlineLevel="0" collapsed="false">
      <c r="A101" s="9" t="s">
        <v>546</v>
      </c>
      <c r="B101" s="9" t="s">
        <v>79</v>
      </c>
      <c r="C101" s="39" t="n">
        <v>0</v>
      </c>
      <c r="D101" s="39" t="n">
        <v>6</v>
      </c>
      <c r="E101" s="40" t="n">
        <f aca="false">C101*Settings!$B$11*IF(B101="Hide",Settings!$B$9,Settings!$B$10)+D101*IF(B101="Hide",Settings!$B$9,Settings!$B$10)</f>
        <v>24</v>
      </c>
      <c r="F101" s="41" t="s">
        <v>282</v>
      </c>
      <c r="G101" s="3" t="s">
        <v>510</v>
      </c>
      <c r="H101" s="9"/>
    </row>
    <row r="102" customFormat="false" ht="14.25" hidden="false" customHeight="true" outlineLevel="0" collapsed="false">
      <c r="A102" s="9" t="s">
        <v>547</v>
      </c>
      <c r="B102" s="9" t="s">
        <v>79</v>
      </c>
      <c r="C102" s="39" t="n">
        <v>3</v>
      </c>
      <c r="D102" s="39" t="n">
        <v>1</v>
      </c>
      <c r="E102" s="40" t="n">
        <f aca="false">C102*Settings!$B$11*IF(B102="Hide",Settings!$B$9,Settings!$B$10)+D102*IF(B102="Hide",Settings!$B$9,Settings!$B$10)</f>
        <v>64</v>
      </c>
      <c r="F102" s="41" t="s">
        <v>284</v>
      </c>
      <c r="G102" s="3" t="s">
        <v>510</v>
      </c>
      <c r="H102" s="9"/>
    </row>
    <row r="103" customFormat="false" ht="14.25" hidden="false" customHeight="true" outlineLevel="0" collapsed="false">
      <c r="A103" s="9" t="s">
        <v>548</v>
      </c>
      <c r="B103" s="9" t="s">
        <v>79</v>
      </c>
      <c r="C103" s="39" t="n">
        <v>2</v>
      </c>
      <c r="D103" s="39" t="n">
        <v>2</v>
      </c>
      <c r="E103" s="40" t="n">
        <f aca="false">C103*Settings!$B$11*IF(B103="Hide",Settings!$B$9,Settings!$B$10)+D103*IF(B103="Hide",Settings!$B$9,Settings!$B$10)</f>
        <v>48</v>
      </c>
      <c r="F103" s="41" t="s">
        <v>286</v>
      </c>
      <c r="G103" s="3" t="s">
        <v>510</v>
      </c>
      <c r="H103" s="9"/>
    </row>
    <row r="104" customFormat="false" ht="14.25" hidden="false" customHeight="true" outlineLevel="0" collapsed="false">
      <c r="A104" s="9" t="s">
        <v>549</v>
      </c>
      <c r="B104" s="9" t="s">
        <v>79</v>
      </c>
      <c r="C104" s="39" t="n">
        <v>2</v>
      </c>
      <c r="D104" s="39" t="n">
        <v>0</v>
      </c>
      <c r="E104" s="40" t="n">
        <f aca="false">C104*Settings!$B$11*IF(B104="Hide",Settings!$B$9,Settings!$B$10)+D104*IF(B104="Hide",Settings!$B$9,Settings!$B$10)</f>
        <v>40</v>
      </c>
      <c r="F104" s="41" t="s">
        <v>288</v>
      </c>
      <c r="G104" s="3" t="s">
        <v>510</v>
      </c>
      <c r="H104" s="9"/>
    </row>
    <row r="105" customFormat="false" ht="14.25" hidden="false" customHeight="true" outlineLevel="0" collapsed="false">
      <c r="A105" s="9" t="s">
        <v>550</v>
      </c>
      <c r="B105" s="9" t="s">
        <v>79</v>
      </c>
      <c r="C105" s="39" t="n">
        <v>5</v>
      </c>
      <c r="D105" s="39" t="n">
        <v>1</v>
      </c>
      <c r="E105" s="40" t="n">
        <f aca="false">C105*Settings!$B$11*IF(B105="Hide",Settings!$B$9,Settings!$B$10)+D105*IF(B105="Hide",Settings!$B$9,Settings!$B$10)</f>
        <v>104</v>
      </c>
      <c r="F105" s="41" t="s">
        <v>236</v>
      </c>
      <c r="G105" s="3" t="s">
        <v>510</v>
      </c>
      <c r="H105" s="9"/>
    </row>
    <row r="106" customFormat="false" ht="14.25" hidden="false" customHeight="true" outlineLevel="0" collapsed="false">
      <c r="A106" s="9" t="s">
        <v>551</v>
      </c>
      <c r="B106" s="9" t="s">
        <v>79</v>
      </c>
      <c r="C106" s="39" t="n">
        <v>3</v>
      </c>
      <c r="D106" s="39" t="n">
        <v>9</v>
      </c>
      <c r="E106" s="40" t="n">
        <f aca="false">C106*Settings!$B$11*IF(B106="Hide",Settings!$B$9,Settings!$B$10)+D106*IF(B106="Hide",Settings!$B$9,Settings!$B$10)</f>
        <v>96</v>
      </c>
      <c r="F106" s="41" t="s">
        <v>234</v>
      </c>
      <c r="G106" s="3" t="s">
        <v>510</v>
      </c>
      <c r="H106" s="9"/>
    </row>
    <row r="107" customFormat="false" ht="14.25" hidden="false" customHeight="true" outlineLevel="0" collapsed="false">
      <c r="A107" s="9" t="s">
        <v>552</v>
      </c>
      <c r="B107" s="9" t="s">
        <v>79</v>
      </c>
      <c r="C107" s="39" t="n">
        <v>2</v>
      </c>
      <c r="D107" s="39" t="n">
        <v>0</v>
      </c>
      <c r="E107" s="40" t="n">
        <f aca="false">C107*Settings!$B$11*IF(B107="Hide",Settings!$B$9,Settings!$B$10)+D107*IF(B107="Hide",Settings!$B$9,Settings!$B$10)</f>
        <v>40</v>
      </c>
      <c r="F107" s="41" t="s">
        <v>238</v>
      </c>
      <c r="G107" s="3" t="s">
        <v>510</v>
      </c>
      <c r="H107" s="9"/>
    </row>
    <row r="108" customFormat="false" ht="14.25" hidden="false" customHeight="true" outlineLevel="0" collapsed="false">
      <c r="A108" s="9" t="s">
        <v>553</v>
      </c>
      <c r="B108" s="9" t="s">
        <v>79</v>
      </c>
      <c r="C108" s="39" t="n">
        <v>3</v>
      </c>
      <c r="D108" s="39" t="n">
        <v>1</v>
      </c>
      <c r="E108" s="40" t="n">
        <f aca="false">C108*Settings!$B$11*IF(B108="Hide",Settings!$B$9,Settings!$B$10)+D108*IF(B108="Hide",Settings!$B$9,Settings!$B$10)</f>
        <v>64</v>
      </c>
      <c r="F108" s="41" t="s">
        <v>240</v>
      </c>
      <c r="G108" s="3" t="s">
        <v>510</v>
      </c>
      <c r="H108" s="9"/>
    </row>
    <row r="109" customFormat="false" ht="14.25" hidden="false" customHeight="true" outlineLevel="0" collapsed="false">
      <c r="A109" s="9" t="s">
        <v>554</v>
      </c>
      <c r="B109" s="9" t="s">
        <v>79</v>
      </c>
      <c r="C109" s="39" t="n">
        <v>4</v>
      </c>
      <c r="D109" s="39" t="n">
        <v>3</v>
      </c>
      <c r="E109" s="40" t="n">
        <f aca="false">C109*Settings!$B$11*IF(B109="Hide",Settings!$B$9,Settings!$B$10)+D109*IF(B109="Hide",Settings!$B$9,Settings!$B$10)</f>
        <v>92</v>
      </c>
      <c r="F109" s="41" t="s">
        <v>202</v>
      </c>
      <c r="G109" s="42" t="s">
        <v>512</v>
      </c>
      <c r="H109" s="9" t="s">
        <v>555</v>
      </c>
    </row>
    <row r="110" customFormat="false" ht="14.25" hidden="false" customHeight="true" outlineLevel="0" collapsed="false">
      <c r="A110" s="9" t="s">
        <v>556</v>
      </c>
      <c r="B110" s="9" t="s">
        <v>79</v>
      </c>
      <c r="C110" s="39" t="n">
        <v>2</v>
      </c>
      <c r="D110" s="39" t="n">
        <v>1</v>
      </c>
      <c r="E110" s="40" t="n">
        <f aca="false">C110*Settings!$B$11*IF(B110="Hide",Settings!$B$9,Settings!$B$10)+D110*IF(B110="Hide",Settings!$B$9,Settings!$B$10)</f>
        <v>44</v>
      </c>
      <c r="F110" s="41" t="s">
        <v>290</v>
      </c>
      <c r="G110" s="3" t="s">
        <v>510</v>
      </c>
      <c r="H110" s="9"/>
    </row>
    <row r="111" customFormat="false" ht="14.25" hidden="false" customHeight="true" outlineLevel="0" collapsed="false">
      <c r="A111" s="9" t="s">
        <v>557</v>
      </c>
      <c r="B111" s="9" t="s">
        <v>79</v>
      </c>
      <c r="C111" s="39" t="n">
        <v>0</v>
      </c>
      <c r="D111" s="39" t="n">
        <v>1</v>
      </c>
      <c r="E111" s="40" t="n">
        <f aca="false">C111*Settings!$B$11*IF(B111="Hide",Settings!$B$9,Settings!$B$10)+D111*IF(B111="Hide",Settings!$B$9,Settings!$B$10)</f>
        <v>4</v>
      </c>
      <c r="F111" s="41" t="s">
        <v>327</v>
      </c>
      <c r="G111" s="42" t="s">
        <v>512</v>
      </c>
      <c r="H111" s="9"/>
    </row>
    <row r="112" customFormat="false" ht="14.25" hidden="false" customHeight="true" outlineLevel="0" collapsed="false">
      <c r="A112" s="9" t="s">
        <v>333</v>
      </c>
      <c r="B112" s="9" t="s">
        <v>331</v>
      </c>
      <c r="C112" s="39" t="n">
        <v>3</v>
      </c>
      <c r="D112" s="39" t="n">
        <v>0</v>
      </c>
      <c r="E112" s="40" t="n">
        <f aca="false">C112*Settings!$B$11*IF(B112="Hide",Settings!$B$9,Settings!$B$10)+D112*IF(B112="Hide",Settings!$B$9,Settings!$B$10)</f>
        <v>27</v>
      </c>
      <c r="F112" s="41" t="s">
        <v>332</v>
      </c>
      <c r="G112" s="3" t="s">
        <v>510</v>
      </c>
      <c r="H112" s="9"/>
    </row>
    <row r="113" customFormat="false" ht="14.25" hidden="false" customHeight="true" outlineLevel="0" collapsed="false">
      <c r="A113" s="9" t="s">
        <v>335</v>
      </c>
      <c r="B113" s="9" t="s">
        <v>331</v>
      </c>
      <c r="C113" s="39" t="n">
        <v>2</v>
      </c>
      <c r="D113" s="39" t="n">
        <v>4</v>
      </c>
      <c r="E113" s="40" t="n">
        <f aca="false">C113*Settings!$B$11*IF(B113="Hide",Settings!$B$9,Settings!$B$10)+D113*IF(B113="Hide",Settings!$B$9,Settings!$B$10)</f>
        <v>25.2</v>
      </c>
      <c r="F113" s="41" t="s">
        <v>334</v>
      </c>
      <c r="G113" s="3" t="s">
        <v>510</v>
      </c>
      <c r="H113" s="9"/>
    </row>
    <row r="114" customFormat="false" ht="14.25" hidden="false" customHeight="true" outlineLevel="0" collapsed="false">
      <c r="A114" s="9" t="s">
        <v>337</v>
      </c>
      <c r="B114" s="9" t="s">
        <v>331</v>
      </c>
      <c r="C114" s="39" t="n">
        <v>4</v>
      </c>
      <c r="D114" s="39" t="n">
        <v>3</v>
      </c>
      <c r="E114" s="40" t="n">
        <f aca="false">C114*Settings!$B$11*IF(B114="Hide",Settings!$B$9,Settings!$B$10)+D114*IF(B114="Hide",Settings!$B$9,Settings!$B$10)</f>
        <v>41.4</v>
      </c>
      <c r="F114" s="41" t="s">
        <v>336</v>
      </c>
      <c r="G114" s="3" t="s">
        <v>510</v>
      </c>
      <c r="H114" s="9"/>
    </row>
    <row r="115" customFormat="false" ht="14.25" hidden="false" customHeight="true" outlineLevel="0" collapsed="false">
      <c r="A115" s="9" t="s">
        <v>339</v>
      </c>
      <c r="B115" s="9" t="s">
        <v>331</v>
      </c>
      <c r="C115" s="39" t="n">
        <v>6</v>
      </c>
      <c r="D115" s="39" t="n">
        <v>1</v>
      </c>
      <c r="E115" s="40" t="n">
        <f aca="false">C115*Settings!$B$11*IF(B115="Hide",Settings!$B$9,Settings!$B$10)+D115*IF(B115="Hide",Settings!$B$9,Settings!$B$10)</f>
        <v>55.8</v>
      </c>
      <c r="F115" s="41" t="s">
        <v>338</v>
      </c>
      <c r="G115" s="3" t="s">
        <v>510</v>
      </c>
      <c r="H115" s="9"/>
    </row>
    <row r="116" customFormat="false" ht="14.25" hidden="false" customHeight="true" outlineLevel="0" collapsed="false">
      <c r="A116" s="9" t="s">
        <v>342</v>
      </c>
      <c r="B116" s="9" t="s">
        <v>331</v>
      </c>
      <c r="C116" s="39" t="n">
        <v>5</v>
      </c>
      <c r="D116" s="39" t="n">
        <v>0</v>
      </c>
      <c r="E116" s="40" t="n">
        <f aca="false">C116*Settings!$B$11*IF(B116="Hide",Settings!$B$9,Settings!$B$10)+D116*IF(B116="Hide",Settings!$B$9,Settings!$B$10)</f>
        <v>45</v>
      </c>
      <c r="F116" s="41" t="s">
        <v>341</v>
      </c>
      <c r="G116" s="3" t="s">
        <v>510</v>
      </c>
      <c r="H116" s="9"/>
    </row>
    <row r="117" customFormat="false" ht="14.25" hidden="false" customHeight="true" outlineLevel="0" collapsed="false">
      <c r="A117" s="9" t="s">
        <v>345</v>
      </c>
      <c r="B117" s="9" t="s">
        <v>331</v>
      </c>
      <c r="C117" s="39" t="n">
        <v>8</v>
      </c>
      <c r="D117" s="39" t="n">
        <v>1</v>
      </c>
      <c r="E117" s="40" t="n">
        <f aca="false">C117*Settings!$B$11*IF(B117="Hide",Settings!$B$9,Settings!$B$10)+D117*IF(B117="Hide",Settings!$B$9,Settings!$B$10)</f>
        <v>73.8</v>
      </c>
      <c r="F117" s="41" t="s">
        <v>344</v>
      </c>
      <c r="G117" s="3" t="s">
        <v>510</v>
      </c>
      <c r="H117" s="9"/>
    </row>
    <row r="118" customFormat="false" ht="14.25" hidden="false" customHeight="true" outlineLevel="0" collapsed="false">
      <c r="A118" s="9" t="s">
        <v>347</v>
      </c>
      <c r="B118" s="9" t="s">
        <v>331</v>
      </c>
      <c r="C118" s="39" t="n">
        <v>4</v>
      </c>
      <c r="D118" s="39" t="n">
        <v>4</v>
      </c>
      <c r="E118" s="40" t="n">
        <f aca="false">C118*Settings!$B$11*IF(B118="Hide",Settings!$B$9,Settings!$B$10)+D118*IF(B118="Hide",Settings!$B$9,Settings!$B$10)</f>
        <v>43.2</v>
      </c>
      <c r="F118" s="41" t="s">
        <v>346</v>
      </c>
      <c r="G118" s="3" t="s">
        <v>510</v>
      </c>
      <c r="H118" s="9"/>
    </row>
    <row r="119" customFormat="false" ht="14.25" hidden="false" customHeight="true" outlineLevel="0" collapsed="false">
      <c r="A119" s="9" t="s">
        <v>351</v>
      </c>
      <c r="B119" s="9" t="s">
        <v>331</v>
      </c>
      <c r="C119" s="39" t="n">
        <v>1</v>
      </c>
      <c r="D119" s="39" t="n">
        <v>1</v>
      </c>
      <c r="E119" s="40" t="n">
        <f aca="false">C119*Settings!$B$11*IF(B119="Hide",Settings!$B$9,Settings!$B$10)+D119*IF(B119="Hide",Settings!$B$9,Settings!$B$10)</f>
        <v>10.8</v>
      </c>
      <c r="F119" s="41" t="s">
        <v>350</v>
      </c>
      <c r="G119" s="3" t="s">
        <v>510</v>
      </c>
      <c r="H119" s="9"/>
    </row>
    <row r="120" customFormat="false" ht="14.25" hidden="false" customHeight="true" outlineLevel="0" collapsed="false">
      <c r="A120" s="9" t="s">
        <v>353</v>
      </c>
      <c r="B120" s="9" t="s">
        <v>331</v>
      </c>
      <c r="C120" s="39" t="n">
        <v>23</v>
      </c>
      <c r="D120" s="39" t="n">
        <v>0</v>
      </c>
      <c r="E120" s="40" t="n">
        <f aca="false">C120*Settings!$B$11*IF(B120="Hide",Settings!$B$9,Settings!$B$10)+D120*IF(B120="Hide",Settings!$B$9,Settings!$B$10)</f>
        <v>207</v>
      </c>
      <c r="F120" s="41" t="s">
        <v>352</v>
      </c>
      <c r="G120" s="3" t="s">
        <v>510</v>
      </c>
      <c r="H120" s="9"/>
    </row>
    <row r="121" customFormat="false" ht="14.25" hidden="false" customHeight="true" outlineLevel="0" collapsed="false">
      <c r="A121" s="9" t="s">
        <v>355</v>
      </c>
      <c r="B121" s="9" t="s">
        <v>331</v>
      </c>
      <c r="C121" s="39" t="n">
        <v>16</v>
      </c>
      <c r="D121" s="39" t="n">
        <v>4</v>
      </c>
      <c r="E121" s="40" t="n">
        <f aca="false">C121*Settings!$B$11*IF(B121="Hide",Settings!$B$9,Settings!$B$10)+D121*IF(B121="Hide",Settings!$B$9,Settings!$B$10)</f>
        <v>151.2</v>
      </c>
      <c r="F121" s="41" t="s">
        <v>354</v>
      </c>
      <c r="G121" s="3" t="s">
        <v>510</v>
      </c>
      <c r="H121" s="9"/>
    </row>
    <row r="122" customFormat="false" ht="14.25" hidden="false" customHeight="true" outlineLevel="0" collapsed="false">
      <c r="A122" s="9" t="s">
        <v>357</v>
      </c>
      <c r="B122" s="9" t="s">
        <v>331</v>
      </c>
      <c r="C122" s="39" t="n">
        <v>0</v>
      </c>
      <c r="D122" s="39" t="n">
        <v>1</v>
      </c>
      <c r="E122" s="40" t="n">
        <f aca="false">C122*Settings!$B$11*IF(B122="Hide",Settings!$B$9,Settings!$B$10)+D122*IF(B122="Hide",Settings!$B$9,Settings!$B$10)</f>
        <v>1.8</v>
      </c>
      <c r="F122" s="41" t="s">
        <v>356</v>
      </c>
      <c r="G122" s="3" t="s">
        <v>510</v>
      </c>
      <c r="H122" s="9"/>
    </row>
    <row r="123" customFormat="false" ht="14.25" hidden="false" customHeight="true" outlineLevel="0" collapsed="false">
      <c r="A123" s="9" t="s">
        <v>360</v>
      </c>
      <c r="B123" s="9" t="s">
        <v>331</v>
      </c>
      <c r="C123" s="39" t="n">
        <v>0</v>
      </c>
      <c r="D123" s="39" t="n">
        <v>0</v>
      </c>
      <c r="E123" s="40" t="n">
        <f aca="false">C123*Settings!$B$11*IF(B123="Hide",Settings!$B$9,Settings!$B$10)+D123*IF(B123="Hide",Settings!$B$9,Settings!$B$10)</f>
        <v>0</v>
      </c>
      <c r="F123" s="41" t="s">
        <v>359</v>
      </c>
      <c r="G123" s="3" t="s">
        <v>510</v>
      </c>
      <c r="H123" s="9"/>
    </row>
    <row r="124" customFormat="false" ht="14.25" hidden="false" customHeight="true" outlineLevel="0" collapsed="false">
      <c r="A124" s="9" t="s">
        <v>363</v>
      </c>
      <c r="B124" s="9" t="s">
        <v>331</v>
      </c>
      <c r="C124" s="39" t="n">
        <v>5</v>
      </c>
      <c r="D124" s="39" t="n">
        <v>2</v>
      </c>
      <c r="E124" s="40" t="n">
        <f aca="false">C124*Settings!$B$11*IF(B124="Hide",Settings!$B$9,Settings!$B$10)+D124*IF(B124="Hide",Settings!$B$9,Settings!$B$10)</f>
        <v>48.6</v>
      </c>
      <c r="F124" s="41" t="s">
        <v>362</v>
      </c>
      <c r="G124" s="3" t="s">
        <v>510</v>
      </c>
      <c r="H124" s="9"/>
    </row>
    <row r="125" customFormat="false" ht="14.25" hidden="false" customHeight="true" outlineLevel="0" collapsed="false">
      <c r="A125" s="9" t="s">
        <v>365</v>
      </c>
      <c r="B125" s="9" t="s">
        <v>331</v>
      </c>
      <c r="C125" s="39" t="n">
        <v>5</v>
      </c>
      <c r="D125" s="39" t="n">
        <v>2</v>
      </c>
      <c r="E125" s="40" t="n">
        <f aca="false">C125*Settings!$B$11*IF(B125="Hide",Settings!$B$9,Settings!$B$10)+D125*IF(B125="Hide",Settings!$B$9,Settings!$B$10)</f>
        <v>48.6</v>
      </c>
      <c r="F125" s="41" t="s">
        <v>364</v>
      </c>
      <c r="G125" s="3" t="s">
        <v>510</v>
      </c>
      <c r="H125" s="9"/>
    </row>
    <row r="126" customFormat="false" ht="14.25" hidden="false" customHeight="true" outlineLevel="0" collapsed="false">
      <c r="A126" s="9" t="s">
        <v>368</v>
      </c>
      <c r="B126" s="9" t="s">
        <v>331</v>
      </c>
      <c r="C126" s="39" t="n">
        <v>4</v>
      </c>
      <c r="D126" s="39" t="n">
        <v>1</v>
      </c>
      <c r="E126" s="40" t="n">
        <f aca="false">C126*Settings!$B$11*IF(B126="Hide",Settings!$B$9,Settings!$B$10)+D126*IF(B126="Hide",Settings!$B$9,Settings!$B$10)</f>
        <v>37.8</v>
      </c>
      <c r="F126" s="41" t="s">
        <v>367</v>
      </c>
      <c r="G126" s="3" t="s">
        <v>510</v>
      </c>
      <c r="H126" s="9"/>
    </row>
    <row r="127" customFormat="false" ht="14.25" hidden="false" customHeight="true" outlineLevel="0" collapsed="false">
      <c r="A127" s="9" t="s">
        <v>370</v>
      </c>
      <c r="B127" s="9" t="s">
        <v>331</v>
      </c>
      <c r="C127" s="39" t="n">
        <v>5</v>
      </c>
      <c r="D127" s="39" t="n">
        <v>0</v>
      </c>
      <c r="E127" s="40" t="n">
        <f aca="false">C127*Settings!$B$11*IF(B127="Hide",Settings!$B$9,Settings!$B$10)+D127*IF(B127="Hide",Settings!$B$9,Settings!$B$10)</f>
        <v>45</v>
      </c>
      <c r="F127" s="41" t="s">
        <v>369</v>
      </c>
      <c r="G127" s="3" t="s">
        <v>510</v>
      </c>
      <c r="H127" s="9"/>
    </row>
    <row r="128" customFormat="false" ht="14.25" hidden="false" customHeight="true" outlineLevel="0" collapsed="false">
      <c r="A128" s="9" t="s">
        <v>372</v>
      </c>
      <c r="B128" s="9" t="s">
        <v>331</v>
      </c>
      <c r="C128" s="39" t="n">
        <v>6</v>
      </c>
      <c r="D128" s="39" t="n">
        <v>4</v>
      </c>
      <c r="E128" s="40" t="n">
        <f aca="false">C128*Settings!$B$11*IF(B128="Hide",Settings!$B$9,Settings!$B$10)+D128*IF(B128="Hide",Settings!$B$9,Settings!$B$10)</f>
        <v>61.2</v>
      </c>
      <c r="F128" s="41" t="s">
        <v>371</v>
      </c>
      <c r="G128" s="3" t="s">
        <v>510</v>
      </c>
      <c r="H128" s="9"/>
    </row>
    <row r="129" customFormat="false" ht="14.25" hidden="false" customHeight="true" outlineLevel="0" collapsed="false">
      <c r="A129" s="9" t="s">
        <v>374</v>
      </c>
      <c r="B129" s="9" t="s">
        <v>331</v>
      </c>
      <c r="C129" s="39" t="n">
        <v>6</v>
      </c>
      <c r="D129" s="39" t="n">
        <v>2</v>
      </c>
      <c r="E129" s="40" t="n">
        <f aca="false">C129*Settings!$B$11*IF(B129="Hide",Settings!$B$9,Settings!$B$10)+D129*IF(B129="Hide",Settings!$B$9,Settings!$B$10)</f>
        <v>57.6</v>
      </c>
      <c r="F129" s="41" t="s">
        <v>373</v>
      </c>
      <c r="G129" s="3" t="s">
        <v>510</v>
      </c>
      <c r="H129" s="9"/>
    </row>
    <row r="130" customFormat="false" ht="14.25" hidden="false" customHeight="true" outlineLevel="0" collapsed="false">
      <c r="A130" s="9" t="s">
        <v>485</v>
      </c>
      <c r="B130" s="9" t="s">
        <v>331</v>
      </c>
      <c r="C130" s="39" t="n">
        <v>6</v>
      </c>
      <c r="D130" s="39" t="n">
        <v>1</v>
      </c>
      <c r="E130" s="40" t="n">
        <f aca="false">C130*Settings!$B$11*IF(B130="Hide",Settings!$B$9,Settings!$B$10)+D130*IF(B130="Hide",Settings!$B$9,Settings!$B$10)</f>
        <v>55.8</v>
      </c>
      <c r="F130" s="41" t="s">
        <v>484</v>
      </c>
      <c r="G130" s="42" t="s">
        <v>512</v>
      </c>
      <c r="H130" s="9"/>
    </row>
    <row r="131" customFormat="false" ht="14.25" hidden="false" customHeight="true" outlineLevel="0" collapsed="false">
      <c r="A131" s="9" t="s">
        <v>377</v>
      </c>
      <c r="B131" s="9" t="s">
        <v>331</v>
      </c>
      <c r="C131" s="39" t="n">
        <v>0</v>
      </c>
      <c r="D131" s="39" t="n">
        <v>0</v>
      </c>
      <c r="E131" s="40" t="n">
        <f aca="false">C131*Settings!$B$11*IF(B131="Hide",Settings!$B$9,Settings!$B$10)+D131*IF(B131="Hide",Settings!$B$9,Settings!$B$10)</f>
        <v>0</v>
      </c>
      <c r="F131" s="41" t="s">
        <v>376</v>
      </c>
      <c r="G131" s="3" t="s">
        <v>510</v>
      </c>
      <c r="H131" s="9"/>
    </row>
    <row r="132" customFormat="false" ht="14.25" hidden="false" customHeight="true" outlineLevel="0" collapsed="false">
      <c r="A132" s="9" t="s">
        <v>381</v>
      </c>
      <c r="B132" s="9" t="s">
        <v>331</v>
      </c>
      <c r="C132" s="39" t="n">
        <v>3</v>
      </c>
      <c r="D132" s="39" t="n">
        <v>1</v>
      </c>
      <c r="E132" s="40" t="n">
        <f aca="false">C132*Settings!$B$11*IF(B132="Hide",Settings!$B$9,Settings!$B$10)+D132*IF(B132="Hide",Settings!$B$9,Settings!$B$10)</f>
        <v>28.8</v>
      </c>
      <c r="F132" s="41" t="s">
        <v>380</v>
      </c>
      <c r="G132" s="3" t="s">
        <v>510</v>
      </c>
      <c r="H132" s="9"/>
    </row>
    <row r="133" customFormat="false" ht="14.25" hidden="false" customHeight="true" outlineLevel="0" collapsed="false">
      <c r="A133" s="9" t="s">
        <v>558</v>
      </c>
      <c r="B133" s="9" t="s">
        <v>331</v>
      </c>
      <c r="C133" s="39" t="n">
        <v>4</v>
      </c>
      <c r="D133" s="39" t="n">
        <v>0</v>
      </c>
      <c r="E133" s="40" t="n">
        <f aca="false">C133*Settings!$B$11*IF(B133="Hide",Settings!$B$9,Settings!$B$10)+D133*IF(B133="Hide",Settings!$B$9,Settings!$B$10)</f>
        <v>36</v>
      </c>
      <c r="F133" s="41" t="s">
        <v>382</v>
      </c>
      <c r="G133" s="42" t="s">
        <v>512</v>
      </c>
      <c r="H133" s="9" t="s">
        <v>559</v>
      </c>
    </row>
    <row r="134" customFormat="false" ht="14.25" hidden="false" customHeight="true" outlineLevel="0" collapsed="false">
      <c r="A134" s="9" t="s">
        <v>385</v>
      </c>
      <c r="B134" s="9" t="s">
        <v>331</v>
      </c>
      <c r="C134" s="39" t="n">
        <v>0</v>
      </c>
      <c r="D134" s="39" t="n">
        <v>0</v>
      </c>
      <c r="E134" s="40" t="n">
        <f aca="false">C134*Settings!$B$11*IF(B134="Hide",Settings!$B$9,Settings!$B$10)+D134*IF(B134="Hide",Settings!$B$9,Settings!$B$10)</f>
        <v>0</v>
      </c>
      <c r="F134" s="41" t="s">
        <v>384</v>
      </c>
      <c r="G134" s="3" t="s">
        <v>510</v>
      </c>
      <c r="H134" s="9"/>
    </row>
    <row r="135" customFormat="false" ht="14.25" hidden="false" customHeight="true" outlineLevel="0" collapsed="false">
      <c r="A135" s="9" t="s">
        <v>387</v>
      </c>
      <c r="B135" s="9" t="s">
        <v>331</v>
      </c>
      <c r="C135" s="39" t="n">
        <v>10</v>
      </c>
      <c r="D135" s="39" t="n">
        <v>1</v>
      </c>
      <c r="E135" s="40" t="n">
        <f aca="false">C135*Settings!$B$11*IF(B135="Hide",Settings!$B$9,Settings!$B$10)+D135*IF(B135="Hide",Settings!$B$9,Settings!$B$10)</f>
        <v>91.8</v>
      </c>
      <c r="F135" s="41" t="s">
        <v>386</v>
      </c>
      <c r="G135" s="3" t="s">
        <v>510</v>
      </c>
      <c r="H135" s="9"/>
    </row>
    <row r="136" customFormat="false" ht="14.25" hidden="false" customHeight="true" outlineLevel="0" collapsed="false">
      <c r="A136" s="9" t="s">
        <v>487</v>
      </c>
      <c r="B136" s="9" t="s">
        <v>331</v>
      </c>
      <c r="C136" s="39" t="n">
        <v>0</v>
      </c>
      <c r="D136" s="39" t="n">
        <v>0</v>
      </c>
      <c r="E136" s="40" t="n">
        <f aca="false">C136*Settings!$B$11*IF(B136="Hide",Settings!$B$9,Settings!$B$10)+D136*IF(B136="Hide",Settings!$B$9,Settings!$B$10)</f>
        <v>0</v>
      </c>
      <c r="F136" s="41" t="s">
        <v>486</v>
      </c>
      <c r="G136" s="42" t="s">
        <v>515</v>
      </c>
      <c r="H136" s="9"/>
    </row>
    <row r="137" customFormat="false" ht="14.25" hidden="false" customHeight="true" outlineLevel="0" collapsed="false">
      <c r="A137" s="9" t="s">
        <v>389</v>
      </c>
      <c r="B137" s="9" t="s">
        <v>331</v>
      </c>
      <c r="C137" s="39" t="n">
        <v>1</v>
      </c>
      <c r="D137" s="39" t="n">
        <v>2</v>
      </c>
      <c r="E137" s="40" t="n">
        <f aca="false">C137*Settings!$B$11*IF(B137="Hide",Settings!$B$9,Settings!$B$10)+D137*IF(B137="Hide",Settings!$B$9,Settings!$B$10)</f>
        <v>12.6</v>
      </c>
      <c r="F137" s="41" t="s">
        <v>388</v>
      </c>
      <c r="G137" s="3" t="s">
        <v>510</v>
      </c>
      <c r="H137" s="9"/>
    </row>
    <row r="138" customFormat="false" ht="14.25" hidden="false" customHeight="true" outlineLevel="0" collapsed="false">
      <c r="A138" s="9" t="s">
        <v>560</v>
      </c>
      <c r="B138" s="9" t="s">
        <v>331</v>
      </c>
      <c r="C138" s="39" t="n">
        <v>3</v>
      </c>
      <c r="D138" s="39" t="n">
        <v>0</v>
      </c>
      <c r="E138" s="40" t="n">
        <f aca="false">C138*Settings!$B$11*IF(B138="Hide",Settings!$B$9,Settings!$B$10)+D138*IF(B138="Hide",Settings!$B$9,Settings!$B$10)</f>
        <v>27</v>
      </c>
      <c r="F138" s="41" t="s">
        <v>390</v>
      </c>
      <c r="G138" s="42" t="s">
        <v>512</v>
      </c>
      <c r="H138" s="9"/>
    </row>
    <row r="139" customFormat="false" ht="14.25" hidden="false" customHeight="true" outlineLevel="0" collapsed="false">
      <c r="A139" s="9" t="s">
        <v>393</v>
      </c>
      <c r="B139" s="9" t="s">
        <v>331</v>
      </c>
      <c r="C139" s="39" t="n">
        <v>1</v>
      </c>
      <c r="D139" s="39" t="n">
        <v>3</v>
      </c>
      <c r="E139" s="40" t="n">
        <f aca="false">C139*Settings!$B$11*IF(B139="Hide",Settings!$B$9,Settings!$B$10)+D139*IF(B139="Hide",Settings!$B$9,Settings!$B$10)</f>
        <v>14.4</v>
      </c>
      <c r="F139" s="41" t="s">
        <v>392</v>
      </c>
      <c r="G139" s="3" t="s">
        <v>510</v>
      </c>
      <c r="H139" s="9"/>
    </row>
    <row r="140" customFormat="false" ht="14.25" hidden="false" customHeight="true" outlineLevel="0" collapsed="false">
      <c r="A140" s="9" t="s">
        <v>395</v>
      </c>
      <c r="B140" s="9" t="s">
        <v>331</v>
      </c>
      <c r="C140" s="39" t="n">
        <v>5</v>
      </c>
      <c r="D140" s="39" t="n">
        <v>1</v>
      </c>
      <c r="E140" s="40" t="n">
        <f aca="false">C140*Settings!$B$11*IF(B140="Hide",Settings!$B$9,Settings!$B$10)+D140*IF(B140="Hide",Settings!$B$9,Settings!$B$10)</f>
        <v>46.8</v>
      </c>
      <c r="F140" s="41" t="s">
        <v>394</v>
      </c>
      <c r="G140" s="3" t="s">
        <v>510</v>
      </c>
      <c r="H140" s="9"/>
    </row>
    <row r="141" customFormat="false" ht="14.25" hidden="false" customHeight="true" outlineLevel="0" collapsed="false">
      <c r="A141" s="9" t="s">
        <v>561</v>
      </c>
      <c r="B141" s="9" t="s">
        <v>331</v>
      </c>
      <c r="C141" s="39" t="n">
        <v>7</v>
      </c>
      <c r="D141" s="39" t="n">
        <v>1</v>
      </c>
      <c r="E141" s="40" t="n">
        <f aca="false">C141*Settings!$B$11*IF(B141="Hide",Settings!$B$9,Settings!$B$10)+D141*IF(B141="Hide",Settings!$B$9,Settings!$B$10)</f>
        <v>64.8</v>
      </c>
      <c r="F141" s="41" t="s">
        <v>396</v>
      </c>
      <c r="G141" s="42" t="s">
        <v>512</v>
      </c>
      <c r="H141" s="9" t="s">
        <v>562</v>
      </c>
    </row>
    <row r="142" customFormat="false" ht="14.25" hidden="false" customHeight="true" outlineLevel="0" collapsed="false">
      <c r="A142" s="9" t="s">
        <v>399</v>
      </c>
      <c r="B142" s="9" t="s">
        <v>331</v>
      </c>
      <c r="C142" s="39" t="n">
        <v>0</v>
      </c>
      <c r="D142" s="39" t="n">
        <v>0</v>
      </c>
      <c r="E142" s="40" t="n">
        <f aca="false">C142*Settings!$B$11*IF(B142="Hide",Settings!$B$9,Settings!$B$10)+D142*IF(B142="Hide",Settings!$B$9,Settings!$B$10)</f>
        <v>0</v>
      </c>
      <c r="F142" s="41" t="s">
        <v>398</v>
      </c>
      <c r="G142" s="3" t="s">
        <v>510</v>
      </c>
      <c r="H142" s="9"/>
    </row>
    <row r="143" customFormat="false" ht="14.25" hidden="false" customHeight="true" outlineLevel="0" collapsed="false">
      <c r="A143" s="9" t="s">
        <v>401</v>
      </c>
      <c r="B143" s="9" t="s">
        <v>331</v>
      </c>
      <c r="C143" s="39" t="n">
        <v>5</v>
      </c>
      <c r="D143" s="39" t="n">
        <v>3</v>
      </c>
      <c r="E143" s="40" t="n">
        <f aca="false">C143*Settings!$B$11*IF(B143="Hide",Settings!$B$9,Settings!$B$10)+D143*IF(B143="Hide",Settings!$B$9,Settings!$B$10)</f>
        <v>50.4</v>
      </c>
      <c r="F143" s="41" t="s">
        <v>400</v>
      </c>
      <c r="G143" s="3" t="s">
        <v>510</v>
      </c>
      <c r="H143" s="9"/>
    </row>
    <row r="144" customFormat="false" ht="14.25" hidden="false" customHeight="true" outlineLevel="0" collapsed="false">
      <c r="A144" s="9" t="s">
        <v>563</v>
      </c>
      <c r="B144" s="9" t="s">
        <v>331</v>
      </c>
      <c r="C144" s="39" t="n">
        <v>0</v>
      </c>
      <c r="D144" s="39" t="n">
        <v>4</v>
      </c>
      <c r="E144" s="40" t="n">
        <f aca="false">C144*Settings!$B$11*IF(B144="Hide",Settings!$B$9,Settings!$B$10)+D144*IF(B144="Hide",Settings!$B$9,Settings!$B$10)</f>
        <v>7.2</v>
      </c>
      <c r="F144" s="41" t="s">
        <v>402</v>
      </c>
      <c r="G144" s="42" t="s">
        <v>512</v>
      </c>
      <c r="H144" s="9"/>
    </row>
    <row r="145" customFormat="false" ht="14.25" hidden="false" customHeight="true" outlineLevel="0" collapsed="false">
      <c r="A145" s="9" t="s">
        <v>406</v>
      </c>
      <c r="B145" s="9" t="s">
        <v>331</v>
      </c>
      <c r="C145" s="39" t="n">
        <v>2</v>
      </c>
      <c r="D145" s="39" t="n">
        <v>0</v>
      </c>
      <c r="E145" s="40" t="n">
        <f aca="false">C145*Settings!$B$11*IF(B145="Hide",Settings!$B$9,Settings!$B$10)+D145*IF(B145="Hide",Settings!$B$9,Settings!$B$10)</f>
        <v>18</v>
      </c>
      <c r="F145" s="41" t="s">
        <v>405</v>
      </c>
      <c r="G145" s="3" t="s">
        <v>510</v>
      </c>
      <c r="H145" s="9"/>
    </row>
    <row r="146" customFormat="false" ht="14.25" hidden="false" customHeight="true" outlineLevel="0" collapsed="false">
      <c r="A146" s="9" t="s">
        <v>408</v>
      </c>
      <c r="B146" s="9" t="s">
        <v>331</v>
      </c>
      <c r="C146" s="39" t="n">
        <v>2</v>
      </c>
      <c r="D146" s="39" t="n">
        <v>1</v>
      </c>
      <c r="E146" s="40" t="n">
        <f aca="false">C146*Settings!$B$11*IF(B146="Hide",Settings!$B$9,Settings!$B$10)+D146*IF(B146="Hide",Settings!$B$9,Settings!$B$10)</f>
        <v>19.8</v>
      </c>
      <c r="F146" s="41" t="s">
        <v>407</v>
      </c>
      <c r="G146" s="3" t="s">
        <v>510</v>
      </c>
      <c r="H146" s="9"/>
    </row>
    <row r="147" customFormat="false" ht="14.25" hidden="false" customHeight="true" outlineLevel="0" collapsed="false">
      <c r="A147" s="9" t="s">
        <v>410</v>
      </c>
      <c r="B147" s="9" t="s">
        <v>331</v>
      </c>
      <c r="C147" s="39" t="n">
        <v>0</v>
      </c>
      <c r="D147" s="39" t="n">
        <v>2</v>
      </c>
      <c r="E147" s="40" t="n">
        <f aca="false">C147*Settings!$B$11*IF(B147="Hide",Settings!$B$9,Settings!$B$10)+D147*IF(B147="Hide",Settings!$B$9,Settings!$B$10)</f>
        <v>3.6</v>
      </c>
      <c r="F147" s="41" t="s">
        <v>409</v>
      </c>
      <c r="G147" s="3" t="s">
        <v>510</v>
      </c>
      <c r="H147" s="9"/>
    </row>
    <row r="148" customFormat="false" ht="14.25" hidden="false" customHeight="true" outlineLevel="0" collapsed="false">
      <c r="A148" s="9" t="s">
        <v>412</v>
      </c>
      <c r="B148" s="9" t="s">
        <v>331</v>
      </c>
      <c r="C148" s="39" t="n">
        <v>1</v>
      </c>
      <c r="D148" s="39" t="n">
        <v>4</v>
      </c>
      <c r="E148" s="40" t="n">
        <f aca="false">C148*Settings!$B$11*IF(B148="Hide",Settings!$B$9,Settings!$B$10)+D148*IF(B148="Hide",Settings!$B$9,Settings!$B$10)</f>
        <v>16.2</v>
      </c>
      <c r="F148" s="41" t="s">
        <v>411</v>
      </c>
      <c r="G148" s="3" t="s">
        <v>510</v>
      </c>
      <c r="H148" s="9"/>
    </row>
    <row r="149" customFormat="false" ht="14.25" hidden="false" customHeight="true" outlineLevel="0" collapsed="false">
      <c r="A149" s="9" t="s">
        <v>414</v>
      </c>
      <c r="B149" s="9" t="s">
        <v>331</v>
      </c>
      <c r="C149" s="39" t="n">
        <v>6</v>
      </c>
      <c r="D149" s="39" t="n">
        <v>4</v>
      </c>
      <c r="E149" s="40" t="n">
        <f aca="false">C149*Settings!$B$11*IF(B149="Hide",Settings!$B$9,Settings!$B$10)+D149*IF(B149="Hide",Settings!$B$9,Settings!$B$10)</f>
        <v>61.2</v>
      </c>
      <c r="F149" s="41" t="s">
        <v>413</v>
      </c>
      <c r="G149" s="3" t="s">
        <v>510</v>
      </c>
      <c r="H149" s="9"/>
    </row>
    <row r="150" customFormat="false" ht="14.25" hidden="false" customHeight="true" outlineLevel="0" collapsed="false">
      <c r="A150" s="9" t="s">
        <v>564</v>
      </c>
      <c r="B150" s="9" t="s">
        <v>331</v>
      </c>
      <c r="C150" s="39" t="n">
        <v>0</v>
      </c>
      <c r="D150" s="39" t="n">
        <v>1</v>
      </c>
      <c r="E150" s="40" t="n">
        <f aca="false">C150*Settings!$B$11*IF(B150="Hide",Settings!$B$9,Settings!$B$10)+D150*IF(B150="Hide",Settings!$B$9,Settings!$B$10)</f>
        <v>1.8</v>
      </c>
      <c r="F150" s="41" t="s">
        <v>415</v>
      </c>
      <c r="G150" s="42" t="s">
        <v>512</v>
      </c>
      <c r="H150" s="9"/>
    </row>
    <row r="151" customFormat="false" ht="14.25" hidden="false" customHeight="true" outlineLevel="0" collapsed="false">
      <c r="A151" s="9" t="s">
        <v>418</v>
      </c>
      <c r="B151" s="9" t="s">
        <v>331</v>
      </c>
      <c r="C151" s="39" t="n">
        <v>8</v>
      </c>
      <c r="D151" s="39" t="n">
        <v>1</v>
      </c>
      <c r="E151" s="40" t="n">
        <f aca="false">C151*Settings!$B$11*IF(B151="Hide",Settings!$B$9,Settings!$B$10)+D151*IF(B151="Hide",Settings!$B$9,Settings!$B$10)</f>
        <v>73.8</v>
      </c>
      <c r="F151" s="41" t="s">
        <v>417</v>
      </c>
      <c r="G151" s="3" t="s">
        <v>510</v>
      </c>
      <c r="H151" s="9"/>
    </row>
    <row r="152" customFormat="false" ht="14.25" hidden="false" customHeight="true" outlineLevel="0" collapsed="false">
      <c r="A152" s="9" t="s">
        <v>420</v>
      </c>
      <c r="B152" s="9" t="s">
        <v>331</v>
      </c>
      <c r="C152" s="39" t="n">
        <v>2</v>
      </c>
      <c r="D152" s="39" t="n">
        <v>2</v>
      </c>
      <c r="E152" s="40" t="n">
        <f aca="false">C152*Settings!$B$11*IF(B152="Hide",Settings!$B$9,Settings!$B$10)+D152*IF(B152="Hide",Settings!$B$9,Settings!$B$10)</f>
        <v>21.6</v>
      </c>
      <c r="F152" s="41" t="s">
        <v>419</v>
      </c>
      <c r="G152" s="3" t="s">
        <v>510</v>
      </c>
      <c r="H152" s="9"/>
    </row>
    <row r="153" customFormat="false" ht="14.25" hidden="false" customHeight="true" outlineLevel="0" collapsed="false">
      <c r="A153" s="9" t="s">
        <v>422</v>
      </c>
      <c r="B153" s="9" t="s">
        <v>331</v>
      </c>
      <c r="C153" s="39" t="n">
        <v>2</v>
      </c>
      <c r="D153" s="39" t="n">
        <v>0</v>
      </c>
      <c r="E153" s="40" t="n">
        <f aca="false">C153*Settings!$B$11*IF(B153="Hide",Settings!$B$9,Settings!$B$10)+D153*IF(B153="Hide",Settings!$B$9,Settings!$B$10)</f>
        <v>18</v>
      </c>
      <c r="F153" s="41" t="s">
        <v>421</v>
      </c>
      <c r="G153" s="3" t="s">
        <v>510</v>
      </c>
      <c r="H153" s="9"/>
    </row>
    <row r="154" customFormat="false" ht="14.25" hidden="false" customHeight="true" outlineLevel="0" collapsed="false">
      <c r="A154" s="9" t="s">
        <v>424</v>
      </c>
      <c r="B154" s="9" t="s">
        <v>331</v>
      </c>
      <c r="C154" s="39" t="n">
        <v>4</v>
      </c>
      <c r="D154" s="39" t="n">
        <v>3</v>
      </c>
      <c r="E154" s="40" t="n">
        <f aca="false">C154*Settings!$B$11*IF(B154="Hide",Settings!$B$9,Settings!$B$10)+D154*IF(B154="Hide",Settings!$B$9,Settings!$B$10)</f>
        <v>41.4</v>
      </c>
      <c r="F154" s="41" t="s">
        <v>423</v>
      </c>
      <c r="G154" s="3" t="s">
        <v>510</v>
      </c>
      <c r="H154" s="9"/>
    </row>
    <row r="155" customFormat="false" ht="14.25" hidden="false" customHeight="true" outlineLevel="0" collapsed="false">
      <c r="A155" s="9" t="s">
        <v>426</v>
      </c>
      <c r="B155" s="9" t="s">
        <v>331</v>
      </c>
      <c r="C155" s="39" t="n">
        <v>2</v>
      </c>
      <c r="D155" s="39" t="n">
        <v>3</v>
      </c>
      <c r="E155" s="40" t="n">
        <f aca="false">C155*Settings!$B$11*IF(B155="Hide",Settings!$B$9,Settings!$B$10)+D155*IF(B155="Hide",Settings!$B$9,Settings!$B$10)</f>
        <v>23.4</v>
      </c>
      <c r="F155" s="41" t="s">
        <v>425</v>
      </c>
      <c r="G155" s="3" t="s">
        <v>510</v>
      </c>
      <c r="H155" s="9"/>
    </row>
    <row r="156" customFormat="false" ht="14.25" hidden="false" customHeight="true" outlineLevel="0" collapsed="false">
      <c r="A156" s="9" t="s">
        <v>428</v>
      </c>
      <c r="B156" s="9" t="s">
        <v>331</v>
      </c>
      <c r="C156" s="39" t="n">
        <v>3</v>
      </c>
      <c r="D156" s="39" t="n">
        <v>1</v>
      </c>
      <c r="E156" s="40" t="n">
        <f aca="false">C156*Settings!$B$11*IF(B156="Hide",Settings!$B$9,Settings!$B$10)+D156*IF(B156="Hide",Settings!$B$9,Settings!$B$10)</f>
        <v>28.8</v>
      </c>
      <c r="F156" s="41" t="s">
        <v>427</v>
      </c>
      <c r="G156" s="3" t="s">
        <v>510</v>
      </c>
      <c r="H156" s="9"/>
    </row>
    <row r="157" customFormat="false" ht="14.25" hidden="false" customHeight="true" outlineLevel="0" collapsed="false">
      <c r="A157" s="9" t="s">
        <v>430</v>
      </c>
      <c r="B157" s="9" t="s">
        <v>331</v>
      </c>
      <c r="C157" s="39" t="n">
        <v>5</v>
      </c>
      <c r="D157" s="39" t="n">
        <v>0</v>
      </c>
      <c r="E157" s="40" t="n">
        <f aca="false">C157*Settings!$B$11*IF(B157="Hide",Settings!$B$9,Settings!$B$10)+D157*IF(B157="Hide",Settings!$B$9,Settings!$B$10)</f>
        <v>45</v>
      </c>
      <c r="F157" s="41" t="s">
        <v>429</v>
      </c>
      <c r="G157" s="3" t="s">
        <v>510</v>
      </c>
      <c r="H157" s="9"/>
    </row>
    <row r="158" customFormat="false" ht="14.25" hidden="false" customHeight="true" outlineLevel="0" collapsed="false">
      <c r="A158" s="9" t="s">
        <v>446</v>
      </c>
      <c r="B158" s="9" t="s">
        <v>331</v>
      </c>
      <c r="C158" s="39" t="n">
        <v>2</v>
      </c>
      <c r="D158" s="39" t="n">
        <v>3</v>
      </c>
      <c r="E158" s="40" t="n">
        <f aca="false">C158*Settings!$B$11*IF(B158="Hide",Settings!$B$9,Settings!$B$10)+D158*IF(B158="Hide",Settings!$B$9,Settings!$B$10)</f>
        <v>23.4</v>
      </c>
      <c r="F158" s="41" t="s">
        <v>445</v>
      </c>
      <c r="G158" s="3" t="s">
        <v>510</v>
      </c>
      <c r="H158" s="9"/>
    </row>
    <row r="159" customFormat="false" ht="14.25" hidden="false" customHeight="true" outlineLevel="0" collapsed="false">
      <c r="A159" s="9" t="s">
        <v>434</v>
      </c>
      <c r="B159" s="9" t="s">
        <v>331</v>
      </c>
      <c r="C159" s="39" t="n">
        <v>2</v>
      </c>
      <c r="D159" s="39" t="n">
        <v>4</v>
      </c>
      <c r="E159" s="40" t="n">
        <f aca="false">C159*Settings!$B$11*IF(B159="Hide",Settings!$B$9,Settings!$B$10)+D159*IF(B159="Hide",Settings!$B$9,Settings!$B$10)</f>
        <v>25.2</v>
      </c>
      <c r="F159" s="41" t="s">
        <v>433</v>
      </c>
      <c r="G159" s="3" t="s">
        <v>510</v>
      </c>
      <c r="H159" s="9"/>
    </row>
    <row r="160" customFormat="false" ht="14.25" hidden="false" customHeight="true" outlineLevel="0" collapsed="false">
      <c r="A160" s="9" t="s">
        <v>436</v>
      </c>
      <c r="B160" s="9" t="s">
        <v>331</v>
      </c>
      <c r="C160" s="39" t="n">
        <v>5</v>
      </c>
      <c r="D160" s="39" t="n">
        <v>0</v>
      </c>
      <c r="E160" s="40" t="n">
        <f aca="false">C160*Settings!$B$11*IF(B160="Hide",Settings!$B$9,Settings!$B$10)+D160*IF(B160="Hide",Settings!$B$9,Settings!$B$10)</f>
        <v>45</v>
      </c>
      <c r="F160" s="41" t="s">
        <v>435</v>
      </c>
      <c r="G160" s="3" t="s">
        <v>510</v>
      </c>
      <c r="H160" s="9"/>
    </row>
    <row r="161" customFormat="false" ht="14.25" hidden="false" customHeight="true" outlineLevel="0" collapsed="false">
      <c r="A161" s="9" t="s">
        <v>438</v>
      </c>
      <c r="B161" s="9" t="s">
        <v>331</v>
      </c>
      <c r="C161" s="39" t="n">
        <v>1</v>
      </c>
      <c r="D161" s="39" t="n">
        <v>1</v>
      </c>
      <c r="E161" s="40" t="n">
        <f aca="false">C161*Settings!$B$11*IF(B161="Hide",Settings!$B$9,Settings!$B$10)+D161*IF(B161="Hide",Settings!$B$9,Settings!$B$10)</f>
        <v>10.8</v>
      </c>
      <c r="F161" s="41" t="s">
        <v>437</v>
      </c>
      <c r="G161" s="3" t="s">
        <v>510</v>
      </c>
      <c r="H161" s="9"/>
    </row>
    <row r="162" customFormat="false" ht="14.25" hidden="false" customHeight="true" outlineLevel="0" collapsed="false">
      <c r="A162" s="9" t="s">
        <v>440</v>
      </c>
      <c r="B162" s="9" t="s">
        <v>331</v>
      </c>
      <c r="C162" s="39" t="n">
        <v>1</v>
      </c>
      <c r="D162" s="39" t="n">
        <v>3</v>
      </c>
      <c r="E162" s="40" t="n">
        <f aca="false">C162*Settings!$B$11*IF(B162="Hide",Settings!$B$9,Settings!$B$10)+D162*IF(B162="Hide",Settings!$B$9,Settings!$B$10)</f>
        <v>14.4</v>
      </c>
      <c r="F162" s="41" t="s">
        <v>439</v>
      </c>
      <c r="G162" s="3" t="s">
        <v>510</v>
      </c>
      <c r="H162" s="9"/>
    </row>
    <row r="163" customFormat="false" ht="14.25" hidden="false" customHeight="true" outlineLevel="0" collapsed="false">
      <c r="A163" s="9" t="s">
        <v>442</v>
      </c>
      <c r="B163" s="9" t="s">
        <v>331</v>
      </c>
      <c r="C163" s="39" t="n">
        <v>2</v>
      </c>
      <c r="D163" s="39" t="n">
        <v>4</v>
      </c>
      <c r="E163" s="40" t="n">
        <f aca="false">C163*Settings!$B$11*IF(B163="Hide",Settings!$B$9,Settings!$B$10)+D163*IF(B163="Hide",Settings!$B$9,Settings!$B$10)</f>
        <v>25.2</v>
      </c>
      <c r="F163" s="41" t="s">
        <v>441</v>
      </c>
      <c r="G163" s="3" t="s">
        <v>510</v>
      </c>
      <c r="H163" s="9"/>
    </row>
    <row r="164" customFormat="false" ht="14.25" hidden="false" customHeight="true" outlineLevel="0" collapsed="false">
      <c r="A164" s="9" t="s">
        <v>444</v>
      </c>
      <c r="B164" s="9" t="s">
        <v>331</v>
      </c>
      <c r="C164" s="39" t="n">
        <v>1</v>
      </c>
      <c r="D164" s="39" t="n">
        <v>4</v>
      </c>
      <c r="E164" s="40" t="n">
        <f aca="false">C164*Settings!$B$11*IF(B164="Hide",Settings!$B$9,Settings!$B$10)+D164*IF(B164="Hide",Settings!$B$9,Settings!$B$10)</f>
        <v>16.2</v>
      </c>
      <c r="F164" s="41" t="s">
        <v>443</v>
      </c>
      <c r="G164" s="3" t="s">
        <v>510</v>
      </c>
      <c r="H164" s="9"/>
    </row>
    <row r="165" customFormat="false" ht="14.25" hidden="false" customHeight="true" outlineLevel="0" collapsed="false">
      <c r="A165" s="9" t="s">
        <v>565</v>
      </c>
      <c r="B165" s="9" t="s">
        <v>331</v>
      </c>
      <c r="C165" s="39" t="n">
        <v>4</v>
      </c>
      <c r="D165" s="39" t="n">
        <v>1</v>
      </c>
      <c r="E165" s="40" t="n">
        <f aca="false">C165*Settings!$B$11*IF(B165="Hide",Settings!$B$9,Settings!$B$10)+D165*IF(B165="Hide",Settings!$B$9,Settings!$B$10)</f>
        <v>37.8</v>
      </c>
      <c r="F165" s="41" t="s">
        <v>448</v>
      </c>
      <c r="G165" s="42" t="s">
        <v>512</v>
      </c>
      <c r="H165" s="9"/>
    </row>
    <row r="166" customFormat="false" ht="14.25" hidden="false" customHeight="true" outlineLevel="0" collapsed="false">
      <c r="A166" s="9" t="s">
        <v>457</v>
      </c>
      <c r="B166" s="9" t="s">
        <v>331</v>
      </c>
      <c r="C166" s="39" t="n">
        <v>1</v>
      </c>
      <c r="D166" s="39" t="n">
        <v>3</v>
      </c>
      <c r="E166" s="40" t="n">
        <f aca="false">C166*Settings!$B$11*IF(B166="Hide",Settings!$B$9,Settings!$B$10)+D166*IF(B166="Hide",Settings!$B$9,Settings!$B$10)</f>
        <v>14.4</v>
      </c>
      <c r="F166" s="41" t="s">
        <v>456</v>
      </c>
      <c r="G166" s="3" t="s">
        <v>510</v>
      </c>
      <c r="H166" s="9"/>
    </row>
    <row r="167" customFormat="false" ht="14.25" hidden="false" customHeight="true" outlineLevel="0" collapsed="false">
      <c r="A167" s="9" t="s">
        <v>459</v>
      </c>
      <c r="B167" s="9" t="s">
        <v>331</v>
      </c>
      <c r="C167" s="39" t="n">
        <v>3</v>
      </c>
      <c r="D167" s="39" t="n">
        <v>1</v>
      </c>
      <c r="E167" s="40" t="n">
        <f aca="false">C167*Settings!$B$11*IF(B167="Hide",Settings!$B$9,Settings!$B$10)+D167*IF(B167="Hide",Settings!$B$9,Settings!$B$10)</f>
        <v>28.8</v>
      </c>
      <c r="F167" s="41" t="s">
        <v>458</v>
      </c>
      <c r="G167" s="3" t="s">
        <v>510</v>
      </c>
      <c r="H167" s="9"/>
    </row>
    <row r="168" customFormat="false" ht="14.25" hidden="false" customHeight="true" outlineLevel="0" collapsed="false">
      <c r="A168" s="9" t="s">
        <v>566</v>
      </c>
      <c r="B168" s="9" t="s">
        <v>331</v>
      </c>
      <c r="C168" s="39" t="n">
        <v>2</v>
      </c>
      <c r="D168" s="39" t="n">
        <v>0</v>
      </c>
      <c r="E168" s="40" t="n">
        <f aca="false">C168*Settings!$B$11*IF(B168="Hide",Settings!$B$9,Settings!$B$10)+D168*IF(B168="Hide",Settings!$B$9,Settings!$B$10)</f>
        <v>18</v>
      </c>
      <c r="F168" s="41" t="s">
        <v>460</v>
      </c>
      <c r="G168" s="42" t="s">
        <v>512</v>
      </c>
      <c r="H168" s="9"/>
    </row>
    <row r="169" customFormat="false" ht="14.25" hidden="false" customHeight="true" outlineLevel="0" collapsed="false">
      <c r="A169" s="9" t="s">
        <v>463</v>
      </c>
      <c r="B169" s="9" t="s">
        <v>331</v>
      </c>
      <c r="C169" s="39" t="n">
        <v>4</v>
      </c>
      <c r="D169" s="39" t="n">
        <v>0</v>
      </c>
      <c r="E169" s="40" t="n">
        <f aca="false">C169*Settings!$B$11*IF(B169="Hide",Settings!$B$9,Settings!$B$10)+D169*IF(B169="Hide",Settings!$B$9,Settings!$B$10)</f>
        <v>36</v>
      </c>
      <c r="F169" s="41" t="s">
        <v>462</v>
      </c>
      <c r="G169" s="3" t="s">
        <v>510</v>
      </c>
      <c r="H169" s="9"/>
    </row>
    <row r="170" customFormat="false" ht="14.25" hidden="false" customHeight="true" outlineLevel="0" collapsed="false">
      <c r="A170" s="9" t="s">
        <v>465</v>
      </c>
      <c r="B170" s="9" t="s">
        <v>331</v>
      </c>
      <c r="C170" s="39" t="n">
        <v>4</v>
      </c>
      <c r="D170" s="39" t="n">
        <v>1</v>
      </c>
      <c r="E170" s="40" t="n">
        <f aca="false">C170*Settings!$B$11*IF(B170="Hide",Settings!$B$9,Settings!$B$10)+D170*IF(B170="Hide",Settings!$B$9,Settings!$B$10)</f>
        <v>37.8</v>
      </c>
      <c r="F170" s="41" t="s">
        <v>464</v>
      </c>
      <c r="G170" s="3" t="s">
        <v>510</v>
      </c>
      <c r="H170" s="9"/>
    </row>
    <row r="171" customFormat="false" ht="14.25" hidden="false" customHeight="true" outlineLevel="0" collapsed="false">
      <c r="A171" s="9" t="s">
        <v>467</v>
      </c>
      <c r="B171" s="9" t="s">
        <v>331</v>
      </c>
      <c r="C171" s="39" t="n">
        <v>3</v>
      </c>
      <c r="D171" s="39" t="n">
        <v>2</v>
      </c>
      <c r="E171" s="40" t="n">
        <f aca="false">C171*Settings!$B$11*IF(B171="Hide",Settings!$B$9,Settings!$B$10)+D171*IF(B171="Hide",Settings!$B$9,Settings!$B$10)</f>
        <v>30.6</v>
      </c>
      <c r="F171" s="41" t="s">
        <v>466</v>
      </c>
      <c r="G171" s="3" t="s">
        <v>510</v>
      </c>
      <c r="H171" s="9"/>
    </row>
    <row r="172" customFormat="false" ht="14.25" hidden="false" customHeight="true" outlineLevel="0" collapsed="false">
      <c r="A172" s="9" t="s">
        <v>567</v>
      </c>
      <c r="B172" s="9" t="s">
        <v>331</v>
      </c>
      <c r="C172" s="39" t="n">
        <v>0</v>
      </c>
      <c r="D172" s="39" t="n">
        <v>0</v>
      </c>
      <c r="E172" s="40" t="n">
        <f aca="false">C172*Settings!$B$11*IF(B172="Hide",Settings!$B$9,Settings!$B$10)+D172*IF(B172="Hide",Settings!$B$9,Settings!$B$10)</f>
        <v>0</v>
      </c>
      <c r="F172" s="41" t="s">
        <v>488</v>
      </c>
      <c r="G172" s="42" t="s">
        <v>512</v>
      </c>
      <c r="H172" s="9"/>
    </row>
    <row r="173" customFormat="false" ht="14.25" hidden="false" customHeight="true" outlineLevel="0" collapsed="false">
      <c r="A173" s="9" t="s">
        <v>568</v>
      </c>
      <c r="B173" s="9" t="s">
        <v>331</v>
      </c>
      <c r="C173" s="39" t="n">
        <v>1</v>
      </c>
      <c r="D173" s="39" t="n">
        <v>2</v>
      </c>
      <c r="E173" s="40" t="n">
        <f aca="false">C173*Settings!$B$11*IF(B173="Hide",Settings!$B$9,Settings!$B$10)+D173*IF(B173="Hide",Settings!$B$9,Settings!$B$10)</f>
        <v>12.6</v>
      </c>
      <c r="F173" s="41" t="s">
        <v>494</v>
      </c>
      <c r="G173" s="42" t="s">
        <v>515</v>
      </c>
      <c r="H173" s="9"/>
    </row>
    <row r="174" customFormat="false" ht="14.25" hidden="false" customHeight="true" outlineLevel="0" collapsed="false">
      <c r="A174" s="9" t="s">
        <v>569</v>
      </c>
      <c r="B174" s="9" t="s">
        <v>331</v>
      </c>
      <c r="C174" s="39" t="n">
        <v>1</v>
      </c>
      <c r="D174" s="39" t="n">
        <v>3</v>
      </c>
      <c r="E174" s="40" t="n">
        <f aca="false">C174*Settings!$B$11*IF(B174="Hide",Settings!$B$9,Settings!$B$10)+D174*IF(B174="Hide",Settings!$B$9,Settings!$B$10)</f>
        <v>14.4</v>
      </c>
      <c r="F174" s="41" t="s">
        <v>490</v>
      </c>
      <c r="G174" s="42" t="s">
        <v>512</v>
      </c>
      <c r="H174" s="9"/>
    </row>
    <row r="175" customFormat="false" ht="14.25" hidden="false" customHeight="true" outlineLevel="0" collapsed="false">
      <c r="A175" s="9" t="s">
        <v>570</v>
      </c>
      <c r="B175" s="9" t="s">
        <v>331</v>
      </c>
      <c r="C175" s="39" t="n">
        <v>0</v>
      </c>
      <c r="D175" s="39" t="n">
        <v>4</v>
      </c>
      <c r="E175" s="40" t="n">
        <f aca="false">C175*Settings!$B$11*IF(B175="Hide",Settings!$B$9,Settings!$B$10)+D175*IF(B175="Hide",Settings!$B$9,Settings!$B$10)</f>
        <v>7.2</v>
      </c>
      <c r="F175" s="41" t="s">
        <v>492</v>
      </c>
      <c r="G175" s="42" t="s">
        <v>512</v>
      </c>
      <c r="H175" s="9"/>
    </row>
    <row r="176" customFormat="false" ht="14.25" hidden="false" customHeight="true" outlineLevel="0" collapsed="false">
      <c r="A176" s="9" t="s">
        <v>571</v>
      </c>
      <c r="B176" s="9" t="s">
        <v>331</v>
      </c>
      <c r="C176" s="39" t="n">
        <v>1</v>
      </c>
      <c r="D176" s="39" t="n">
        <v>4</v>
      </c>
      <c r="E176" s="40" t="n">
        <f aca="false">C176*Settings!$B$11*IF(B176="Hide",Settings!$B$9,Settings!$B$10)+D176*IF(B176="Hide",Settings!$B$9,Settings!$B$10)</f>
        <v>16.2</v>
      </c>
      <c r="F176" s="41" t="s">
        <v>472</v>
      </c>
      <c r="G176" s="3" t="s">
        <v>510</v>
      </c>
      <c r="H176" s="9"/>
    </row>
    <row r="177" customFormat="false" ht="14.25" hidden="false" customHeight="true" outlineLevel="0" collapsed="false">
      <c r="A177" s="9" t="s">
        <v>572</v>
      </c>
      <c r="B177" s="9" t="s">
        <v>331</v>
      </c>
      <c r="C177" s="39" t="n">
        <v>2</v>
      </c>
      <c r="D177" s="39" t="n">
        <v>1</v>
      </c>
      <c r="E177" s="40" t="n">
        <f aca="false">C177*Settings!$B$11*IF(B177="Hide",Settings!$B$9,Settings!$B$10)+D177*IF(B177="Hide",Settings!$B$9,Settings!$B$10)</f>
        <v>19.8</v>
      </c>
      <c r="F177" s="41" t="s">
        <v>474</v>
      </c>
      <c r="G177" s="3" t="s">
        <v>510</v>
      </c>
      <c r="H177" s="9"/>
    </row>
    <row r="178" customFormat="false" ht="14.25" hidden="false" customHeight="true" outlineLevel="0" collapsed="false">
      <c r="A178" s="9" t="s">
        <v>573</v>
      </c>
      <c r="B178" s="9" t="s">
        <v>331</v>
      </c>
      <c r="C178" s="39" t="n">
        <v>0</v>
      </c>
      <c r="D178" s="39" t="n">
        <v>1</v>
      </c>
      <c r="E178" s="40" t="n">
        <f aca="false">C178*Settings!$B$11*IF(B178="Hide",Settings!$B$9,Settings!$B$10)+D178*IF(B178="Hide",Settings!$B$9,Settings!$B$10)</f>
        <v>1.8</v>
      </c>
      <c r="F178" s="41" t="s">
        <v>476</v>
      </c>
      <c r="G178" s="3" t="s">
        <v>510</v>
      </c>
      <c r="H178" s="9"/>
    </row>
    <row r="179" customFormat="false" ht="14.25" hidden="false" customHeight="true" outlineLevel="0" collapsed="false">
      <c r="A179" s="12" t="s">
        <v>30</v>
      </c>
      <c r="E179" s="13" t="n">
        <f aca="false">SUM(E5:E178)</f>
        <v>20676.8</v>
      </c>
    </row>
  </sheetData>
  <autoFilter ref="A4:H1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4" min="3" style="1" width="12"/>
    <col collapsed="false" customWidth="true" hidden="false" outlineLevel="0" max="5" min="5" style="1" width="13"/>
    <col collapsed="false" customWidth="true" hidden="false" outlineLevel="0" max="6" min="6" style="1" width="60"/>
  </cols>
  <sheetData>
    <row r="1" customFormat="false" ht="18" hidden="false" customHeight="true" outlineLevel="0" collapsed="false">
      <c r="A1" s="2" t="s">
        <v>574</v>
      </c>
    </row>
    <row r="2" customFormat="false" ht="14.25" hidden="false" customHeight="true" outlineLevel="0" collapsed="false">
      <c r="A2" s="37" t="s">
        <v>575</v>
      </c>
    </row>
    <row r="4" customFormat="false" ht="42" hidden="false" customHeight="true" outlineLevel="0" collapsed="false">
      <c r="A4" s="23" t="s">
        <v>576</v>
      </c>
      <c r="B4" s="23" t="s">
        <v>577</v>
      </c>
      <c r="C4" s="23" t="s">
        <v>578</v>
      </c>
      <c r="D4" s="23" t="s">
        <v>579</v>
      </c>
      <c r="E4" s="23" t="s">
        <v>507</v>
      </c>
      <c r="F4" s="23" t="s">
        <v>509</v>
      </c>
    </row>
    <row r="5" customFormat="false" ht="14.25" hidden="false" customHeight="true" outlineLevel="0" collapsed="false">
      <c r="A5" s="9" t="s">
        <v>384</v>
      </c>
      <c r="B5" s="9" t="s">
        <v>385</v>
      </c>
      <c r="C5" s="39" t="n">
        <v>6</v>
      </c>
      <c r="D5" s="38" t="n">
        <v>11.89</v>
      </c>
      <c r="E5" s="41" t="s">
        <v>384</v>
      </c>
      <c r="F5" s="9"/>
    </row>
    <row r="6" customFormat="false" ht="14.25" hidden="false" customHeight="true" outlineLevel="0" collapsed="false">
      <c r="A6" s="9" t="s">
        <v>234</v>
      </c>
      <c r="B6" s="9" t="s">
        <v>235</v>
      </c>
      <c r="C6" s="39" t="n">
        <v>0</v>
      </c>
      <c r="D6" s="38" t="n">
        <v>0</v>
      </c>
      <c r="E6" s="41" t="s">
        <v>234</v>
      </c>
      <c r="F6" s="9"/>
    </row>
    <row r="7" customFormat="false" ht="14.25" hidden="false" customHeight="true" outlineLevel="0" collapsed="false">
      <c r="A7" s="9" t="s">
        <v>238</v>
      </c>
      <c r="B7" s="9" t="s">
        <v>239</v>
      </c>
      <c r="C7" s="39" t="n">
        <v>6</v>
      </c>
      <c r="D7" s="38" t="n">
        <v>23.67</v>
      </c>
      <c r="E7" s="41" t="s">
        <v>238</v>
      </c>
      <c r="F7" s="9"/>
    </row>
    <row r="8" customFormat="false" ht="14.25" hidden="false" customHeight="true" outlineLevel="0" collapsed="false">
      <c r="A8" s="9" t="s">
        <v>141</v>
      </c>
      <c r="B8" s="9" t="s">
        <v>142</v>
      </c>
      <c r="C8" s="39" t="n">
        <v>5</v>
      </c>
      <c r="D8" s="38" t="n">
        <v>22.58</v>
      </c>
      <c r="E8" s="41" t="s">
        <v>141</v>
      </c>
      <c r="F8" s="9"/>
    </row>
    <row r="9" customFormat="false" ht="14.25" hidden="false" customHeight="true" outlineLevel="0" collapsed="false">
      <c r="A9" s="9" t="s">
        <v>139</v>
      </c>
      <c r="B9" s="9" t="s">
        <v>140</v>
      </c>
      <c r="C9" s="39" t="n">
        <v>5</v>
      </c>
      <c r="D9" s="38" t="n">
        <v>20.15</v>
      </c>
      <c r="E9" s="41" t="s">
        <v>139</v>
      </c>
      <c r="F9" s="9"/>
    </row>
    <row r="10" customFormat="false" ht="14.25" hidden="false" customHeight="true" outlineLevel="0" collapsed="false">
      <c r="A10" s="9" t="s">
        <v>145</v>
      </c>
      <c r="B10" s="9" t="s">
        <v>146</v>
      </c>
      <c r="C10" s="39" t="n">
        <v>6</v>
      </c>
      <c r="D10" s="38" t="n">
        <v>21.24</v>
      </c>
      <c r="E10" s="41" t="s">
        <v>145</v>
      </c>
      <c r="F10" s="9"/>
    </row>
    <row r="11" customFormat="false" ht="14.25" hidden="false" customHeight="true" outlineLevel="0" collapsed="false">
      <c r="A11" s="9" t="s">
        <v>137</v>
      </c>
      <c r="B11" s="9" t="s">
        <v>138</v>
      </c>
      <c r="C11" s="39" t="n">
        <v>0</v>
      </c>
      <c r="D11" s="38" t="n">
        <v>0</v>
      </c>
      <c r="E11" s="41" t="s">
        <v>137</v>
      </c>
      <c r="F11" s="9"/>
    </row>
    <row r="12" customFormat="false" ht="14.25" hidden="false" customHeight="true" outlineLevel="0" collapsed="false">
      <c r="A12" s="9" t="s">
        <v>143</v>
      </c>
      <c r="B12" s="9" t="s">
        <v>144</v>
      </c>
      <c r="C12" s="39" t="n">
        <v>10</v>
      </c>
      <c r="D12" s="38" t="n">
        <v>42.28</v>
      </c>
      <c r="E12" s="41" t="s">
        <v>143</v>
      </c>
      <c r="F12" s="9"/>
    </row>
    <row r="13" customFormat="false" ht="14.25" hidden="false" customHeight="true" outlineLevel="0" collapsed="false">
      <c r="A13" s="9" t="s">
        <v>445</v>
      </c>
      <c r="B13" s="9" t="s">
        <v>446</v>
      </c>
      <c r="C13" s="39" t="n">
        <v>7</v>
      </c>
      <c r="D13" s="38" t="n">
        <v>12.34</v>
      </c>
      <c r="E13" s="41" t="s">
        <v>445</v>
      </c>
      <c r="F13" s="9"/>
    </row>
    <row r="14" customFormat="false" ht="14.25" hidden="false" customHeight="true" outlineLevel="0" collapsed="false">
      <c r="A14" s="9" t="s">
        <v>494</v>
      </c>
      <c r="B14" s="9" t="s">
        <v>580</v>
      </c>
      <c r="C14" s="39" t="n">
        <v>0</v>
      </c>
      <c r="D14" s="38" t="n">
        <v>0</v>
      </c>
      <c r="E14" s="41" t="s">
        <v>494</v>
      </c>
      <c r="F14" s="9"/>
    </row>
    <row r="15" customFormat="false" ht="14.25" hidden="false" customHeight="true" outlineLevel="0" collapsed="false">
      <c r="A15" s="9" t="s">
        <v>415</v>
      </c>
      <c r="B15" s="9" t="s">
        <v>564</v>
      </c>
      <c r="C15" s="39" t="n">
        <v>7</v>
      </c>
      <c r="D15" s="38" t="n">
        <v>10.19</v>
      </c>
      <c r="E15" s="41" t="s">
        <v>415</v>
      </c>
      <c r="F15" s="9"/>
    </row>
    <row r="16" customFormat="false" ht="14.25" hidden="false" customHeight="true" outlineLevel="0" collapsed="false">
      <c r="A16" s="9" t="s">
        <v>354</v>
      </c>
      <c r="B16" s="9" t="s">
        <v>355</v>
      </c>
      <c r="C16" s="39" t="n">
        <v>30</v>
      </c>
      <c r="D16" s="38" t="n">
        <v>54.91</v>
      </c>
      <c r="E16" s="41" t="s">
        <v>354</v>
      </c>
      <c r="F16" s="9"/>
    </row>
    <row r="17" customFormat="false" ht="14.25" hidden="false" customHeight="true" outlineLevel="0" collapsed="false">
      <c r="A17" s="9" t="s">
        <v>352</v>
      </c>
      <c r="B17" s="9" t="s">
        <v>353</v>
      </c>
      <c r="C17" s="39" t="n">
        <v>15</v>
      </c>
      <c r="D17" s="38" t="n">
        <v>29.14</v>
      </c>
      <c r="E17" s="41" t="s">
        <v>352</v>
      </c>
      <c r="F17" s="9"/>
    </row>
    <row r="18" customFormat="false" ht="14.25" hidden="false" customHeight="true" outlineLevel="0" collapsed="false">
      <c r="A18" s="9" t="s">
        <v>350</v>
      </c>
      <c r="B18" s="9" t="s">
        <v>351</v>
      </c>
      <c r="C18" s="39" t="n">
        <v>16</v>
      </c>
      <c r="D18" s="38" t="n">
        <v>31.91</v>
      </c>
      <c r="E18" s="41" t="s">
        <v>350</v>
      </c>
      <c r="F18" s="9"/>
    </row>
    <row r="19" customFormat="false" ht="14.25" hidden="false" customHeight="true" outlineLevel="0" collapsed="false">
      <c r="A19" s="9" t="s">
        <v>407</v>
      </c>
      <c r="B19" s="9" t="s">
        <v>581</v>
      </c>
      <c r="C19" s="39" t="n">
        <v>3</v>
      </c>
      <c r="D19" s="38" t="n">
        <v>4.64</v>
      </c>
      <c r="E19" s="41" t="s">
        <v>407</v>
      </c>
      <c r="F19" s="9"/>
    </row>
    <row r="20" customFormat="false" ht="14.25" hidden="false" customHeight="true" outlineLevel="0" collapsed="false">
      <c r="A20" s="9" t="s">
        <v>405</v>
      </c>
      <c r="B20" s="9" t="s">
        <v>582</v>
      </c>
      <c r="C20" s="39" t="n">
        <v>12</v>
      </c>
      <c r="D20" s="38" t="n">
        <v>11.84</v>
      </c>
      <c r="E20" s="41" t="s">
        <v>405</v>
      </c>
      <c r="F20" s="9"/>
    </row>
    <row r="21" customFormat="false" ht="14.25" hidden="false" customHeight="true" outlineLevel="0" collapsed="false">
      <c r="A21" s="9" t="s">
        <v>411</v>
      </c>
      <c r="B21" s="9" t="s">
        <v>583</v>
      </c>
      <c r="C21" s="39" t="n">
        <v>6</v>
      </c>
      <c r="D21" s="38" t="n">
        <v>18.61</v>
      </c>
      <c r="E21" s="41" t="s">
        <v>411</v>
      </c>
      <c r="F21" s="9"/>
    </row>
    <row r="22" customFormat="false" ht="14.25" hidden="false" customHeight="true" outlineLevel="0" collapsed="false">
      <c r="A22" s="9" t="s">
        <v>409</v>
      </c>
      <c r="B22" s="9" t="s">
        <v>410</v>
      </c>
      <c r="C22" s="39" t="n">
        <v>5</v>
      </c>
      <c r="D22" s="38" t="n">
        <v>13.83</v>
      </c>
      <c r="E22" s="41" t="s">
        <v>409</v>
      </c>
      <c r="F22" s="9"/>
    </row>
    <row r="23" customFormat="false" ht="14.25" hidden="false" customHeight="true" outlineLevel="0" collapsed="false">
      <c r="A23" s="9" t="s">
        <v>175</v>
      </c>
      <c r="B23" s="9" t="s">
        <v>176</v>
      </c>
      <c r="C23" s="39" t="n">
        <v>3</v>
      </c>
      <c r="D23" s="38" t="n">
        <v>12.78</v>
      </c>
      <c r="E23" s="41" t="s">
        <v>175</v>
      </c>
      <c r="F23" s="9"/>
    </row>
    <row r="24" customFormat="false" ht="14.25" hidden="false" customHeight="true" outlineLevel="0" collapsed="false">
      <c r="A24" s="9" t="s">
        <v>584</v>
      </c>
      <c r="B24" s="9" t="s">
        <v>518</v>
      </c>
      <c r="C24" s="39" t="n">
        <v>11</v>
      </c>
      <c r="D24" s="38" t="n">
        <v>46.69</v>
      </c>
      <c r="E24" s="41" t="s">
        <v>173</v>
      </c>
      <c r="F24" s="9" t="s">
        <v>585</v>
      </c>
    </row>
    <row r="25" customFormat="false" ht="14.25" hidden="false" customHeight="true" outlineLevel="0" collapsed="false">
      <c r="A25" s="9" t="s">
        <v>177</v>
      </c>
      <c r="B25" s="9" t="s">
        <v>178</v>
      </c>
      <c r="C25" s="39" t="n">
        <v>20</v>
      </c>
      <c r="D25" s="38" t="n">
        <v>90.02</v>
      </c>
      <c r="E25" s="41" t="s">
        <v>177</v>
      </c>
      <c r="F25" s="9"/>
    </row>
    <row r="26" customFormat="false" ht="14.25" hidden="false" customHeight="true" outlineLevel="0" collapsed="false">
      <c r="A26" s="9" t="s">
        <v>163</v>
      </c>
      <c r="B26" s="9" t="s">
        <v>164</v>
      </c>
      <c r="C26" s="39" t="n">
        <v>12</v>
      </c>
      <c r="D26" s="38" t="n">
        <v>53.2</v>
      </c>
      <c r="E26" s="41" t="s">
        <v>163</v>
      </c>
      <c r="F26" s="9"/>
    </row>
    <row r="27" customFormat="false" ht="14.25" hidden="false" customHeight="true" outlineLevel="0" collapsed="false">
      <c r="A27" s="9" t="s">
        <v>274</v>
      </c>
      <c r="B27" s="9" t="s">
        <v>275</v>
      </c>
      <c r="C27" s="39" t="n">
        <v>0</v>
      </c>
      <c r="D27" s="38" t="n">
        <v>0</v>
      </c>
      <c r="E27" s="41" t="s">
        <v>274</v>
      </c>
      <c r="F27" s="9"/>
    </row>
    <row r="28" customFormat="false" ht="14.25" hidden="false" customHeight="true" outlineLevel="0" collapsed="false">
      <c r="A28" s="9" t="s">
        <v>165</v>
      </c>
      <c r="B28" s="9" t="s">
        <v>166</v>
      </c>
      <c r="C28" s="39" t="n">
        <v>7</v>
      </c>
      <c r="D28" s="38" t="n">
        <v>29.79</v>
      </c>
      <c r="E28" s="41" t="s">
        <v>165</v>
      </c>
      <c r="F28" s="9"/>
    </row>
    <row r="29" customFormat="false" ht="14.25" hidden="false" customHeight="true" outlineLevel="0" collapsed="false">
      <c r="A29" s="9" t="s">
        <v>290</v>
      </c>
      <c r="B29" s="9" t="s">
        <v>291</v>
      </c>
      <c r="C29" s="39" t="n">
        <v>0</v>
      </c>
      <c r="D29" s="38" t="n">
        <v>0</v>
      </c>
      <c r="E29" s="41" t="s">
        <v>290</v>
      </c>
      <c r="F29" s="9"/>
    </row>
    <row r="30" customFormat="false" ht="14.25" hidden="false" customHeight="true" outlineLevel="0" collapsed="false">
      <c r="A30" s="9" t="s">
        <v>167</v>
      </c>
      <c r="B30" s="9" t="s">
        <v>168</v>
      </c>
      <c r="C30" s="39" t="n">
        <v>0</v>
      </c>
      <c r="D30" s="38" t="n">
        <v>0</v>
      </c>
      <c r="E30" s="41" t="s">
        <v>167</v>
      </c>
      <c r="F30" s="9"/>
    </row>
    <row r="31" customFormat="false" ht="14.25" hidden="false" customHeight="true" outlineLevel="0" collapsed="false">
      <c r="A31" s="9" t="s">
        <v>169</v>
      </c>
      <c r="B31" s="9" t="s">
        <v>170</v>
      </c>
      <c r="C31" s="39" t="n">
        <v>22</v>
      </c>
      <c r="D31" s="38" t="n">
        <v>94.37</v>
      </c>
      <c r="E31" s="41" t="s">
        <v>169</v>
      </c>
      <c r="F31" s="9"/>
    </row>
    <row r="32" customFormat="false" ht="14.25" hidden="false" customHeight="true" outlineLevel="0" collapsed="false">
      <c r="A32" s="9" t="s">
        <v>369</v>
      </c>
      <c r="B32" s="9" t="s">
        <v>586</v>
      </c>
      <c r="C32" s="39" t="n">
        <v>5</v>
      </c>
      <c r="D32" s="38" t="n">
        <v>9.88</v>
      </c>
      <c r="E32" s="41" t="s">
        <v>369</v>
      </c>
      <c r="F32" s="9"/>
    </row>
    <row r="33" customFormat="false" ht="14.25" hidden="false" customHeight="true" outlineLevel="0" collapsed="false">
      <c r="A33" s="9" t="s">
        <v>373</v>
      </c>
      <c r="B33" s="9" t="s">
        <v>374</v>
      </c>
      <c r="C33" s="39" t="n">
        <v>9</v>
      </c>
      <c r="D33" s="38" t="n">
        <v>16.49</v>
      </c>
      <c r="E33" s="41" t="s">
        <v>373</v>
      </c>
      <c r="F33" s="9"/>
    </row>
    <row r="34" customFormat="false" ht="14.25" hidden="false" customHeight="true" outlineLevel="0" collapsed="false">
      <c r="A34" s="9" t="s">
        <v>371</v>
      </c>
      <c r="B34" s="9" t="s">
        <v>587</v>
      </c>
      <c r="C34" s="39" t="n">
        <v>42</v>
      </c>
      <c r="D34" s="38" t="n">
        <v>60.53</v>
      </c>
      <c r="E34" s="41" t="s">
        <v>371</v>
      </c>
      <c r="F34" s="9"/>
    </row>
    <row r="35" customFormat="false" ht="14.25" hidden="false" customHeight="true" outlineLevel="0" collapsed="false">
      <c r="A35" s="9" t="s">
        <v>200</v>
      </c>
      <c r="B35" s="9" t="s">
        <v>201</v>
      </c>
      <c r="C35" s="39" t="n">
        <v>8</v>
      </c>
      <c r="D35" s="38" t="n">
        <v>31.32</v>
      </c>
      <c r="E35" s="41" t="s">
        <v>200</v>
      </c>
      <c r="F35" s="9"/>
    </row>
    <row r="36" customFormat="false" ht="14.25" hidden="false" customHeight="true" outlineLevel="0" collapsed="false">
      <c r="A36" s="9" t="s">
        <v>196</v>
      </c>
      <c r="B36" s="9" t="s">
        <v>197</v>
      </c>
      <c r="C36" s="39" t="n">
        <v>28</v>
      </c>
      <c r="D36" s="38" t="n">
        <v>115.9</v>
      </c>
      <c r="E36" s="41" t="s">
        <v>196</v>
      </c>
      <c r="F36" s="9"/>
    </row>
    <row r="37" customFormat="false" ht="14.25" hidden="false" customHeight="true" outlineLevel="0" collapsed="false">
      <c r="A37" s="9" t="s">
        <v>198</v>
      </c>
      <c r="B37" s="9" t="s">
        <v>199</v>
      </c>
      <c r="C37" s="39" t="n">
        <v>8</v>
      </c>
      <c r="D37" s="38" t="n">
        <v>31.24</v>
      </c>
      <c r="E37" s="41" t="s">
        <v>198</v>
      </c>
      <c r="F37" s="9"/>
    </row>
    <row r="38" customFormat="false" ht="14.25" hidden="false" customHeight="true" outlineLevel="0" collapsed="false">
      <c r="A38" s="9" t="s">
        <v>77</v>
      </c>
      <c r="B38" s="9" t="s">
        <v>78</v>
      </c>
      <c r="C38" s="39" t="n">
        <v>5</v>
      </c>
      <c r="D38" s="38" t="n">
        <v>20.15</v>
      </c>
      <c r="E38" s="41" t="s">
        <v>77</v>
      </c>
      <c r="F38" s="9"/>
    </row>
    <row r="39" customFormat="false" ht="14.25" hidden="false" customHeight="true" outlineLevel="0" collapsed="false">
      <c r="A39" s="9" t="s">
        <v>87</v>
      </c>
      <c r="B39" s="9" t="s">
        <v>88</v>
      </c>
      <c r="C39" s="39" t="n">
        <v>5</v>
      </c>
      <c r="D39" s="38" t="n">
        <v>23.29</v>
      </c>
      <c r="E39" s="41" t="s">
        <v>87</v>
      </c>
      <c r="F39" s="9"/>
    </row>
    <row r="40" customFormat="false" ht="14.25" hidden="false" customHeight="true" outlineLevel="0" collapsed="false">
      <c r="A40" s="9" t="s">
        <v>83</v>
      </c>
      <c r="B40" s="9" t="s">
        <v>84</v>
      </c>
      <c r="C40" s="39" t="n">
        <v>33</v>
      </c>
      <c r="D40" s="38" t="n">
        <v>137.85</v>
      </c>
      <c r="E40" s="41" t="s">
        <v>83</v>
      </c>
      <c r="F40" s="9"/>
    </row>
    <row r="41" customFormat="false" ht="14.25" hidden="false" customHeight="true" outlineLevel="0" collapsed="false">
      <c r="A41" s="9" t="s">
        <v>85</v>
      </c>
      <c r="B41" s="9" t="s">
        <v>86</v>
      </c>
      <c r="C41" s="39" t="n">
        <v>5</v>
      </c>
      <c r="D41" s="38" t="n">
        <v>21.47</v>
      </c>
      <c r="E41" s="41" t="s">
        <v>85</v>
      </c>
      <c r="F41" s="9"/>
    </row>
    <row r="42" customFormat="false" ht="14.25" hidden="false" customHeight="true" outlineLevel="0" collapsed="false">
      <c r="A42" s="9" t="s">
        <v>89</v>
      </c>
      <c r="B42" s="9" t="s">
        <v>90</v>
      </c>
      <c r="C42" s="39" t="n">
        <v>15</v>
      </c>
      <c r="D42" s="38" t="n">
        <v>58.96</v>
      </c>
      <c r="E42" s="41" t="s">
        <v>89</v>
      </c>
      <c r="F42" s="9"/>
    </row>
    <row r="43" customFormat="false" ht="14.25" hidden="false" customHeight="true" outlineLevel="0" collapsed="false">
      <c r="A43" s="9" t="s">
        <v>81</v>
      </c>
      <c r="B43" s="9" t="s">
        <v>82</v>
      </c>
      <c r="C43" s="39" t="n">
        <v>6</v>
      </c>
      <c r="D43" s="38" t="n">
        <v>24.59</v>
      </c>
      <c r="E43" s="41" t="s">
        <v>81</v>
      </c>
      <c r="F43" s="9"/>
    </row>
    <row r="44" customFormat="false" ht="14.25" hidden="false" customHeight="true" outlineLevel="0" collapsed="false">
      <c r="A44" s="9" t="s">
        <v>93</v>
      </c>
      <c r="B44" s="9" t="s">
        <v>94</v>
      </c>
      <c r="C44" s="39" t="n">
        <v>19</v>
      </c>
      <c r="D44" s="38" t="n">
        <v>81.3</v>
      </c>
      <c r="E44" s="41" t="s">
        <v>93</v>
      </c>
      <c r="F44" s="9"/>
    </row>
    <row r="45" customFormat="false" ht="14.25" hidden="false" customHeight="true" outlineLevel="0" collapsed="false">
      <c r="A45" s="9" t="s">
        <v>91</v>
      </c>
      <c r="B45" s="9" t="s">
        <v>92</v>
      </c>
      <c r="C45" s="39" t="n">
        <v>11</v>
      </c>
      <c r="D45" s="38" t="n">
        <v>49.17</v>
      </c>
      <c r="E45" s="41" t="s">
        <v>91</v>
      </c>
      <c r="F45" s="9"/>
    </row>
    <row r="46" customFormat="false" ht="14.25" hidden="false" customHeight="true" outlineLevel="0" collapsed="false">
      <c r="A46" s="9" t="s">
        <v>376</v>
      </c>
      <c r="B46" s="9" t="s">
        <v>588</v>
      </c>
      <c r="C46" s="39" t="n">
        <v>1</v>
      </c>
      <c r="D46" s="38" t="n">
        <v>1.58</v>
      </c>
      <c r="E46" s="41" t="s">
        <v>376</v>
      </c>
      <c r="F46" s="9"/>
    </row>
    <row r="47" customFormat="false" ht="14.25" hidden="false" customHeight="true" outlineLevel="0" collapsed="false">
      <c r="A47" s="9" t="s">
        <v>484</v>
      </c>
      <c r="B47" s="9" t="s">
        <v>485</v>
      </c>
      <c r="C47" s="39" t="n">
        <v>5</v>
      </c>
      <c r="D47" s="38" t="n">
        <v>9.46</v>
      </c>
      <c r="E47" s="41" t="s">
        <v>484</v>
      </c>
      <c r="F47" s="9"/>
    </row>
    <row r="48" customFormat="false" ht="14.25" hidden="false" customHeight="true" outlineLevel="0" collapsed="false">
      <c r="A48" s="9" t="s">
        <v>210</v>
      </c>
      <c r="B48" s="9" t="s">
        <v>211</v>
      </c>
      <c r="C48" s="39" t="n">
        <v>15</v>
      </c>
      <c r="D48" s="38" t="n">
        <v>61.15</v>
      </c>
      <c r="E48" s="41" t="s">
        <v>210</v>
      </c>
      <c r="F48" s="9"/>
    </row>
    <row r="49" customFormat="false" ht="14.25" hidden="false" customHeight="true" outlineLevel="0" collapsed="false">
      <c r="A49" s="9" t="s">
        <v>212</v>
      </c>
      <c r="B49" s="9" t="s">
        <v>213</v>
      </c>
      <c r="C49" s="39" t="n">
        <v>11</v>
      </c>
      <c r="D49" s="38" t="n">
        <v>47.33</v>
      </c>
      <c r="E49" s="41" t="s">
        <v>212</v>
      </c>
      <c r="F49" s="9"/>
    </row>
    <row r="50" customFormat="false" ht="14.25" hidden="false" customHeight="true" outlineLevel="0" collapsed="false">
      <c r="A50" s="9" t="s">
        <v>282</v>
      </c>
      <c r="B50" s="9" t="s">
        <v>283</v>
      </c>
      <c r="C50" s="39" t="n">
        <v>0</v>
      </c>
      <c r="D50" s="38" t="n">
        <v>0</v>
      </c>
      <c r="E50" s="41" t="s">
        <v>282</v>
      </c>
      <c r="F50" s="9"/>
    </row>
    <row r="51" customFormat="false" ht="14.25" hidden="false" customHeight="true" outlineLevel="0" collapsed="false">
      <c r="A51" s="9" t="s">
        <v>280</v>
      </c>
      <c r="B51" s="9" t="s">
        <v>281</v>
      </c>
      <c r="C51" s="39" t="n">
        <v>2</v>
      </c>
      <c r="D51" s="38" t="n">
        <v>12.8</v>
      </c>
      <c r="E51" s="41" t="s">
        <v>280</v>
      </c>
      <c r="F51" s="9"/>
    </row>
    <row r="52" customFormat="false" ht="14.25" hidden="false" customHeight="true" outlineLevel="0" collapsed="false">
      <c r="A52" s="9" t="s">
        <v>288</v>
      </c>
      <c r="B52" s="9" t="s">
        <v>289</v>
      </c>
      <c r="C52" s="39" t="n">
        <v>1</v>
      </c>
      <c r="D52" s="38" t="n">
        <v>4.74</v>
      </c>
      <c r="E52" s="41" t="s">
        <v>288</v>
      </c>
      <c r="F52" s="9"/>
    </row>
    <row r="53" customFormat="false" ht="14.25" hidden="false" customHeight="true" outlineLevel="0" collapsed="false">
      <c r="A53" s="9" t="s">
        <v>284</v>
      </c>
      <c r="B53" s="9" t="s">
        <v>285</v>
      </c>
      <c r="C53" s="39" t="n">
        <v>1</v>
      </c>
      <c r="D53" s="38" t="n">
        <v>3.3</v>
      </c>
      <c r="E53" s="41" t="s">
        <v>284</v>
      </c>
      <c r="F53" s="9"/>
    </row>
    <row r="54" customFormat="false" ht="14.25" hidden="false" customHeight="true" outlineLevel="0" collapsed="false">
      <c r="A54" s="9" t="s">
        <v>286</v>
      </c>
      <c r="B54" s="9" t="s">
        <v>287</v>
      </c>
      <c r="C54" s="39" t="n">
        <v>2</v>
      </c>
      <c r="D54" s="38" t="n">
        <v>7.36</v>
      </c>
      <c r="E54" s="41" t="s">
        <v>286</v>
      </c>
      <c r="F54" s="9"/>
    </row>
    <row r="55" customFormat="false" ht="14.25" hidden="false" customHeight="true" outlineLevel="0" collapsed="false">
      <c r="A55" s="9" t="s">
        <v>101</v>
      </c>
      <c r="B55" s="9" t="s">
        <v>102</v>
      </c>
      <c r="C55" s="39" t="n">
        <v>6</v>
      </c>
      <c r="D55" s="38" t="n">
        <v>23.9</v>
      </c>
      <c r="E55" s="41" t="s">
        <v>101</v>
      </c>
      <c r="F55" s="9"/>
    </row>
    <row r="56" customFormat="false" ht="14.25" hidden="false" customHeight="true" outlineLevel="0" collapsed="false">
      <c r="A56" s="9" t="s">
        <v>99</v>
      </c>
      <c r="B56" s="9" t="s">
        <v>100</v>
      </c>
      <c r="C56" s="39" t="n">
        <v>4</v>
      </c>
      <c r="D56" s="38" t="n">
        <v>15.56</v>
      </c>
      <c r="E56" s="41" t="s">
        <v>99</v>
      </c>
      <c r="F56" s="9"/>
    </row>
    <row r="57" customFormat="false" ht="14.25" hidden="false" customHeight="true" outlineLevel="0" collapsed="false">
      <c r="A57" s="9" t="s">
        <v>276</v>
      </c>
      <c r="B57" s="9" t="s">
        <v>277</v>
      </c>
      <c r="C57" s="39" t="n">
        <v>0</v>
      </c>
      <c r="D57" s="38" t="n">
        <v>0</v>
      </c>
      <c r="E57" s="41" t="s">
        <v>276</v>
      </c>
      <c r="F57" s="9"/>
    </row>
    <row r="58" customFormat="false" ht="14.25" hidden="false" customHeight="true" outlineLevel="0" collapsed="false">
      <c r="A58" s="9" t="s">
        <v>103</v>
      </c>
      <c r="B58" s="9" t="s">
        <v>104</v>
      </c>
      <c r="C58" s="39" t="n">
        <v>10</v>
      </c>
      <c r="D58" s="38" t="n">
        <v>33.37</v>
      </c>
      <c r="E58" s="41" t="s">
        <v>103</v>
      </c>
      <c r="F58" s="9"/>
    </row>
    <row r="59" customFormat="false" ht="14.25" hidden="false" customHeight="true" outlineLevel="0" collapsed="false">
      <c r="A59" s="9" t="s">
        <v>105</v>
      </c>
      <c r="B59" s="9" t="s">
        <v>106</v>
      </c>
      <c r="C59" s="39" t="n">
        <v>6</v>
      </c>
      <c r="D59" s="38" t="n">
        <v>24.23</v>
      </c>
      <c r="E59" s="41" t="s">
        <v>105</v>
      </c>
      <c r="F59" s="9"/>
    </row>
    <row r="60" customFormat="false" ht="14.25" hidden="false" customHeight="true" outlineLevel="0" collapsed="false">
      <c r="A60" s="9" t="s">
        <v>589</v>
      </c>
      <c r="B60" s="9" t="s">
        <v>590</v>
      </c>
      <c r="C60" s="39" t="n">
        <v>4</v>
      </c>
      <c r="D60" s="38" t="n">
        <v>17.73</v>
      </c>
      <c r="E60" s="41" t="s">
        <v>202</v>
      </c>
      <c r="F60" s="9" t="s">
        <v>555</v>
      </c>
    </row>
    <row r="61" customFormat="false" ht="14.25" hidden="false" customHeight="true" outlineLevel="0" collapsed="false">
      <c r="A61" s="9" t="s">
        <v>97</v>
      </c>
      <c r="B61" s="9" t="s">
        <v>591</v>
      </c>
      <c r="C61" s="39" t="n">
        <v>1</v>
      </c>
      <c r="D61" s="38" t="n">
        <v>2.13</v>
      </c>
      <c r="E61" s="41" t="s">
        <v>97</v>
      </c>
      <c r="F61" s="9"/>
    </row>
    <row r="62" customFormat="false" ht="14.25" hidden="false" customHeight="true" outlineLevel="0" collapsed="false">
      <c r="A62" s="9" t="s">
        <v>480</v>
      </c>
      <c r="B62" s="9" t="s">
        <v>481</v>
      </c>
      <c r="C62" s="39" t="n">
        <v>7</v>
      </c>
      <c r="D62" s="38" t="n">
        <v>15.8</v>
      </c>
      <c r="E62" s="41" t="s">
        <v>480</v>
      </c>
      <c r="F62" s="9"/>
    </row>
    <row r="63" customFormat="false" ht="14.25" hidden="false" customHeight="true" outlineLevel="0" collapsed="false">
      <c r="A63" s="9" t="s">
        <v>192</v>
      </c>
      <c r="B63" s="9" t="s">
        <v>525</v>
      </c>
      <c r="C63" s="39" t="n">
        <v>1</v>
      </c>
      <c r="D63" s="38" t="n">
        <v>3.59</v>
      </c>
      <c r="E63" s="41" t="s">
        <v>192</v>
      </c>
      <c r="F63" s="9"/>
    </row>
    <row r="64" customFormat="false" ht="14.25" hidden="false" customHeight="true" outlineLevel="0" collapsed="false">
      <c r="A64" s="9" t="s">
        <v>325</v>
      </c>
      <c r="B64" s="9" t="s">
        <v>326</v>
      </c>
      <c r="C64" s="39" t="n">
        <v>1</v>
      </c>
      <c r="D64" s="38" t="n">
        <v>3.23</v>
      </c>
      <c r="E64" s="41" t="s">
        <v>325</v>
      </c>
      <c r="F64" s="9"/>
    </row>
    <row r="65" customFormat="false" ht="14.25" hidden="false" customHeight="true" outlineLevel="0" collapsed="false">
      <c r="A65" s="9" t="s">
        <v>186</v>
      </c>
      <c r="B65" s="9" t="s">
        <v>187</v>
      </c>
      <c r="C65" s="39" t="n">
        <v>5</v>
      </c>
      <c r="D65" s="38" t="n">
        <v>18.01</v>
      </c>
      <c r="E65" s="41" t="s">
        <v>186</v>
      </c>
      <c r="F65" s="9"/>
    </row>
    <row r="66" customFormat="false" ht="14.25" hidden="false" customHeight="true" outlineLevel="0" collapsed="false">
      <c r="A66" s="9" t="s">
        <v>188</v>
      </c>
      <c r="B66" s="9" t="s">
        <v>189</v>
      </c>
      <c r="C66" s="39" t="n">
        <v>10</v>
      </c>
      <c r="D66" s="38" t="n">
        <v>36.62</v>
      </c>
      <c r="E66" s="41" t="s">
        <v>188</v>
      </c>
      <c r="F66" s="9"/>
    </row>
    <row r="67" customFormat="false" ht="14.25" hidden="false" customHeight="true" outlineLevel="0" collapsed="false">
      <c r="A67" s="9" t="s">
        <v>190</v>
      </c>
      <c r="B67" s="9" t="s">
        <v>191</v>
      </c>
      <c r="C67" s="39" t="n">
        <v>0</v>
      </c>
      <c r="D67" s="38" t="n">
        <v>0</v>
      </c>
      <c r="E67" s="41" t="s">
        <v>190</v>
      </c>
      <c r="F67" s="9"/>
    </row>
    <row r="68" customFormat="false" ht="14.25" hidden="false" customHeight="true" outlineLevel="0" collapsed="false">
      <c r="A68" s="9" t="s">
        <v>151</v>
      </c>
      <c r="B68" s="9" t="s">
        <v>152</v>
      </c>
      <c r="C68" s="39" t="n">
        <v>13</v>
      </c>
      <c r="D68" s="38" t="n">
        <v>50.92</v>
      </c>
      <c r="E68" s="41" t="s">
        <v>151</v>
      </c>
      <c r="F68" s="9"/>
    </row>
    <row r="69" customFormat="false" ht="14.25" hidden="false" customHeight="true" outlineLevel="0" collapsed="false">
      <c r="A69" s="9" t="s">
        <v>272</v>
      </c>
      <c r="B69" s="9" t="s">
        <v>273</v>
      </c>
      <c r="C69" s="39" t="n">
        <v>7</v>
      </c>
      <c r="D69" s="38" t="n">
        <v>27.47</v>
      </c>
      <c r="E69" s="41" t="s">
        <v>272</v>
      </c>
      <c r="F69" s="9"/>
    </row>
    <row r="70" customFormat="false" ht="14.25" hidden="false" customHeight="true" outlineLevel="0" collapsed="false">
      <c r="A70" s="9" t="s">
        <v>149</v>
      </c>
      <c r="B70" s="9" t="s">
        <v>150</v>
      </c>
      <c r="C70" s="39" t="n">
        <v>14</v>
      </c>
      <c r="D70" s="38" t="n">
        <v>52.54</v>
      </c>
      <c r="E70" s="41" t="s">
        <v>149</v>
      </c>
      <c r="F70" s="9"/>
    </row>
    <row r="71" customFormat="false" ht="14.25" hidden="false" customHeight="true" outlineLevel="0" collapsed="false">
      <c r="A71" s="9" t="s">
        <v>155</v>
      </c>
      <c r="B71" s="9" t="s">
        <v>156</v>
      </c>
      <c r="C71" s="39" t="n">
        <v>5</v>
      </c>
      <c r="D71" s="38" t="n">
        <v>23.95</v>
      </c>
      <c r="E71" s="41" t="s">
        <v>155</v>
      </c>
      <c r="F71" s="9"/>
    </row>
    <row r="72" customFormat="false" ht="14.25" hidden="false" customHeight="true" outlineLevel="0" collapsed="false">
      <c r="A72" s="9" t="s">
        <v>386</v>
      </c>
      <c r="B72" s="9" t="s">
        <v>387</v>
      </c>
      <c r="C72" s="39" t="n">
        <v>4</v>
      </c>
      <c r="D72" s="38" t="n">
        <v>7.67</v>
      </c>
      <c r="E72" s="41" t="s">
        <v>386</v>
      </c>
      <c r="F72" s="9"/>
    </row>
    <row r="73" customFormat="false" ht="14.25" hidden="false" customHeight="true" outlineLevel="0" collapsed="false">
      <c r="A73" s="9" t="s">
        <v>95</v>
      </c>
      <c r="B73" s="9" t="s">
        <v>96</v>
      </c>
      <c r="C73" s="39" t="n">
        <v>12</v>
      </c>
      <c r="D73" s="38" t="n">
        <v>48.45</v>
      </c>
      <c r="E73" s="41" t="s">
        <v>95</v>
      </c>
      <c r="F73" s="9"/>
    </row>
    <row r="74" customFormat="false" ht="14.25" hidden="false" customHeight="true" outlineLevel="0" collapsed="false">
      <c r="A74" s="9" t="s">
        <v>268</v>
      </c>
      <c r="B74" s="9" t="s">
        <v>269</v>
      </c>
      <c r="C74" s="39" t="n">
        <v>0</v>
      </c>
      <c r="D74" s="38" t="n">
        <v>0</v>
      </c>
      <c r="E74" s="41" t="s">
        <v>268</v>
      </c>
      <c r="F74" s="9"/>
    </row>
    <row r="75" customFormat="false" ht="14.25" hidden="false" customHeight="true" outlineLevel="0" collapsed="false">
      <c r="A75" s="9" t="s">
        <v>133</v>
      </c>
      <c r="B75" s="9" t="s">
        <v>592</v>
      </c>
      <c r="C75" s="39" t="n">
        <v>8</v>
      </c>
      <c r="D75" s="38" t="n">
        <v>30.25</v>
      </c>
      <c r="E75" s="41" t="s">
        <v>133</v>
      </c>
      <c r="F75" s="9"/>
    </row>
    <row r="76" customFormat="false" ht="14.25" hidden="false" customHeight="true" outlineLevel="0" collapsed="false">
      <c r="A76" s="9" t="s">
        <v>390</v>
      </c>
      <c r="B76" s="9" t="s">
        <v>560</v>
      </c>
      <c r="C76" s="39" t="n">
        <v>21</v>
      </c>
      <c r="D76" s="38" t="n">
        <v>41.8</v>
      </c>
      <c r="E76" s="41" t="s">
        <v>390</v>
      </c>
      <c r="F76" s="9"/>
    </row>
    <row r="77" customFormat="false" ht="14.25" hidden="false" customHeight="true" outlineLevel="0" collapsed="false">
      <c r="A77" s="9" t="s">
        <v>388</v>
      </c>
      <c r="B77" s="9" t="s">
        <v>389</v>
      </c>
      <c r="C77" s="39" t="n">
        <v>26</v>
      </c>
      <c r="D77" s="38" t="n">
        <v>51.45</v>
      </c>
      <c r="E77" s="41" t="s">
        <v>388</v>
      </c>
      <c r="F77" s="9"/>
    </row>
    <row r="78" customFormat="false" ht="14.25" hidden="false" customHeight="true" outlineLevel="0" collapsed="false">
      <c r="A78" s="9" t="s">
        <v>400</v>
      </c>
      <c r="B78" s="9" t="s">
        <v>401</v>
      </c>
      <c r="C78" s="39" t="n">
        <v>14</v>
      </c>
      <c r="D78" s="38" t="n">
        <v>26.53</v>
      </c>
      <c r="E78" s="41" t="s">
        <v>400</v>
      </c>
      <c r="F78" s="9"/>
    </row>
    <row r="79" customFormat="false" ht="14.25" hidden="false" customHeight="true" outlineLevel="0" collapsed="false">
      <c r="A79" s="9" t="s">
        <v>113</v>
      </c>
      <c r="B79" s="9" t="s">
        <v>114</v>
      </c>
      <c r="C79" s="39" t="n">
        <v>11</v>
      </c>
      <c r="D79" s="38" t="n">
        <v>51.46</v>
      </c>
      <c r="E79" s="41" t="s">
        <v>113</v>
      </c>
      <c r="F79" s="9"/>
    </row>
    <row r="80" customFormat="false" ht="14.25" hidden="false" customHeight="true" outlineLevel="0" collapsed="false">
      <c r="A80" s="9" t="s">
        <v>111</v>
      </c>
      <c r="B80" s="9" t="s">
        <v>112</v>
      </c>
      <c r="C80" s="39" t="n">
        <v>16</v>
      </c>
      <c r="D80" s="38" t="n">
        <v>67.4</v>
      </c>
      <c r="E80" s="41" t="s">
        <v>111</v>
      </c>
      <c r="F80" s="9"/>
    </row>
    <row r="81" customFormat="false" ht="14.25" hidden="false" customHeight="true" outlineLevel="0" collapsed="false">
      <c r="A81" s="9" t="s">
        <v>131</v>
      </c>
      <c r="B81" s="9" t="s">
        <v>514</v>
      </c>
      <c r="C81" s="39" t="n">
        <v>7</v>
      </c>
      <c r="D81" s="38" t="n">
        <v>29.66</v>
      </c>
      <c r="E81" s="41" t="s">
        <v>131</v>
      </c>
      <c r="F81" s="9"/>
    </row>
    <row r="82" customFormat="false" ht="14.25" hidden="false" customHeight="true" outlineLevel="0" collapsed="false">
      <c r="A82" s="9" t="s">
        <v>121</v>
      </c>
      <c r="B82" s="9" t="s">
        <v>593</v>
      </c>
      <c r="C82" s="39" t="n">
        <v>12</v>
      </c>
      <c r="D82" s="38" t="n">
        <v>53.68</v>
      </c>
      <c r="E82" s="41" t="s">
        <v>121</v>
      </c>
      <c r="F82" s="9"/>
    </row>
    <row r="83" customFormat="false" ht="14.25" hidden="false" customHeight="true" outlineLevel="0" collapsed="false">
      <c r="A83" s="9" t="s">
        <v>123</v>
      </c>
      <c r="B83" s="9" t="s">
        <v>594</v>
      </c>
      <c r="C83" s="39" t="n">
        <v>8</v>
      </c>
      <c r="D83" s="38" t="n">
        <v>42.63</v>
      </c>
      <c r="E83" s="41" t="s">
        <v>123</v>
      </c>
      <c r="F83" s="9"/>
    </row>
    <row r="84" customFormat="false" ht="14.25" hidden="false" customHeight="true" outlineLevel="0" collapsed="false">
      <c r="A84" s="9" t="s">
        <v>125</v>
      </c>
      <c r="B84" s="9" t="s">
        <v>595</v>
      </c>
      <c r="C84" s="39" t="n">
        <v>6</v>
      </c>
      <c r="D84" s="38" t="n">
        <v>26.3</v>
      </c>
      <c r="E84" s="41" t="s">
        <v>125</v>
      </c>
      <c r="F84" s="9"/>
    </row>
    <row r="85" customFormat="false" ht="14.25" hidden="false" customHeight="true" outlineLevel="0" collapsed="false">
      <c r="A85" s="9" t="s">
        <v>127</v>
      </c>
      <c r="B85" s="9" t="s">
        <v>596</v>
      </c>
      <c r="C85" s="39" t="n">
        <v>9</v>
      </c>
      <c r="D85" s="38" t="n">
        <v>38.67</v>
      </c>
      <c r="E85" s="41" t="s">
        <v>127</v>
      </c>
      <c r="F85" s="9"/>
    </row>
    <row r="86" customFormat="false" ht="14.25" hidden="false" customHeight="true" outlineLevel="0" collapsed="false">
      <c r="A86" s="9" t="s">
        <v>597</v>
      </c>
      <c r="B86" s="9" t="s">
        <v>598</v>
      </c>
      <c r="C86" s="39" t="n">
        <v>5</v>
      </c>
      <c r="D86" s="38" t="n">
        <v>20.19</v>
      </c>
      <c r="E86" s="41" t="s">
        <v>129</v>
      </c>
      <c r="F86" s="9" t="s">
        <v>599</v>
      </c>
    </row>
    <row r="87" customFormat="false" ht="14.25" hidden="false" customHeight="true" outlineLevel="0" collapsed="false">
      <c r="A87" s="9" t="s">
        <v>115</v>
      </c>
      <c r="B87" s="9" t="s">
        <v>511</v>
      </c>
      <c r="C87" s="39" t="n">
        <v>8</v>
      </c>
      <c r="D87" s="38" t="n">
        <v>32.74</v>
      </c>
      <c r="E87" s="41" t="s">
        <v>115</v>
      </c>
      <c r="F87" s="9"/>
    </row>
    <row r="88" customFormat="false" ht="14.25" hidden="false" customHeight="true" outlineLevel="0" collapsed="false">
      <c r="A88" s="9" t="s">
        <v>117</v>
      </c>
      <c r="B88" s="9" t="s">
        <v>513</v>
      </c>
      <c r="C88" s="39" t="n">
        <v>9</v>
      </c>
      <c r="D88" s="38" t="n">
        <v>41.16</v>
      </c>
      <c r="E88" s="41" t="s">
        <v>117</v>
      </c>
      <c r="F88" s="9"/>
    </row>
    <row r="89" customFormat="false" ht="14.25" hidden="false" customHeight="true" outlineLevel="0" collapsed="false">
      <c r="A89" s="9" t="s">
        <v>119</v>
      </c>
      <c r="B89" s="9" t="s">
        <v>600</v>
      </c>
      <c r="C89" s="39" t="n">
        <v>7</v>
      </c>
      <c r="D89" s="38" t="n">
        <v>30.96</v>
      </c>
      <c r="E89" s="41" t="s">
        <v>119</v>
      </c>
      <c r="F89" s="9"/>
    </row>
    <row r="90" customFormat="false" ht="14.25" hidden="false" customHeight="true" outlineLevel="0" collapsed="false">
      <c r="A90" s="9" t="s">
        <v>472</v>
      </c>
      <c r="B90" s="9" t="s">
        <v>473</v>
      </c>
      <c r="C90" s="39" t="n">
        <v>4</v>
      </c>
      <c r="D90" s="38" t="n">
        <v>7.82</v>
      </c>
      <c r="E90" s="41" t="s">
        <v>472</v>
      </c>
      <c r="F90" s="9"/>
    </row>
    <row r="91" customFormat="false" ht="14.25" hidden="false" customHeight="true" outlineLevel="0" collapsed="false">
      <c r="A91" s="9" t="s">
        <v>402</v>
      </c>
      <c r="B91" s="9" t="s">
        <v>601</v>
      </c>
      <c r="C91" s="39" t="n">
        <v>8</v>
      </c>
      <c r="D91" s="38" t="n">
        <v>16.4</v>
      </c>
      <c r="E91" s="41" t="s">
        <v>402</v>
      </c>
      <c r="F91" s="9"/>
    </row>
    <row r="92" customFormat="false" ht="14.25" hidden="false" customHeight="true" outlineLevel="0" collapsed="false">
      <c r="A92" s="9" t="s">
        <v>107</v>
      </c>
      <c r="B92" s="9" t="s">
        <v>108</v>
      </c>
      <c r="C92" s="39" t="n">
        <v>31</v>
      </c>
      <c r="D92" s="38" t="n">
        <v>109.15</v>
      </c>
      <c r="E92" s="41" t="s">
        <v>107</v>
      </c>
      <c r="F92" s="9"/>
    </row>
    <row r="93" customFormat="false" ht="14.25" hidden="false" customHeight="true" outlineLevel="0" collapsed="false">
      <c r="A93" s="9" t="s">
        <v>292</v>
      </c>
      <c r="B93" s="9" t="s">
        <v>293</v>
      </c>
      <c r="C93" s="39" t="n">
        <v>11</v>
      </c>
      <c r="D93" s="38" t="n">
        <v>49.05</v>
      </c>
      <c r="E93" s="41" t="s">
        <v>292</v>
      </c>
      <c r="F93" s="9"/>
    </row>
    <row r="94" customFormat="false" ht="14.25" hidden="false" customHeight="true" outlineLevel="0" collapsed="false">
      <c r="A94" s="9" t="s">
        <v>296</v>
      </c>
      <c r="B94" s="9" t="s">
        <v>297</v>
      </c>
      <c r="C94" s="39" t="n">
        <v>11</v>
      </c>
      <c r="D94" s="38" t="n">
        <v>41.97</v>
      </c>
      <c r="E94" s="41" t="s">
        <v>296</v>
      </c>
      <c r="F94" s="9"/>
    </row>
    <row r="95" customFormat="false" ht="14.25" hidden="false" customHeight="true" outlineLevel="0" collapsed="false">
      <c r="A95" s="9" t="s">
        <v>298</v>
      </c>
      <c r="B95" s="9" t="s">
        <v>299</v>
      </c>
      <c r="C95" s="39" t="n">
        <v>21</v>
      </c>
      <c r="D95" s="38" t="n">
        <v>76.56</v>
      </c>
      <c r="E95" s="41" t="s">
        <v>298</v>
      </c>
      <c r="F95" s="9"/>
    </row>
    <row r="96" customFormat="false" ht="14.25" hidden="false" customHeight="true" outlineLevel="0" collapsed="false">
      <c r="A96" s="9" t="s">
        <v>300</v>
      </c>
      <c r="B96" s="9" t="s">
        <v>301</v>
      </c>
      <c r="C96" s="39" t="n">
        <v>14</v>
      </c>
      <c r="D96" s="38" t="n">
        <v>56.34</v>
      </c>
      <c r="E96" s="41" t="s">
        <v>300</v>
      </c>
      <c r="F96" s="9"/>
    </row>
    <row r="97" customFormat="false" ht="14.25" hidden="false" customHeight="true" outlineLevel="0" collapsed="false">
      <c r="A97" s="9" t="s">
        <v>302</v>
      </c>
      <c r="B97" s="9" t="s">
        <v>303</v>
      </c>
      <c r="C97" s="39" t="n">
        <v>13</v>
      </c>
      <c r="D97" s="38" t="n">
        <v>56.54</v>
      </c>
      <c r="E97" s="41" t="s">
        <v>302</v>
      </c>
      <c r="F97" s="9"/>
    </row>
    <row r="98" customFormat="false" ht="14.25" hidden="false" customHeight="true" outlineLevel="0" collapsed="false">
      <c r="A98" s="9" t="s">
        <v>304</v>
      </c>
      <c r="B98" s="9" t="s">
        <v>305</v>
      </c>
      <c r="C98" s="39" t="n">
        <v>16</v>
      </c>
      <c r="D98" s="38" t="n">
        <v>61.15</v>
      </c>
      <c r="E98" s="41" t="s">
        <v>304</v>
      </c>
      <c r="F98" s="9"/>
    </row>
    <row r="99" customFormat="false" ht="14.25" hidden="false" customHeight="true" outlineLevel="0" collapsed="false">
      <c r="A99" s="9" t="s">
        <v>306</v>
      </c>
      <c r="B99" s="9" t="s">
        <v>307</v>
      </c>
      <c r="C99" s="39" t="n">
        <v>9</v>
      </c>
      <c r="D99" s="38" t="n">
        <v>38.8</v>
      </c>
      <c r="E99" s="41" t="s">
        <v>306</v>
      </c>
      <c r="F99" s="9"/>
    </row>
    <row r="100" customFormat="false" ht="14.25" hidden="false" customHeight="true" outlineLevel="0" collapsed="false">
      <c r="A100" s="9" t="s">
        <v>308</v>
      </c>
      <c r="B100" s="9" t="s">
        <v>309</v>
      </c>
      <c r="C100" s="39" t="n">
        <v>13</v>
      </c>
      <c r="D100" s="38" t="n">
        <v>59.48</v>
      </c>
      <c r="E100" s="41" t="s">
        <v>308</v>
      </c>
      <c r="F100" s="9"/>
    </row>
    <row r="101" customFormat="false" ht="14.25" hidden="false" customHeight="true" outlineLevel="0" collapsed="false">
      <c r="A101" s="9" t="s">
        <v>310</v>
      </c>
      <c r="B101" s="9" t="s">
        <v>311</v>
      </c>
      <c r="C101" s="39" t="n">
        <v>9</v>
      </c>
      <c r="D101" s="38" t="n">
        <v>38.38</v>
      </c>
      <c r="E101" s="41" t="s">
        <v>310</v>
      </c>
      <c r="F101" s="9"/>
    </row>
    <row r="102" customFormat="false" ht="14.25" hidden="false" customHeight="true" outlineLevel="0" collapsed="false">
      <c r="A102" s="9" t="s">
        <v>312</v>
      </c>
      <c r="B102" s="9" t="s">
        <v>313</v>
      </c>
      <c r="C102" s="39" t="n">
        <v>44</v>
      </c>
      <c r="D102" s="38" t="n">
        <v>298.9</v>
      </c>
      <c r="E102" s="41" t="s">
        <v>312</v>
      </c>
      <c r="F102" s="9"/>
    </row>
    <row r="103" customFormat="false" ht="14.25" hidden="false" customHeight="true" outlineLevel="0" collapsed="false">
      <c r="A103" s="9" t="s">
        <v>488</v>
      </c>
      <c r="B103" s="9" t="s">
        <v>489</v>
      </c>
      <c r="C103" s="39" t="n">
        <v>9</v>
      </c>
      <c r="D103" s="38" t="n">
        <v>17.62</v>
      </c>
      <c r="E103" s="41" t="s">
        <v>488</v>
      </c>
      <c r="F103" s="9"/>
    </row>
    <row r="104" customFormat="false" ht="14.25" hidden="false" customHeight="true" outlineLevel="0" collapsed="false">
      <c r="A104" s="9" t="s">
        <v>423</v>
      </c>
      <c r="B104" s="9" t="s">
        <v>424</v>
      </c>
      <c r="C104" s="39" t="n">
        <v>12</v>
      </c>
      <c r="D104" s="38" t="n">
        <v>27.25</v>
      </c>
      <c r="E104" s="41" t="s">
        <v>423</v>
      </c>
      <c r="F104" s="9"/>
    </row>
    <row r="105" customFormat="false" ht="14.25" hidden="false" customHeight="true" outlineLevel="0" collapsed="false">
      <c r="A105" s="9" t="s">
        <v>413</v>
      </c>
      <c r="B105" s="9" t="s">
        <v>414</v>
      </c>
      <c r="C105" s="39" t="n">
        <v>27</v>
      </c>
      <c r="D105" s="38" t="n">
        <v>49.36</v>
      </c>
      <c r="E105" s="41" t="s">
        <v>413</v>
      </c>
      <c r="F105" s="9"/>
    </row>
    <row r="106" customFormat="false" ht="14.25" hidden="false" customHeight="true" outlineLevel="0" collapsed="false">
      <c r="A106" s="9" t="s">
        <v>433</v>
      </c>
      <c r="B106" s="9" t="s">
        <v>434</v>
      </c>
      <c r="C106" s="39" t="n">
        <v>19</v>
      </c>
      <c r="D106" s="38" t="n">
        <v>29.65</v>
      </c>
      <c r="E106" s="41" t="s">
        <v>433</v>
      </c>
      <c r="F106" s="9"/>
    </row>
    <row r="107" customFormat="false" ht="14.25" hidden="false" customHeight="true" outlineLevel="0" collapsed="false">
      <c r="A107" s="9" t="s">
        <v>417</v>
      </c>
      <c r="B107" s="9" t="s">
        <v>418</v>
      </c>
      <c r="C107" s="39" t="n">
        <v>8</v>
      </c>
      <c r="D107" s="38" t="n">
        <v>14.2</v>
      </c>
      <c r="E107" s="41" t="s">
        <v>417</v>
      </c>
      <c r="F107" s="9"/>
    </row>
    <row r="108" customFormat="false" ht="14.25" hidden="false" customHeight="true" outlineLevel="0" collapsed="false">
      <c r="A108" s="9" t="s">
        <v>427</v>
      </c>
      <c r="B108" s="9" t="s">
        <v>428</v>
      </c>
      <c r="C108" s="39" t="n">
        <v>1</v>
      </c>
      <c r="D108" s="38" t="n">
        <v>2.18</v>
      </c>
      <c r="E108" s="41" t="s">
        <v>427</v>
      </c>
      <c r="F108" s="9"/>
    </row>
    <row r="109" customFormat="false" ht="14.25" hidden="false" customHeight="true" outlineLevel="0" collapsed="false">
      <c r="A109" s="9" t="s">
        <v>425</v>
      </c>
      <c r="B109" s="9" t="s">
        <v>426</v>
      </c>
      <c r="C109" s="39" t="n">
        <v>17</v>
      </c>
      <c r="D109" s="38" t="n">
        <v>34.1</v>
      </c>
      <c r="E109" s="41" t="s">
        <v>425</v>
      </c>
      <c r="F109" s="9"/>
    </row>
    <row r="110" customFormat="false" ht="14.25" hidden="false" customHeight="true" outlineLevel="0" collapsed="false">
      <c r="A110" s="9" t="s">
        <v>429</v>
      </c>
      <c r="B110" s="9" t="s">
        <v>430</v>
      </c>
      <c r="C110" s="39" t="n">
        <v>15</v>
      </c>
      <c r="D110" s="38" t="n">
        <v>29.89</v>
      </c>
      <c r="E110" s="41" t="s">
        <v>429</v>
      </c>
      <c r="F110" s="9"/>
    </row>
    <row r="111" customFormat="false" ht="14.25" hidden="false" customHeight="true" outlineLevel="0" collapsed="false">
      <c r="A111" s="9" t="s">
        <v>490</v>
      </c>
      <c r="B111" s="9" t="s">
        <v>491</v>
      </c>
      <c r="C111" s="39" t="n">
        <v>42</v>
      </c>
      <c r="D111" s="38" t="n">
        <v>80.21</v>
      </c>
      <c r="E111" s="41" t="s">
        <v>490</v>
      </c>
      <c r="F111" s="9"/>
    </row>
    <row r="112" customFormat="false" ht="14.25" hidden="false" customHeight="true" outlineLevel="0" collapsed="false">
      <c r="A112" s="9" t="s">
        <v>419</v>
      </c>
      <c r="B112" s="9" t="s">
        <v>420</v>
      </c>
      <c r="C112" s="39" t="n">
        <v>12</v>
      </c>
      <c r="D112" s="38" t="n">
        <v>24.01</v>
      </c>
      <c r="E112" s="41" t="s">
        <v>419</v>
      </c>
      <c r="F112" s="9"/>
    </row>
    <row r="113" customFormat="false" ht="14.25" hidden="false" customHeight="true" outlineLevel="0" collapsed="false">
      <c r="A113" s="9" t="s">
        <v>492</v>
      </c>
      <c r="B113" s="9" t="s">
        <v>493</v>
      </c>
      <c r="C113" s="39" t="n">
        <v>2</v>
      </c>
      <c r="D113" s="38" t="n">
        <v>3.35</v>
      </c>
      <c r="E113" s="41" t="s">
        <v>492</v>
      </c>
      <c r="F113" s="9"/>
    </row>
    <row r="114" customFormat="false" ht="14.25" hidden="false" customHeight="true" outlineLevel="0" collapsed="false">
      <c r="A114" s="9" t="s">
        <v>441</v>
      </c>
      <c r="B114" s="9" t="s">
        <v>442</v>
      </c>
      <c r="C114" s="39" t="n">
        <v>3</v>
      </c>
      <c r="D114" s="38" t="n">
        <v>6.09</v>
      </c>
      <c r="E114" s="41" t="s">
        <v>441</v>
      </c>
      <c r="F114" s="9"/>
    </row>
    <row r="115" customFormat="false" ht="14.25" hidden="false" customHeight="true" outlineLevel="0" collapsed="false">
      <c r="A115" s="9" t="s">
        <v>439</v>
      </c>
      <c r="B115" s="9" t="s">
        <v>440</v>
      </c>
      <c r="C115" s="39" t="n">
        <v>5</v>
      </c>
      <c r="D115" s="38" t="n">
        <v>9.85</v>
      </c>
      <c r="E115" s="41" t="s">
        <v>439</v>
      </c>
      <c r="F115" s="9"/>
    </row>
    <row r="116" customFormat="false" ht="14.25" hidden="false" customHeight="true" outlineLevel="0" collapsed="false">
      <c r="A116" s="9" t="s">
        <v>437</v>
      </c>
      <c r="B116" s="9" t="s">
        <v>438</v>
      </c>
      <c r="C116" s="39" t="n">
        <v>9</v>
      </c>
      <c r="D116" s="38" t="n">
        <v>15.51</v>
      </c>
      <c r="E116" s="41" t="s">
        <v>437</v>
      </c>
      <c r="F116" s="9"/>
    </row>
    <row r="117" customFormat="false" ht="14.25" hidden="false" customHeight="true" outlineLevel="0" collapsed="false">
      <c r="A117" s="9" t="s">
        <v>435</v>
      </c>
      <c r="B117" s="9" t="s">
        <v>436</v>
      </c>
      <c r="C117" s="39" t="n">
        <v>8</v>
      </c>
      <c r="D117" s="38" t="n">
        <v>14.42</v>
      </c>
      <c r="E117" s="41" t="s">
        <v>435</v>
      </c>
      <c r="F117" s="9"/>
    </row>
    <row r="118" customFormat="false" ht="14.25" hidden="false" customHeight="true" outlineLevel="0" collapsed="false">
      <c r="A118" s="9" t="s">
        <v>421</v>
      </c>
      <c r="B118" s="9" t="s">
        <v>422</v>
      </c>
      <c r="C118" s="39" t="n">
        <v>5</v>
      </c>
      <c r="D118" s="38" t="n">
        <v>10.32</v>
      </c>
      <c r="E118" s="41" t="s">
        <v>421</v>
      </c>
      <c r="F118" s="9"/>
    </row>
    <row r="119" customFormat="false" ht="14.25" hidden="false" customHeight="true" outlineLevel="0" collapsed="false">
      <c r="A119" s="9" t="s">
        <v>329</v>
      </c>
      <c r="B119" s="9" t="s">
        <v>330</v>
      </c>
      <c r="C119" s="39" t="n">
        <v>7</v>
      </c>
      <c r="D119" s="38" t="n">
        <v>13.97</v>
      </c>
      <c r="E119" s="41" t="s">
        <v>329</v>
      </c>
      <c r="F119" s="9"/>
    </row>
    <row r="120" customFormat="false" ht="14.25" hidden="false" customHeight="true" outlineLevel="0" collapsed="false">
      <c r="A120" s="9" t="s">
        <v>344</v>
      </c>
      <c r="B120" s="9" t="s">
        <v>345</v>
      </c>
      <c r="C120" s="39" t="n">
        <v>3</v>
      </c>
      <c r="D120" s="38" t="n">
        <v>6.07</v>
      </c>
      <c r="E120" s="41" t="s">
        <v>344</v>
      </c>
      <c r="F120" s="9"/>
    </row>
    <row r="121" customFormat="false" ht="14.25" hidden="false" customHeight="true" outlineLevel="0" collapsed="false">
      <c r="A121" s="9" t="s">
        <v>334</v>
      </c>
      <c r="B121" s="9" t="s">
        <v>335</v>
      </c>
      <c r="C121" s="39" t="n">
        <v>4</v>
      </c>
      <c r="D121" s="38" t="n">
        <v>7.94</v>
      </c>
      <c r="E121" s="41" t="s">
        <v>334</v>
      </c>
      <c r="F121" s="9"/>
    </row>
    <row r="122" customFormat="false" ht="14.25" hidden="false" customHeight="true" outlineLevel="0" collapsed="false">
      <c r="A122" s="9" t="s">
        <v>332</v>
      </c>
      <c r="B122" s="9" t="s">
        <v>333</v>
      </c>
      <c r="C122" s="39" t="n">
        <v>6</v>
      </c>
      <c r="D122" s="38" t="n">
        <v>12.22</v>
      </c>
      <c r="E122" s="41" t="s">
        <v>332</v>
      </c>
      <c r="F122" s="9"/>
    </row>
    <row r="123" customFormat="false" ht="14.25" hidden="false" customHeight="true" outlineLevel="0" collapsed="false">
      <c r="A123" s="9" t="s">
        <v>338</v>
      </c>
      <c r="B123" s="9" t="s">
        <v>339</v>
      </c>
      <c r="C123" s="39" t="n">
        <v>2</v>
      </c>
      <c r="D123" s="38" t="n">
        <v>3.5</v>
      </c>
      <c r="E123" s="41" t="s">
        <v>338</v>
      </c>
      <c r="F123" s="9"/>
    </row>
    <row r="124" customFormat="false" ht="14.25" hidden="false" customHeight="true" outlineLevel="0" collapsed="false">
      <c r="A124" s="9" t="s">
        <v>346</v>
      </c>
      <c r="B124" s="9" t="s">
        <v>347</v>
      </c>
      <c r="C124" s="39" t="n">
        <v>7</v>
      </c>
      <c r="D124" s="38" t="n">
        <v>13.7</v>
      </c>
      <c r="E124" s="41" t="s">
        <v>346</v>
      </c>
      <c r="F124" s="9"/>
    </row>
    <row r="125" customFormat="false" ht="14.25" hidden="false" customHeight="true" outlineLevel="0" collapsed="false">
      <c r="A125" s="9" t="s">
        <v>341</v>
      </c>
      <c r="B125" s="9" t="s">
        <v>342</v>
      </c>
      <c r="C125" s="39" t="n">
        <v>0</v>
      </c>
      <c r="D125" s="38" t="n">
        <v>0</v>
      </c>
      <c r="E125" s="41" t="s">
        <v>341</v>
      </c>
      <c r="F125" s="9"/>
    </row>
    <row r="126" customFormat="false" ht="14.25" hidden="false" customHeight="true" outlineLevel="0" collapsed="false">
      <c r="A126" s="9" t="s">
        <v>336</v>
      </c>
      <c r="B126" s="9" t="s">
        <v>337</v>
      </c>
      <c r="C126" s="39" t="n">
        <v>1</v>
      </c>
      <c r="D126" s="38" t="n">
        <v>2.06</v>
      </c>
      <c r="E126" s="41" t="s">
        <v>336</v>
      </c>
      <c r="F126" s="9"/>
    </row>
    <row r="127" customFormat="false" ht="14.25" hidden="false" customHeight="true" outlineLevel="0" collapsed="false">
      <c r="A127" s="9" t="s">
        <v>171</v>
      </c>
      <c r="B127" s="9" t="s">
        <v>172</v>
      </c>
      <c r="C127" s="39" t="n">
        <v>13</v>
      </c>
      <c r="D127" s="38" t="n">
        <v>50.74</v>
      </c>
      <c r="E127" s="41" t="s">
        <v>171</v>
      </c>
      <c r="F127" s="9"/>
    </row>
    <row r="128" customFormat="false" ht="14.25" hidden="false" customHeight="true" outlineLevel="0" collapsed="false">
      <c r="A128" s="9" t="s">
        <v>448</v>
      </c>
      <c r="B128" s="9" t="s">
        <v>602</v>
      </c>
      <c r="C128" s="39" t="n">
        <v>7</v>
      </c>
      <c r="D128" s="38" t="n">
        <v>14.47</v>
      </c>
      <c r="E128" s="41" t="s">
        <v>448</v>
      </c>
      <c r="F128" s="9"/>
    </row>
    <row r="129" customFormat="false" ht="14.25" hidden="false" customHeight="true" outlineLevel="0" collapsed="false">
      <c r="A129" s="9" t="s">
        <v>206</v>
      </c>
      <c r="B129" s="9" t="s">
        <v>207</v>
      </c>
      <c r="C129" s="39" t="n">
        <v>11</v>
      </c>
      <c r="D129" s="38" t="n">
        <v>47.05</v>
      </c>
      <c r="E129" s="41" t="s">
        <v>206</v>
      </c>
      <c r="F129" s="9"/>
    </row>
    <row r="130" customFormat="false" ht="14.25" hidden="false" customHeight="true" outlineLevel="0" collapsed="false">
      <c r="A130" s="9" t="s">
        <v>208</v>
      </c>
      <c r="B130" s="9" t="s">
        <v>209</v>
      </c>
      <c r="C130" s="39" t="n">
        <v>20</v>
      </c>
      <c r="D130" s="38" t="n">
        <v>83.3</v>
      </c>
      <c r="E130" s="41" t="s">
        <v>208</v>
      </c>
      <c r="F130" s="9"/>
    </row>
    <row r="131" customFormat="false" ht="14.25" hidden="false" customHeight="true" outlineLevel="0" collapsed="false">
      <c r="A131" s="9" t="s">
        <v>314</v>
      </c>
      <c r="B131" s="9" t="s">
        <v>603</v>
      </c>
      <c r="C131" s="39" t="n">
        <v>5</v>
      </c>
      <c r="D131" s="38" t="n">
        <v>20.88</v>
      </c>
      <c r="E131" s="41" t="s">
        <v>314</v>
      </c>
      <c r="F131" s="9"/>
    </row>
    <row r="132" customFormat="false" ht="14.25" hidden="false" customHeight="true" outlineLevel="0" collapsed="false">
      <c r="A132" s="9" t="s">
        <v>179</v>
      </c>
      <c r="B132" s="9" t="s">
        <v>604</v>
      </c>
      <c r="C132" s="39" t="n">
        <v>1</v>
      </c>
      <c r="D132" s="38" t="n">
        <v>4.34</v>
      </c>
      <c r="E132" s="41" t="s">
        <v>179</v>
      </c>
      <c r="F132" s="9"/>
    </row>
    <row r="133" customFormat="false" ht="14.25" hidden="false" customHeight="true" outlineLevel="0" collapsed="false">
      <c r="A133" s="9" t="s">
        <v>316</v>
      </c>
      <c r="B133" s="9" t="s">
        <v>605</v>
      </c>
      <c r="C133" s="39" t="n">
        <v>0</v>
      </c>
      <c r="D133" s="38" t="n">
        <v>0</v>
      </c>
      <c r="E133" s="41" t="s">
        <v>316</v>
      </c>
      <c r="F133" s="9"/>
    </row>
    <row r="134" customFormat="false" ht="14.25" hidden="false" customHeight="true" outlineLevel="0" collapsed="false">
      <c r="A134" s="9" t="s">
        <v>184</v>
      </c>
      <c r="B134" s="9" t="s">
        <v>606</v>
      </c>
      <c r="C134" s="39" t="n">
        <v>1</v>
      </c>
      <c r="D134" s="38" t="n">
        <v>4.54</v>
      </c>
      <c r="E134" s="41" t="s">
        <v>184</v>
      </c>
      <c r="F134" s="9"/>
    </row>
    <row r="135" customFormat="false" ht="14.25" hidden="false" customHeight="true" outlineLevel="0" collapsed="false">
      <c r="A135" s="9" t="s">
        <v>398</v>
      </c>
      <c r="B135" s="9" t="s">
        <v>399</v>
      </c>
      <c r="C135" s="39" t="n">
        <v>0</v>
      </c>
      <c r="D135" s="38" t="n">
        <v>0</v>
      </c>
      <c r="E135" s="41" t="s">
        <v>398</v>
      </c>
      <c r="F135" s="9"/>
    </row>
    <row r="136" customFormat="false" ht="14.25" hidden="false" customHeight="true" outlineLevel="0" collapsed="false">
      <c r="A136" s="9" t="s">
        <v>362</v>
      </c>
      <c r="B136" s="9" t="s">
        <v>363</v>
      </c>
      <c r="C136" s="39" t="n">
        <v>10</v>
      </c>
      <c r="D136" s="38" t="n">
        <v>18.73</v>
      </c>
      <c r="E136" s="41" t="s">
        <v>362</v>
      </c>
      <c r="F136" s="9"/>
    </row>
    <row r="137" customFormat="false" ht="14.25" hidden="false" customHeight="true" outlineLevel="0" collapsed="false">
      <c r="A137" s="9" t="s">
        <v>364</v>
      </c>
      <c r="B137" s="9" t="s">
        <v>607</v>
      </c>
      <c r="C137" s="39" t="n">
        <v>11</v>
      </c>
      <c r="D137" s="38" t="n">
        <v>15.5</v>
      </c>
      <c r="E137" s="41" t="s">
        <v>364</v>
      </c>
      <c r="F137" s="9"/>
    </row>
    <row r="138" customFormat="false" ht="14.25" hidden="false" customHeight="true" outlineLevel="0" collapsed="false">
      <c r="A138" s="9" t="s">
        <v>359</v>
      </c>
      <c r="B138" s="9" t="s">
        <v>608</v>
      </c>
      <c r="C138" s="39" t="n">
        <v>3</v>
      </c>
      <c r="D138" s="38" t="n">
        <v>4.16</v>
      </c>
      <c r="E138" s="41" t="s">
        <v>359</v>
      </c>
      <c r="F138" s="9"/>
    </row>
    <row r="139" customFormat="false" ht="14.25" hidden="false" customHeight="true" outlineLevel="0" collapsed="false">
      <c r="A139" s="9" t="s">
        <v>356</v>
      </c>
      <c r="B139" s="9" t="s">
        <v>357</v>
      </c>
      <c r="C139" s="39" t="n">
        <v>13</v>
      </c>
      <c r="D139" s="38" t="n">
        <v>25.34</v>
      </c>
      <c r="E139" s="41" t="s">
        <v>356</v>
      </c>
      <c r="F139" s="9"/>
    </row>
    <row r="140" customFormat="false" ht="14.25" hidden="false" customHeight="true" outlineLevel="0" collapsed="false">
      <c r="A140" s="9" t="s">
        <v>367</v>
      </c>
      <c r="B140" s="9" t="s">
        <v>368</v>
      </c>
      <c r="C140" s="39" t="n">
        <v>6</v>
      </c>
      <c r="D140" s="38" t="n">
        <v>11.23</v>
      </c>
      <c r="E140" s="41" t="s">
        <v>367</v>
      </c>
      <c r="F140" s="9"/>
    </row>
    <row r="141" customFormat="false" ht="14.25" hidden="false" customHeight="true" outlineLevel="0" collapsed="false">
      <c r="B141" s="12" t="s">
        <v>30</v>
      </c>
      <c r="D141" s="13" t="n">
        <f aca="false">SUM(D5:D140)</f>
        <v>4114.27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79" activePane="bottomRight" state="frozen"/>
      <selection pane="topLeft" activeCell="A1" activeCellId="0" sqref="A1"/>
      <selection pane="topRight" activeCell="E1" activeCellId="0" sqref="E1"/>
      <selection pane="bottomLeft" activeCell="A79" activeCellId="0" sqref="A79"/>
      <selection pane="bottomRight" activeCell="C80" activeCellId="0" sqref="C80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9.45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9" min="8" style="1" width="11"/>
    <col collapsed="false" customWidth="true" hidden="false" outlineLevel="0" max="10" min="10" style="1" width="15.45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6"/>
    <col collapsed="false" customWidth="true" hidden="false" outlineLevel="0" max="14" min="14" style="1" width="14"/>
    <col collapsed="false" customWidth="true" hidden="false" outlineLevel="0" max="15" min="15" style="1" width="34"/>
  </cols>
  <sheetData>
    <row r="1" customFormat="false" ht="18" hidden="false" customHeight="true" outlineLevel="0" collapsed="false">
      <c r="A1" s="2" t="s">
        <v>609</v>
      </c>
    </row>
    <row r="2" customFormat="false" ht="14.25" hidden="false" customHeight="true" outlineLevel="0" collapsed="false">
      <c r="A2" s="37" t="s">
        <v>610</v>
      </c>
    </row>
    <row r="4" customFormat="false" ht="42" hidden="false" customHeight="true" outlineLevel="0" collapsed="false">
      <c r="A4" s="23" t="s">
        <v>611</v>
      </c>
      <c r="B4" s="23" t="s">
        <v>612</v>
      </c>
      <c r="C4" s="23" t="s">
        <v>613</v>
      </c>
      <c r="D4" s="23" t="s">
        <v>53</v>
      </c>
      <c r="E4" s="23" t="s">
        <v>54</v>
      </c>
      <c r="F4" s="23" t="s">
        <v>614</v>
      </c>
      <c r="G4" s="23" t="s">
        <v>615</v>
      </c>
      <c r="H4" s="23" t="s">
        <v>616</v>
      </c>
      <c r="I4" s="23" t="s">
        <v>617</v>
      </c>
      <c r="J4" s="23" t="s">
        <v>618</v>
      </c>
      <c r="K4" s="23" t="s">
        <v>619</v>
      </c>
      <c r="L4" s="23" t="s">
        <v>620</v>
      </c>
      <c r="M4" s="23" t="s">
        <v>621</v>
      </c>
      <c r="N4" s="23" t="s">
        <v>35</v>
      </c>
      <c r="O4" s="23" t="s">
        <v>509</v>
      </c>
    </row>
    <row r="5" customFormat="false" ht="14.25" hidden="false" customHeight="true" outlineLevel="0" collapsed="false">
      <c r="A5" s="43" t="s">
        <v>622</v>
      </c>
      <c r="B5" s="44" t="n">
        <v>46268</v>
      </c>
      <c r="C5" s="43" t="s">
        <v>623</v>
      </c>
      <c r="D5" s="45" t="s">
        <v>258</v>
      </c>
      <c r="E5" s="46" t="str">
        <f aca="false">IFERROR(INDEX('Master Stock'!$B:$B,MATCH(D5,'Master Stock'!$A:$A,0)),"Code not on Master")</f>
        <v>AMANI CANYON</v>
      </c>
      <c r="F5" s="47" t="n">
        <v>46296</v>
      </c>
      <c r="G5" s="45" t="s">
        <v>27</v>
      </c>
      <c r="H5" s="30" t="n">
        <v>200</v>
      </c>
      <c r="I5" s="48" t="n">
        <v>230</v>
      </c>
      <c r="J5" s="49" t="n">
        <f aca="false">IF(I5="","",H5*I5)</f>
        <v>46000</v>
      </c>
      <c r="K5" s="19" t="n">
        <f aca="false">IF(A5="",0,SUMIFS('Stock Received'!$I:$I,'Stock Received'!$C:$C,A5,'Stock Received'!$E:$E,D5))</f>
        <v>0</v>
      </c>
      <c r="L5" s="19" t="n">
        <f aca="false">IF(K5&gt;=H5*Settings!$B$12,0,MAX(0,H5-K5))</f>
        <v>200</v>
      </c>
      <c r="M5" s="49" t="n">
        <f aca="false">IF(I5="","",L5*I5)</f>
        <v>46000</v>
      </c>
      <c r="N5" s="18" t="str">
        <f aca="false">IF(K5=0,"Open",IF(K5&gt;=H5*Settings!$B$12,"Received","Part received"))</f>
        <v>Open</v>
      </c>
      <c r="O5" s="50" t="s">
        <v>624</v>
      </c>
    </row>
    <row r="6" customFormat="false" ht="14.25" hidden="false" customHeight="true" outlineLevel="0" collapsed="false">
      <c r="A6" s="43" t="s">
        <v>622</v>
      </c>
      <c r="B6" s="44" t="n">
        <v>46268</v>
      </c>
      <c r="C6" s="43" t="s">
        <v>623</v>
      </c>
      <c r="D6" s="45" t="s">
        <v>260</v>
      </c>
      <c r="E6" s="46" t="str">
        <f aca="false">IFERROR(INDEX('Master Stock'!$B:$B,MATCH(D6,'Master Stock'!$A:$A,0)),"Code not on Master")</f>
        <v>AMANI CARAMEL</v>
      </c>
      <c r="F6" s="47" t="n">
        <v>46296</v>
      </c>
      <c r="G6" s="45" t="s">
        <v>27</v>
      </c>
      <c r="H6" s="30" t="n">
        <v>200</v>
      </c>
      <c r="I6" s="48" t="n">
        <v>230</v>
      </c>
      <c r="J6" s="49" t="n">
        <f aca="false">IF(I6="","",H6*I6)</f>
        <v>46000</v>
      </c>
      <c r="K6" s="19" t="n">
        <f aca="false">IF(A6="",0,SUMIFS('Stock Received'!$I:$I,'Stock Received'!$C:$C,A6,'Stock Received'!$E:$E,D6))</f>
        <v>0</v>
      </c>
      <c r="L6" s="19" t="n">
        <f aca="false">IF(K6&gt;=H6*Settings!$B$12,0,MAX(0,H6-K6))</f>
        <v>200</v>
      </c>
      <c r="M6" s="49" t="n">
        <f aca="false">IF(I6="","",L6*I6)</f>
        <v>46000</v>
      </c>
      <c r="N6" s="18" t="str">
        <f aca="false">IF(K6=0,"Open",IF(K6&gt;=H6*Settings!$B$12,"Received","Part received"))</f>
        <v>Open</v>
      </c>
      <c r="O6" s="50" t="s">
        <v>624</v>
      </c>
    </row>
    <row r="7" customFormat="false" ht="14.25" hidden="false" customHeight="true" outlineLevel="0" collapsed="false">
      <c r="A7" s="43" t="s">
        <v>622</v>
      </c>
      <c r="B7" s="44" t="n">
        <v>46268</v>
      </c>
      <c r="C7" s="43" t="s">
        <v>623</v>
      </c>
      <c r="D7" s="45" t="s">
        <v>262</v>
      </c>
      <c r="E7" s="46" t="str">
        <f aca="false">IFERROR(INDEX('Master Stock'!$B:$B,MATCH(D7,'Master Stock'!$A:$A,0)),"Code not on Master")</f>
        <v>AMANI REDWOOD</v>
      </c>
      <c r="F7" s="47" t="n">
        <v>46296</v>
      </c>
      <c r="G7" s="45" t="s">
        <v>27</v>
      </c>
      <c r="H7" s="30" t="n">
        <v>200</v>
      </c>
      <c r="I7" s="48" t="n">
        <v>230</v>
      </c>
      <c r="J7" s="49" t="n">
        <f aca="false">IF(I7="","",H7*I7)</f>
        <v>46000</v>
      </c>
      <c r="K7" s="19" t="n">
        <f aca="false">IF(A7="",0,SUMIFS('Stock Received'!$I:$I,'Stock Received'!$C:$C,A7,'Stock Received'!$E:$E,D7))</f>
        <v>0</v>
      </c>
      <c r="L7" s="19" t="n">
        <f aca="false">IF(K7&gt;=H7*Settings!$B$12,0,MAX(0,H7-K7))</f>
        <v>200</v>
      </c>
      <c r="M7" s="49" t="n">
        <f aca="false">IF(I7="","",L7*I7)</f>
        <v>46000</v>
      </c>
      <c r="N7" s="18" t="str">
        <f aca="false">IF(K7=0,"Open",IF(K7&gt;=H7*Settings!$B$12,"Received","Part received"))</f>
        <v>Open</v>
      </c>
      <c r="O7" s="50" t="s">
        <v>624</v>
      </c>
    </row>
    <row r="8" customFormat="false" ht="14.25" hidden="false" customHeight="true" outlineLevel="0" collapsed="false">
      <c r="A8" s="43" t="s">
        <v>625</v>
      </c>
      <c r="B8" s="44" t="n">
        <v>46283</v>
      </c>
      <c r="C8" s="43" t="s">
        <v>623</v>
      </c>
      <c r="D8" s="45" t="s">
        <v>246</v>
      </c>
      <c r="E8" s="46" t="str">
        <f aca="false">IFERROR(INDEX('Master Stock'!$B:$B,MATCH(D8,'Master Stock'!$A:$A,0)),"Code not on Master")</f>
        <v>ANTIQUE BLACK</v>
      </c>
      <c r="F8" s="47" t="n">
        <v>46296</v>
      </c>
      <c r="G8" s="45" t="s">
        <v>28</v>
      </c>
      <c r="H8" s="30" t="n">
        <v>300</v>
      </c>
      <c r="I8" s="48" t="n">
        <v>232</v>
      </c>
      <c r="J8" s="49" t="n">
        <f aca="false">IF(I8="","",H8*I8)</f>
        <v>69600</v>
      </c>
      <c r="K8" s="19" t="n">
        <f aca="false">IF(A8="",0,SUMIFS('Stock Received'!$I:$I,'Stock Received'!$C:$C,A8,'Stock Received'!$E:$E,D8))</f>
        <v>0</v>
      </c>
      <c r="L8" s="19" t="n">
        <f aca="false">IF(K8&gt;=H8*Settings!$B$12,0,MAX(0,H8-K8))</f>
        <v>300</v>
      </c>
      <c r="M8" s="49" t="n">
        <f aca="false">IF(I8="","",L8*I8)</f>
        <v>69600</v>
      </c>
      <c r="N8" s="18" t="str">
        <f aca="false">IF(K8=0,"Open",IF(K8&gt;=H8*Settings!$B$12,"Received","Part received"))</f>
        <v>Open</v>
      </c>
      <c r="O8" s="50" t="s">
        <v>624</v>
      </c>
    </row>
    <row r="9" customFormat="false" ht="14.25" hidden="false" customHeight="true" outlineLevel="0" collapsed="false">
      <c r="A9" s="43" t="s">
        <v>625</v>
      </c>
      <c r="B9" s="44" t="n">
        <v>46283</v>
      </c>
      <c r="C9" s="43" t="s">
        <v>623</v>
      </c>
      <c r="D9" s="45" t="s">
        <v>248</v>
      </c>
      <c r="E9" s="46" t="str">
        <f aca="false">IFERROR(INDEX('Master Stock'!$B:$B,MATCH(D9,'Master Stock'!$A:$A,0)),"Code not on Master")</f>
        <v>ANTIQUE CHOC</v>
      </c>
      <c r="F9" s="47" t="n">
        <v>46296</v>
      </c>
      <c r="G9" s="45" t="s">
        <v>28</v>
      </c>
      <c r="H9" s="30" t="n">
        <v>500</v>
      </c>
      <c r="I9" s="48" t="n">
        <v>232</v>
      </c>
      <c r="J9" s="49" t="n">
        <f aca="false">IF(I9="","",H9*I9)</f>
        <v>116000</v>
      </c>
      <c r="K9" s="19" t="n">
        <f aca="false">IF(A9="",0,SUMIFS('Stock Received'!$I:$I,'Stock Received'!$C:$C,A9,'Stock Received'!$E:$E,D9))</f>
        <v>0</v>
      </c>
      <c r="L9" s="19" t="n">
        <f aca="false">IF(K9&gt;=H9*Settings!$B$12,0,MAX(0,H9-K9))</f>
        <v>500</v>
      </c>
      <c r="M9" s="49" t="n">
        <f aca="false">IF(I9="","",L9*I9)</f>
        <v>116000</v>
      </c>
      <c r="N9" s="18" t="str">
        <f aca="false">IF(K9=0,"Open",IF(K9&gt;=H9*Settings!$B$12,"Received","Part received"))</f>
        <v>Open</v>
      </c>
      <c r="O9" s="50" t="s">
        <v>624</v>
      </c>
    </row>
    <row r="10" customFormat="false" ht="14.25" hidden="false" customHeight="true" outlineLevel="0" collapsed="false">
      <c r="A10" s="43" t="s">
        <v>625</v>
      </c>
      <c r="B10" s="44" t="n">
        <v>46283</v>
      </c>
      <c r="C10" s="43" t="s">
        <v>623</v>
      </c>
      <c r="D10" s="45" t="s">
        <v>250</v>
      </c>
      <c r="E10" s="46" t="str">
        <f aca="false">IFERROR(INDEX('Master Stock'!$B:$B,MATCH(D10,'Master Stock'!$A:$A,0)),"Code not on Master")</f>
        <v>ANTIQUE TOBACCO</v>
      </c>
      <c r="F10" s="47" t="n">
        <v>46296</v>
      </c>
      <c r="G10" s="45" t="s">
        <v>28</v>
      </c>
      <c r="H10" s="30" t="n">
        <v>300</v>
      </c>
      <c r="I10" s="48" t="n">
        <v>232</v>
      </c>
      <c r="J10" s="49" t="n">
        <f aca="false">IF(I10="","",H10*I10)</f>
        <v>69600</v>
      </c>
      <c r="K10" s="19" t="n">
        <f aca="false">IF(A10="",0,SUMIFS('Stock Received'!$I:$I,'Stock Received'!$C:$C,A10,'Stock Received'!$E:$E,D10))</f>
        <v>0</v>
      </c>
      <c r="L10" s="19" t="n">
        <f aca="false">IF(K10&gt;=H10*Settings!$B$12,0,MAX(0,H10-K10))</f>
        <v>300</v>
      </c>
      <c r="M10" s="49" t="n">
        <f aca="false">IF(I10="","",L10*I10)</f>
        <v>69600</v>
      </c>
      <c r="N10" s="18" t="str">
        <f aca="false">IF(K10=0,"Open",IF(K10&gt;=H10*Settings!$B$12,"Received","Part received"))</f>
        <v>Open</v>
      </c>
      <c r="O10" s="50" t="s">
        <v>624</v>
      </c>
    </row>
    <row r="11" customFormat="false" ht="14.25" hidden="false" customHeight="true" outlineLevel="0" collapsed="false">
      <c r="A11" s="43" t="s">
        <v>626</v>
      </c>
      <c r="B11" s="44" t="n">
        <v>46258</v>
      </c>
      <c r="C11" s="43" t="s">
        <v>627</v>
      </c>
      <c r="D11" s="45" t="s">
        <v>384</v>
      </c>
      <c r="E11" s="46" t="str">
        <f aca="false">IFERROR(INDEX('Master Stock'!$B:$B,MATCH(D11,'Master Stock'!$A:$A,0)),"Code not on Master")</f>
        <v>APACHE WALNUT</v>
      </c>
      <c r="F11" s="47" t="n">
        <v>46296</v>
      </c>
      <c r="G11" s="45" t="s">
        <v>27</v>
      </c>
      <c r="H11" s="30" t="n">
        <v>300</v>
      </c>
      <c r="I11" s="48" t="n">
        <v>365</v>
      </c>
      <c r="J11" s="49" t="n">
        <f aca="false">IF(I11="","",H11*I11)</f>
        <v>109500</v>
      </c>
      <c r="K11" s="19" t="n">
        <f aca="false">IF(A11="",0,SUMIFS('Stock Received'!$I:$I,'Stock Received'!$C:$C,A11,'Stock Received'!$E:$E,D11))</f>
        <v>0</v>
      </c>
      <c r="L11" s="19" t="n">
        <f aca="false">IF(K11&gt;=H11*Settings!$B$12,0,MAX(0,H11-K11))</f>
        <v>300</v>
      </c>
      <c r="M11" s="49" t="n">
        <f aca="false">IF(I11="","",L11*I11)</f>
        <v>109500</v>
      </c>
      <c r="N11" s="18" t="str">
        <f aca="false">IF(K11=0,"Open",IF(K11&gt;=H11*Settings!$B$12,"Received","Part received"))</f>
        <v>Open</v>
      </c>
      <c r="O11" s="50" t="s">
        <v>624</v>
      </c>
    </row>
    <row r="12" customFormat="false" ht="14.25" hidden="false" customHeight="true" outlineLevel="0" collapsed="false">
      <c r="A12" s="43" t="s">
        <v>628</v>
      </c>
      <c r="B12" s="44" t="n">
        <v>46288</v>
      </c>
      <c r="C12" s="43" t="s">
        <v>627</v>
      </c>
      <c r="D12" s="45" t="s">
        <v>384</v>
      </c>
      <c r="E12" s="46" t="str">
        <f aca="false">IFERROR(INDEX('Master Stock'!$B:$B,MATCH(D12,'Master Stock'!$A:$A,0)),"Code not on Master")</f>
        <v>APACHE WALNUT</v>
      </c>
      <c r="F12" s="47" t="n">
        <v>46296</v>
      </c>
      <c r="G12" s="45" t="s">
        <v>27</v>
      </c>
      <c r="H12" s="30" t="n">
        <v>300</v>
      </c>
      <c r="I12" s="48" t="n">
        <v>365</v>
      </c>
      <c r="J12" s="49" t="n">
        <f aca="false">IF(I12="","",H12*I12)</f>
        <v>109500</v>
      </c>
      <c r="K12" s="19" t="n">
        <f aca="false">IF(A12="",0,SUMIFS('Stock Received'!$I:$I,'Stock Received'!$C:$C,A12,'Stock Received'!$E:$E,D12))</f>
        <v>0</v>
      </c>
      <c r="L12" s="19" t="n">
        <f aca="false">IF(K12&gt;=H12*Settings!$B$12,0,MAX(0,H12-K12))</f>
        <v>300</v>
      </c>
      <c r="M12" s="49" t="n">
        <f aca="false">IF(I12="","",L12*I12)</f>
        <v>109500</v>
      </c>
      <c r="N12" s="18" t="str">
        <f aca="false">IF(K12=0,"Open",IF(K12&gt;=H12*Settings!$B$12,"Received","Part received"))</f>
        <v>Open</v>
      </c>
      <c r="O12" s="50" t="s">
        <v>624</v>
      </c>
    </row>
    <row r="13" customFormat="false" ht="14.25" hidden="false" customHeight="true" outlineLevel="0" collapsed="false">
      <c r="A13" s="43" t="s">
        <v>626</v>
      </c>
      <c r="B13" s="44" t="n">
        <v>46258</v>
      </c>
      <c r="C13" s="43" t="s">
        <v>627</v>
      </c>
      <c r="D13" s="45" t="s">
        <v>352</v>
      </c>
      <c r="E13" s="46" t="str">
        <f aca="false">IFERROR(INDEX('Master Stock'!$B:$B,MATCH(D13,'Master Stock'!$A:$A,0)),"Code not on Master")</f>
        <v>CHICAGO TAN</v>
      </c>
      <c r="F13" s="47" t="n">
        <v>46296</v>
      </c>
      <c r="G13" s="45" t="s">
        <v>27</v>
      </c>
      <c r="H13" s="30" t="n">
        <v>300</v>
      </c>
      <c r="I13" s="48" t="n">
        <v>365</v>
      </c>
      <c r="J13" s="49" t="n">
        <f aca="false">IF(I13="","",H13*I13)</f>
        <v>109500</v>
      </c>
      <c r="K13" s="19" t="n">
        <f aca="false">IF(A13="",0,SUMIFS('Stock Received'!$I:$I,'Stock Received'!$C:$C,A13,'Stock Received'!$E:$E,D13))</f>
        <v>275.43</v>
      </c>
      <c r="L13" s="19" t="n">
        <f aca="false">IF(K13&gt;=H13*Settings!$B$12,0,MAX(0,H13-K13))</f>
        <v>0</v>
      </c>
      <c r="M13" s="49" t="n">
        <f aca="false">IF(I13="","",L13*I13)</f>
        <v>0</v>
      </c>
      <c r="N13" s="18" t="str">
        <f aca="false">IF(K13=0,"Open",IF(K13&gt;=H13*Settings!$B$12,"Received","Part received"))</f>
        <v>Received</v>
      </c>
      <c r="O13" s="50" t="s">
        <v>624</v>
      </c>
    </row>
    <row r="14" customFormat="false" ht="14.25" hidden="false" customHeight="true" outlineLevel="0" collapsed="false">
      <c r="A14" s="43" t="s">
        <v>629</v>
      </c>
      <c r="B14" s="44" t="n">
        <v>46255</v>
      </c>
      <c r="C14" s="43" t="s">
        <v>623</v>
      </c>
      <c r="D14" s="45" t="s">
        <v>173</v>
      </c>
      <c r="E14" s="46" t="str">
        <f aca="false">IFERROR(INDEX('Master Stock'!$B:$B,MATCH(D14,'Master Stock'!$A:$A,0)),"Code not on Master")</f>
        <v>DAYTONA BROWN/TAN</v>
      </c>
      <c r="F14" s="47" t="n">
        <v>46296</v>
      </c>
      <c r="G14" s="45" t="s">
        <v>27</v>
      </c>
      <c r="H14" s="30" t="n">
        <v>300</v>
      </c>
      <c r="I14" s="48" t="n">
        <v>291.6</v>
      </c>
      <c r="J14" s="49" t="n">
        <f aca="false">IF(I14="","",H14*I14)</f>
        <v>87480</v>
      </c>
      <c r="K14" s="19" t="n">
        <f aca="false">IF(A14="",0,SUMIFS('Stock Received'!$I:$I,'Stock Received'!$C:$C,A14,'Stock Received'!$E:$E,D14))</f>
        <v>0</v>
      </c>
      <c r="L14" s="19" t="n">
        <f aca="false">IF(K14&gt;=H14*Settings!$B$12,0,MAX(0,H14-K14))</f>
        <v>300</v>
      </c>
      <c r="M14" s="49" t="n">
        <f aca="false">IF(I14="","",L14*I14)</f>
        <v>87480</v>
      </c>
      <c r="N14" s="18" t="str">
        <f aca="false">IF(K14=0,"Open",IF(K14&gt;=H14*Settings!$B$12,"Received","Part received"))</f>
        <v>Open</v>
      </c>
      <c r="O14" s="50" t="s">
        <v>624</v>
      </c>
    </row>
    <row r="15" customFormat="false" ht="14.25" hidden="false" customHeight="true" outlineLevel="0" collapsed="false">
      <c r="A15" s="43" t="s">
        <v>630</v>
      </c>
      <c r="B15" s="44" t="n">
        <v>46282</v>
      </c>
      <c r="C15" s="43" t="s">
        <v>623</v>
      </c>
      <c r="D15" s="45" t="s">
        <v>163</v>
      </c>
      <c r="E15" s="46" t="str">
        <f aca="false">IFERROR(INDEX('Master Stock'!$B:$B,MATCH(D15,'Master Stock'!$A:$A,0)),"Code not on Master")</f>
        <v>DIESEL BROWN</v>
      </c>
      <c r="F15" s="47" t="n">
        <v>46327</v>
      </c>
      <c r="G15" s="45" t="s">
        <v>27</v>
      </c>
      <c r="H15" s="30" t="n">
        <v>500</v>
      </c>
      <c r="I15" s="48" t="n">
        <v>297</v>
      </c>
      <c r="J15" s="49" t="n">
        <f aca="false">IF(I15="","",H15*I15)</f>
        <v>148500</v>
      </c>
      <c r="K15" s="19" t="n">
        <f aca="false">IF(A15="",0,SUMIFS('Stock Received'!$I:$I,'Stock Received'!$C:$C,A15,'Stock Received'!$E:$E,D15))</f>
        <v>0</v>
      </c>
      <c r="L15" s="19" t="n">
        <f aca="false">IF(K15&gt;=H15*Settings!$B$12,0,MAX(0,H15-K15))</f>
        <v>500</v>
      </c>
      <c r="M15" s="49" t="n">
        <f aca="false">IF(I15="","",L15*I15)</f>
        <v>148500</v>
      </c>
      <c r="N15" s="18" t="str">
        <f aca="false">IF(K15=0,"Open",IF(K15&gt;=H15*Settings!$B$12,"Received","Part received"))</f>
        <v>Open</v>
      </c>
      <c r="O15" s="50" t="s">
        <v>624</v>
      </c>
    </row>
    <row r="16" customFormat="false" ht="14.25" hidden="false" customHeight="true" outlineLevel="0" collapsed="false">
      <c r="A16" s="43" t="s">
        <v>631</v>
      </c>
      <c r="B16" s="44" t="n">
        <v>46295</v>
      </c>
      <c r="C16" s="43" t="s">
        <v>623</v>
      </c>
      <c r="D16" s="45" t="s">
        <v>274</v>
      </c>
      <c r="E16" s="46" t="str">
        <f aca="false">IFERROR(INDEX('Master Stock'!$B:$B,MATCH(D16,'Master Stock'!$A:$A,0)),"Code not on Master")</f>
        <v>DIESEL BLACK</v>
      </c>
      <c r="F16" s="47" t="n">
        <v>46296</v>
      </c>
      <c r="G16" s="45" t="s">
        <v>27</v>
      </c>
      <c r="H16" s="30" t="n">
        <v>300</v>
      </c>
      <c r="I16" s="48" t="n">
        <v>297</v>
      </c>
      <c r="J16" s="49" t="n">
        <f aca="false">IF(I16="","",H16*I16)</f>
        <v>89100</v>
      </c>
      <c r="K16" s="19" t="n">
        <f aca="false">IF(A16="",0,SUMIFS('Stock Received'!$I:$I,'Stock Received'!$C:$C,A16,'Stock Received'!$E:$E,D16))</f>
        <v>0</v>
      </c>
      <c r="L16" s="19" t="n">
        <f aca="false">IF(K16&gt;=H16*Settings!$B$12,0,MAX(0,H16-K16))</f>
        <v>300</v>
      </c>
      <c r="M16" s="49" t="n">
        <f aca="false">IF(I16="","",L16*I16)</f>
        <v>89100</v>
      </c>
      <c r="N16" s="18" t="str">
        <f aca="false">IF(K16=0,"Open",IF(K16&gt;=H16*Settings!$B$12,"Received","Part received"))</f>
        <v>Open</v>
      </c>
      <c r="O16" s="50" t="s">
        <v>624</v>
      </c>
    </row>
    <row r="17" customFormat="false" ht="14.25" hidden="false" customHeight="true" outlineLevel="0" collapsed="false">
      <c r="A17" s="43" t="s">
        <v>632</v>
      </c>
      <c r="B17" s="44" t="n">
        <v>46255</v>
      </c>
      <c r="C17" s="43" t="s">
        <v>623</v>
      </c>
      <c r="D17" s="45" t="s">
        <v>169</v>
      </c>
      <c r="E17" s="46" t="str">
        <f aca="false">IFERROR(INDEX('Master Stock'!$B:$B,MATCH(D17,'Master Stock'!$A:$A,0)),"Code not on Master")</f>
        <v>DIESEL TOBACCO</v>
      </c>
      <c r="F17" s="47" t="n">
        <v>46296</v>
      </c>
      <c r="G17" s="45" t="s">
        <v>28</v>
      </c>
      <c r="H17" s="30" t="n">
        <v>500</v>
      </c>
      <c r="I17" s="48" t="n">
        <v>297</v>
      </c>
      <c r="J17" s="49" t="n">
        <f aca="false">IF(I17="","",H17*I17)</f>
        <v>148500</v>
      </c>
      <c r="K17" s="19" t="n">
        <f aca="false">IF(A17="",0,SUMIFS('Stock Received'!$I:$I,'Stock Received'!$C:$C,A17,'Stock Received'!$E:$E,D17))</f>
        <v>0</v>
      </c>
      <c r="L17" s="19" t="n">
        <f aca="false">IF(K17&gt;=H17*Settings!$B$12,0,MAX(0,H17-K17))</f>
        <v>500</v>
      </c>
      <c r="M17" s="49" t="n">
        <f aca="false">IF(I17="","",L17*I17)</f>
        <v>148500</v>
      </c>
      <c r="N17" s="18" t="str">
        <f aca="false">IF(K17=0,"Open",IF(K17&gt;=H17*Settings!$B$12,"Received","Part received"))</f>
        <v>Open</v>
      </c>
      <c r="O17" s="50" t="s">
        <v>624</v>
      </c>
    </row>
    <row r="18" customFormat="false" ht="14.25" hidden="false" customHeight="true" outlineLevel="0" collapsed="false">
      <c r="A18" s="43" t="s">
        <v>630</v>
      </c>
      <c r="B18" s="44" t="n">
        <v>46282</v>
      </c>
      <c r="C18" s="43" t="s">
        <v>623</v>
      </c>
      <c r="D18" s="45" t="s">
        <v>169</v>
      </c>
      <c r="E18" s="46" t="str">
        <f aca="false">IFERROR(INDEX('Master Stock'!$B:$B,MATCH(D18,'Master Stock'!$A:$A,0)),"Code not on Master")</f>
        <v>DIESEL TOBACCO</v>
      </c>
      <c r="F18" s="47" t="n">
        <v>46352</v>
      </c>
      <c r="G18" s="45" t="s">
        <v>27</v>
      </c>
      <c r="H18" s="30" t="n">
        <v>500</v>
      </c>
      <c r="I18" s="48" t="n">
        <v>297</v>
      </c>
      <c r="J18" s="49" t="n">
        <f aca="false">IF(I18="","",H18*I18)</f>
        <v>148500</v>
      </c>
      <c r="K18" s="19" t="n">
        <f aca="false">IF(A18="",0,SUMIFS('Stock Received'!$I:$I,'Stock Received'!$C:$C,A18,'Stock Received'!$E:$E,D18))</f>
        <v>0</v>
      </c>
      <c r="L18" s="19" t="n">
        <f aca="false">IF(K18&gt;=H18*Settings!$B$12,0,MAX(0,H18-K18))</f>
        <v>500</v>
      </c>
      <c r="M18" s="49" t="n">
        <f aca="false">IF(I18="","",L18*I18)</f>
        <v>148500</v>
      </c>
      <c r="N18" s="18" t="str">
        <f aca="false">IF(K18=0,"Open",IF(K18&gt;=H18*Settings!$B$12,"Received","Part received"))</f>
        <v>Open</v>
      </c>
      <c r="O18" s="50" t="s">
        <v>624</v>
      </c>
    </row>
    <row r="19" customFormat="false" ht="14.25" hidden="false" customHeight="true" outlineLevel="0" collapsed="false">
      <c r="A19" s="43" t="s">
        <v>626</v>
      </c>
      <c r="B19" s="44" t="n">
        <v>46258</v>
      </c>
      <c r="C19" s="43" t="s">
        <v>627</v>
      </c>
      <c r="D19" s="45" t="s">
        <v>369</v>
      </c>
      <c r="E19" s="46" t="str">
        <f aca="false">IFERROR(INDEX('Master Stock'!$B:$B,MATCH(D19,'Master Stock'!$A:$A,0)),"Code not on Master")</f>
        <v>ECO RUST/BOURBON</v>
      </c>
      <c r="F19" s="47" t="n">
        <v>46296</v>
      </c>
      <c r="G19" s="45" t="s">
        <v>27</v>
      </c>
      <c r="H19" s="30" t="n">
        <v>300</v>
      </c>
      <c r="I19" s="48" t="n">
        <v>365</v>
      </c>
      <c r="J19" s="49" t="n">
        <f aca="false">IF(I19="","",H19*I19)</f>
        <v>109500</v>
      </c>
      <c r="K19" s="19" t="n">
        <f aca="false">IF(A19="",0,SUMIFS('Stock Received'!$I:$I,'Stock Received'!$C:$C,A19,'Stock Received'!$E:$E,D19))</f>
        <v>0</v>
      </c>
      <c r="L19" s="19" t="n">
        <f aca="false">IF(K19&gt;=H19*Settings!$B$12,0,MAX(0,H19-K19))</f>
        <v>300</v>
      </c>
      <c r="M19" s="49" t="n">
        <f aca="false">IF(I19="","",L19*I19)</f>
        <v>109500</v>
      </c>
      <c r="N19" s="18" t="str">
        <f aca="false">IF(K19=0,"Open",IF(K19&gt;=H19*Settings!$B$12,"Received","Part received"))</f>
        <v>Open</v>
      </c>
      <c r="O19" s="50" t="s">
        <v>624</v>
      </c>
    </row>
    <row r="20" customFormat="false" ht="14.25" hidden="false" customHeight="true" outlineLevel="0" collapsed="false">
      <c r="A20" s="43" t="s">
        <v>632</v>
      </c>
      <c r="B20" s="44" t="n">
        <v>46255</v>
      </c>
      <c r="C20" s="43" t="s">
        <v>623</v>
      </c>
      <c r="D20" s="45" t="s">
        <v>200</v>
      </c>
      <c r="E20" s="46" t="str">
        <f aca="false">IFERROR(INDEX('Master Stock'!$B:$B,MATCH(D20,'Master Stock'!$A:$A,0)),"Code not on Master")</f>
        <v>ETOSHA RUST</v>
      </c>
      <c r="F20" s="47" t="n">
        <v>46296</v>
      </c>
      <c r="G20" s="45" t="s">
        <v>28</v>
      </c>
      <c r="H20" s="30" t="n">
        <v>300</v>
      </c>
      <c r="I20" s="48" t="n">
        <v>207.36</v>
      </c>
      <c r="J20" s="49" t="n">
        <f aca="false">IF(I20="","",H20*I20)</f>
        <v>62208</v>
      </c>
      <c r="K20" s="19" t="n">
        <f aca="false">IF(A20="",0,SUMIFS('Stock Received'!$I:$I,'Stock Received'!$C:$C,A20,'Stock Received'!$E:$E,D20))</f>
        <v>0</v>
      </c>
      <c r="L20" s="19" t="n">
        <f aca="false">IF(K20&gt;=H20*Settings!$B$12,0,MAX(0,H20-K20))</f>
        <v>300</v>
      </c>
      <c r="M20" s="49" t="n">
        <f aca="false">IF(I20="","",L20*I20)</f>
        <v>62208</v>
      </c>
      <c r="N20" s="18" t="str">
        <f aca="false">IF(K20=0,"Open",IF(K20&gt;=H20*Settings!$B$12,"Received","Part received"))</f>
        <v>Open</v>
      </c>
      <c r="O20" s="50" t="s">
        <v>624</v>
      </c>
    </row>
    <row r="21" customFormat="false" ht="14.25" hidden="false" customHeight="true" outlineLevel="0" collapsed="false">
      <c r="A21" s="43" t="s">
        <v>629</v>
      </c>
      <c r="B21" s="44" t="n">
        <v>46255</v>
      </c>
      <c r="C21" s="43" t="s">
        <v>623</v>
      </c>
      <c r="D21" s="45" t="s">
        <v>198</v>
      </c>
      <c r="E21" s="46" t="str">
        <f aca="false">IFERROR(INDEX('Master Stock'!$B:$B,MATCH(D21,'Master Stock'!$A:$A,0)),"Code not on Master")</f>
        <v>ETOSHA CHESTNUT</v>
      </c>
      <c r="F21" s="47" t="n">
        <v>46296</v>
      </c>
      <c r="G21" s="45" t="s">
        <v>27</v>
      </c>
      <c r="H21" s="30" t="n">
        <v>500</v>
      </c>
      <c r="I21" s="48" t="n">
        <v>207.36</v>
      </c>
      <c r="J21" s="49" t="n">
        <f aca="false">IF(I21="","",H21*I21)</f>
        <v>103680</v>
      </c>
      <c r="K21" s="19" t="n">
        <f aca="false">IF(A21="",0,SUMIFS('Stock Received'!$I:$I,'Stock Received'!$C:$C,A21,'Stock Received'!$E:$E,D21))</f>
        <v>0</v>
      </c>
      <c r="L21" s="19" t="n">
        <f aca="false">IF(K21&gt;=H21*Settings!$B$12,0,MAX(0,H21-K21))</f>
        <v>500</v>
      </c>
      <c r="M21" s="49" t="n">
        <f aca="false">IF(I21="","",L21*I21)</f>
        <v>103680</v>
      </c>
      <c r="N21" s="18" t="str">
        <f aca="false">IF(K21=0,"Open",IF(K21&gt;=H21*Settings!$B$12,"Received","Part received"))</f>
        <v>Open</v>
      </c>
      <c r="O21" s="50" t="s">
        <v>624</v>
      </c>
    </row>
    <row r="22" customFormat="false" ht="14.25" hidden="false" customHeight="true" outlineLevel="0" collapsed="false">
      <c r="A22" s="43" t="s">
        <v>629</v>
      </c>
      <c r="B22" s="44" t="n">
        <v>46255</v>
      </c>
      <c r="C22" s="43" t="s">
        <v>623</v>
      </c>
      <c r="D22" s="45" t="s">
        <v>194</v>
      </c>
      <c r="E22" s="46" t="str">
        <f aca="false">IFERROR(INDEX('Master Stock'!$B:$B,MATCH(D22,'Master Stock'!$A:$A,0)),"Code not on Master")</f>
        <v>ETOSHA DARK ANTHRACITE</v>
      </c>
      <c r="F22" s="47" t="n">
        <v>46296</v>
      </c>
      <c r="G22" s="45" t="s">
        <v>27</v>
      </c>
      <c r="H22" s="30" t="n">
        <v>300</v>
      </c>
      <c r="I22" s="48" t="n">
        <v>207.36</v>
      </c>
      <c r="J22" s="49" t="n">
        <f aca="false">IF(I22="","",H22*I22)</f>
        <v>62208</v>
      </c>
      <c r="K22" s="19" t="n">
        <f aca="false">IF(A22="",0,SUMIFS('Stock Received'!$I:$I,'Stock Received'!$C:$C,A22,'Stock Received'!$E:$E,D22))</f>
        <v>0</v>
      </c>
      <c r="L22" s="19" t="n">
        <f aca="false">IF(K22&gt;=H22*Settings!$B$12,0,MAX(0,H22-K22))</f>
        <v>300</v>
      </c>
      <c r="M22" s="49" t="n">
        <f aca="false">IF(I22="","",L22*I22)</f>
        <v>62208</v>
      </c>
      <c r="N22" s="18" t="str">
        <f aca="false">IF(K22=0,"Open",IF(K22&gt;=H22*Settings!$B$12,"Received","Part received"))</f>
        <v>Open</v>
      </c>
      <c r="O22" s="50" t="s">
        <v>624</v>
      </c>
    </row>
    <row r="23" customFormat="false" ht="14.25" hidden="false" customHeight="true" outlineLevel="0" collapsed="false">
      <c r="A23" s="43" t="s">
        <v>632</v>
      </c>
      <c r="B23" s="44" t="n">
        <v>46255</v>
      </c>
      <c r="C23" s="43" t="s">
        <v>623</v>
      </c>
      <c r="D23" s="45" t="s">
        <v>202</v>
      </c>
      <c r="E23" s="46" t="str">
        <f aca="false">IFERROR(INDEX('Master Stock'!$B:$B,MATCH(D23,'Master Stock'!$A:$A,0)),"Code not on Master")</f>
        <v>ETOSHA EMERALD</v>
      </c>
      <c r="F23" s="47" t="n">
        <v>46296</v>
      </c>
      <c r="G23" s="45" t="s">
        <v>28</v>
      </c>
      <c r="H23" s="30" t="n">
        <v>300</v>
      </c>
      <c r="I23" s="48" t="n">
        <v>207.36</v>
      </c>
      <c r="J23" s="49" t="n">
        <f aca="false">IF(I23="","",H23*I23)</f>
        <v>62208</v>
      </c>
      <c r="K23" s="19" t="n">
        <f aca="false">IF(A23="",0,SUMIFS('Stock Received'!$I:$I,'Stock Received'!$C:$C,A23,'Stock Received'!$E:$E,D23))</f>
        <v>0</v>
      </c>
      <c r="L23" s="19" t="n">
        <f aca="false">IF(K23&gt;=H23*Settings!$B$12,0,MAX(0,H23-K23))</f>
        <v>300</v>
      </c>
      <c r="M23" s="49" t="n">
        <f aca="false">IF(I23="","",L23*I23)</f>
        <v>62208</v>
      </c>
      <c r="N23" s="18" t="str">
        <f aca="false">IF(K23=0,"Open",IF(K23&gt;=H23*Settings!$B$12,"Received","Part received"))</f>
        <v>Open</v>
      </c>
      <c r="O23" s="50" t="s">
        <v>624</v>
      </c>
    </row>
    <row r="24" customFormat="false" ht="14.25" hidden="false" customHeight="true" outlineLevel="0" collapsed="false">
      <c r="A24" s="43" t="s">
        <v>633</v>
      </c>
      <c r="B24" s="44" t="n">
        <v>46121</v>
      </c>
      <c r="C24" s="43" t="s">
        <v>627</v>
      </c>
      <c r="D24" s="45" t="s">
        <v>376</v>
      </c>
      <c r="E24" s="46" t="str">
        <f aca="false">IFERROR(INDEX('Master Stock'!$B:$B,MATCH(D24,'Master Stock'!$A:$A,0)),"Code not on Master")</f>
        <v>HAVANA PLUS WALNUT</v>
      </c>
      <c r="F24" s="47" t="n">
        <v>46296</v>
      </c>
      <c r="G24" s="45" t="s">
        <v>27</v>
      </c>
      <c r="H24" s="30" t="n">
        <v>300</v>
      </c>
      <c r="I24" s="48" t="n">
        <v>365</v>
      </c>
      <c r="J24" s="49" t="n">
        <f aca="false">IF(I24="","",H24*I24)</f>
        <v>109500</v>
      </c>
      <c r="K24" s="19" t="n">
        <f aca="false">IF(A24="",0,SUMIFS('Stock Received'!$I:$I,'Stock Received'!$C:$C,A24,'Stock Received'!$E:$E,D24))</f>
        <v>0</v>
      </c>
      <c r="L24" s="19" t="n">
        <f aca="false">IF(K24&gt;=H24*Settings!$B$12,0,MAX(0,H24-K24))</f>
        <v>300</v>
      </c>
      <c r="M24" s="49" t="n">
        <f aca="false">IF(I24="","",L24*I24)</f>
        <v>109500</v>
      </c>
      <c r="N24" s="18" t="str">
        <f aca="false">IF(K24=0,"Open",IF(K24&gt;=H24*Settings!$B$12,"Received","Part received"))</f>
        <v>Open</v>
      </c>
      <c r="O24" s="50" t="s">
        <v>624</v>
      </c>
    </row>
    <row r="25" customFormat="false" ht="14.25" hidden="false" customHeight="true" outlineLevel="0" collapsed="false">
      <c r="A25" s="43" t="s">
        <v>629</v>
      </c>
      <c r="B25" s="44" t="n">
        <v>46255</v>
      </c>
      <c r="C25" s="43" t="s">
        <v>623</v>
      </c>
      <c r="D25" s="45" t="s">
        <v>103</v>
      </c>
      <c r="E25" s="46" t="str">
        <f aca="false">IFERROR(INDEX('Master Stock'!$B:$B,MATCH(D25,'Master Stock'!$A:$A,0)),"Code not on Master")</f>
        <v>MOROCCO ANTHRACITE</v>
      </c>
      <c r="F25" s="47" t="n">
        <v>46296</v>
      </c>
      <c r="G25" s="45" t="s">
        <v>27</v>
      </c>
      <c r="H25" s="30" t="n">
        <v>300</v>
      </c>
      <c r="I25" s="48" t="n">
        <v>291.6</v>
      </c>
      <c r="J25" s="49" t="n">
        <f aca="false">IF(I25="","",H25*I25)</f>
        <v>87480</v>
      </c>
      <c r="K25" s="19" t="n">
        <f aca="false">IF(A25="",0,SUMIFS('Stock Received'!$I:$I,'Stock Received'!$C:$C,A25,'Stock Received'!$E:$E,D25))</f>
        <v>0</v>
      </c>
      <c r="L25" s="19" t="n">
        <f aca="false">IF(K25&gt;=H25*Settings!$B$12,0,MAX(0,H25-K25))</f>
        <v>300</v>
      </c>
      <c r="M25" s="49" t="n">
        <f aca="false">IF(I25="","",L25*I25)</f>
        <v>87480</v>
      </c>
      <c r="N25" s="18" t="str">
        <f aca="false">IF(K25=0,"Open",IF(K25&gt;=H25*Settings!$B$12,"Received","Part received"))</f>
        <v>Open</v>
      </c>
      <c r="O25" s="50" t="s">
        <v>624</v>
      </c>
    </row>
    <row r="26" customFormat="false" ht="14.25" hidden="false" customHeight="true" outlineLevel="0" collapsed="false">
      <c r="A26" s="43" t="s">
        <v>629</v>
      </c>
      <c r="B26" s="44" t="n">
        <v>46255</v>
      </c>
      <c r="C26" s="43" t="s">
        <v>623</v>
      </c>
      <c r="D26" s="45" t="s">
        <v>133</v>
      </c>
      <c r="E26" s="46" t="str">
        <f aca="false">IFERROR(INDEX('Master Stock'!$B:$B,MATCH(D26,'Master Stock'!$A:$A,0)),"Code not on Master")</f>
        <v>CLASSIC MUSTARD</v>
      </c>
      <c r="F26" s="47" t="n">
        <v>46296</v>
      </c>
      <c r="G26" s="45" t="s">
        <v>27</v>
      </c>
      <c r="H26" s="30" t="n">
        <v>300</v>
      </c>
      <c r="I26" s="48" t="n">
        <v>280.8</v>
      </c>
      <c r="J26" s="49" t="n">
        <f aca="false">IF(I26="","",H26*I26)</f>
        <v>84240</v>
      </c>
      <c r="K26" s="19" t="n">
        <f aca="false">IF(A26="",0,SUMIFS('Stock Received'!$I:$I,'Stock Received'!$C:$C,A26,'Stock Received'!$E:$E,D26))</f>
        <v>0</v>
      </c>
      <c r="L26" s="19" t="n">
        <f aca="false">IF(K26&gt;=H26*Settings!$B$12,0,MAX(0,H26-K26))</f>
        <v>300</v>
      </c>
      <c r="M26" s="49" t="n">
        <f aca="false">IF(I26="","",L26*I26)</f>
        <v>84240</v>
      </c>
      <c r="N26" s="18" t="str">
        <f aca="false">IF(K26=0,"Open",IF(K26&gt;=H26*Settings!$B$12,"Received","Part received"))</f>
        <v>Open</v>
      </c>
      <c r="O26" s="50" t="s">
        <v>624</v>
      </c>
    </row>
    <row r="27" customFormat="false" ht="14.25" hidden="false" customHeight="true" outlineLevel="0" collapsed="false">
      <c r="A27" s="43" t="s">
        <v>634</v>
      </c>
      <c r="B27" s="44" t="n">
        <v>46223</v>
      </c>
      <c r="C27" s="43" t="s">
        <v>627</v>
      </c>
      <c r="D27" s="45" t="s">
        <v>334</v>
      </c>
      <c r="E27" s="46" t="str">
        <f aca="false">IFERROR(INDEX('Master Stock'!$B:$B,MATCH(D27,'Master Stock'!$A:$A,0)),"Code not on Master")</f>
        <v>BARCELONA BROWN</v>
      </c>
      <c r="F27" s="47" t="n">
        <v>46296</v>
      </c>
      <c r="G27" s="45" t="s">
        <v>27</v>
      </c>
      <c r="H27" s="30" t="n">
        <v>300</v>
      </c>
      <c r="I27" s="48" t="n">
        <v>365</v>
      </c>
      <c r="J27" s="49" t="n">
        <f aca="false">IF(I27="","",H27*I27)</f>
        <v>109500</v>
      </c>
      <c r="K27" s="19" t="n">
        <f aca="false">IF(A27="",0,SUMIFS('Stock Received'!$I:$I,'Stock Received'!$C:$C,A27,'Stock Received'!$E:$E,D27))</f>
        <v>0</v>
      </c>
      <c r="L27" s="19" t="n">
        <f aca="false">IF(K27&gt;=H27*Settings!$B$12,0,MAX(0,H27-K27))</f>
        <v>300</v>
      </c>
      <c r="M27" s="49" t="n">
        <f aca="false">IF(I27="","",L27*I27)</f>
        <v>109500</v>
      </c>
      <c r="N27" s="18" t="str">
        <f aca="false">IF(K27=0,"Open",IF(K27&gt;=H27*Settings!$B$12,"Received","Part received"))</f>
        <v>Open</v>
      </c>
      <c r="O27" s="50" t="s">
        <v>624</v>
      </c>
    </row>
    <row r="28" customFormat="false" ht="14.25" hidden="false" customHeight="true" outlineLevel="0" collapsed="false">
      <c r="A28" s="43" t="s">
        <v>626</v>
      </c>
      <c r="B28" s="44" t="n">
        <v>46258</v>
      </c>
      <c r="C28" s="43" t="s">
        <v>627</v>
      </c>
      <c r="D28" s="45" t="s">
        <v>332</v>
      </c>
      <c r="E28" s="46" t="str">
        <f aca="false">IFERROR(INDEX('Master Stock'!$B:$B,MATCH(D28,'Master Stock'!$A:$A,0)),"Code not on Master")</f>
        <v>BARCELONA BLACK</v>
      </c>
      <c r="F28" s="47" t="n">
        <v>46296</v>
      </c>
      <c r="G28" s="45" t="s">
        <v>27</v>
      </c>
      <c r="H28" s="30" t="n">
        <v>300</v>
      </c>
      <c r="I28" s="48" t="n">
        <v>365</v>
      </c>
      <c r="J28" s="49" t="n">
        <f aca="false">IF(I28="","",H28*I28)</f>
        <v>109500</v>
      </c>
      <c r="K28" s="19" t="n">
        <f aca="false">IF(A28="",0,SUMIFS('Stock Received'!$I:$I,'Stock Received'!$C:$C,A28,'Stock Received'!$E:$E,D28))</f>
        <v>304</v>
      </c>
      <c r="L28" s="19" t="n">
        <f aca="false">IF(K28&gt;=H28*Settings!$B$12,0,MAX(0,H28-K28))</f>
        <v>0</v>
      </c>
      <c r="M28" s="49" t="n">
        <f aca="false">IF(I28="","",L28*I28)</f>
        <v>0</v>
      </c>
      <c r="N28" s="18" t="str">
        <f aca="false">IF(K28=0,"Open",IF(K28&gt;=H28*Settings!$B$12,"Received","Part received"))</f>
        <v>Received</v>
      </c>
      <c r="O28" s="50" t="s">
        <v>624</v>
      </c>
    </row>
    <row r="29" customFormat="false" ht="14.25" hidden="false" customHeight="true" outlineLevel="0" collapsed="false">
      <c r="A29" s="43" t="s">
        <v>635</v>
      </c>
      <c r="B29" s="44" t="n">
        <v>46272</v>
      </c>
      <c r="C29" s="43" t="s">
        <v>627</v>
      </c>
      <c r="D29" s="45" t="s">
        <v>338</v>
      </c>
      <c r="E29" s="46" t="str">
        <f aca="false">IFERROR(INDEX('Master Stock'!$B:$B,MATCH(D29,'Master Stock'!$A:$A,0)),"Code not on Master")</f>
        <v>BARCELONA OLIVE</v>
      </c>
      <c r="F29" s="47" t="n">
        <v>46296</v>
      </c>
      <c r="G29" s="45" t="s">
        <v>27</v>
      </c>
      <c r="H29" s="30" t="n">
        <v>300</v>
      </c>
      <c r="I29" s="48" t="n">
        <v>365</v>
      </c>
      <c r="J29" s="49" t="n">
        <f aca="false">IF(I29="","",H29*I29)</f>
        <v>109500</v>
      </c>
      <c r="K29" s="19" t="n">
        <f aca="false">IF(A29="",0,SUMIFS('Stock Received'!$I:$I,'Stock Received'!$C:$C,A29,'Stock Received'!$E:$E,D29))</f>
        <v>0</v>
      </c>
      <c r="L29" s="19" t="n">
        <f aca="false">IF(K29&gt;=H29*Settings!$B$12,0,MAX(0,H29-K29))</f>
        <v>300</v>
      </c>
      <c r="M29" s="49" t="n">
        <f aca="false">IF(I29="","",L29*I29)</f>
        <v>109500</v>
      </c>
      <c r="N29" s="18" t="str">
        <f aca="false">IF(K29=0,"Open",IF(K29&gt;=H29*Settings!$B$12,"Received","Part received"))</f>
        <v>Open</v>
      </c>
      <c r="O29" s="50" t="s">
        <v>624</v>
      </c>
    </row>
    <row r="30" customFormat="false" ht="14.25" hidden="false" customHeight="true" outlineLevel="0" collapsed="false">
      <c r="A30" s="43" t="s">
        <v>626</v>
      </c>
      <c r="B30" s="44" t="n">
        <v>46258</v>
      </c>
      <c r="C30" s="43" t="s">
        <v>627</v>
      </c>
      <c r="D30" s="45" t="s">
        <v>346</v>
      </c>
      <c r="E30" s="46" t="str">
        <f aca="false">IFERROR(INDEX('Master Stock'!$B:$B,MATCH(D30,'Master Stock'!$A:$A,0)),"Code not on Master")</f>
        <v>BARCELONA TOFFEE</v>
      </c>
      <c r="F30" s="47" t="n">
        <v>46296</v>
      </c>
      <c r="G30" s="45" t="s">
        <v>27</v>
      </c>
      <c r="H30" s="30" t="n">
        <v>300</v>
      </c>
      <c r="I30" s="48" t="n">
        <v>365</v>
      </c>
      <c r="J30" s="49" t="n">
        <f aca="false">IF(I30="","",H30*I30)</f>
        <v>109500</v>
      </c>
      <c r="K30" s="19" t="n">
        <f aca="false">IF(A30="",0,SUMIFS('Stock Received'!$I:$I,'Stock Received'!$C:$C,A30,'Stock Received'!$E:$E,D30))</f>
        <v>0</v>
      </c>
      <c r="L30" s="19" t="n">
        <f aca="false">IF(K30&gt;=H30*Settings!$B$12,0,MAX(0,H30-K30))</f>
        <v>300</v>
      </c>
      <c r="M30" s="49" t="n">
        <f aca="false">IF(I30="","",L30*I30)</f>
        <v>109500</v>
      </c>
      <c r="N30" s="18" t="str">
        <f aca="false">IF(K30=0,"Open",IF(K30&gt;=H30*Settings!$B$12,"Received","Part received"))</f>
        <v>Open</v>
      </c>
      <c r="O30" s="50" t="s">
        <v>624</v>
      </c>
    </row>
    <row r="31" customFormat="false" ht="14.25" hidden="false" customHeight="true" outlineLevel="0" collapsed="false">
      <c r="A31" s="43" t="s">
        <v>626</v>
      </c>
      <c r="B31" s="44" t="n">
        <v>46258</v>
      </c>
      <c r="C31" s="43" t="s">
        <v>627</v>
      </c>
      <c r="D31" s="45" t="s">
        <v>336</v>
      </c>
      <c r="E31" s="46" t="str">
        <f aca="false">IFERROR(INDEX('Master Stock'!$B:$B,MATCH(D31,'Master Stock'!$A:$A,0)),"Code not on Master")</f>
        <v>BARCELONA NAVY</v>
      </c>
      <c r="F31" s="47" t="n">
        <v>46296</v>
      </c>
      <c r="G31" s="45" t="s">
        <v>27</v>
      </c>
      <c r="H31" s="30" t="n">
        <v>300</v>
      </c>
      <c r="I31" s="48" t="n">
        <v>365</v>
      </c>
      <c r="J31" s="49" t="n">
        <f aca="false">IF(I31="","",H31*I31)</f>
        <v>109500</v>
      </c>
      <c r="K31" s="19" t="n">
        <f aca="false">IF(A31="",0,SUMIFS('Stock Received'!$I:$I,'Stock Received'!$C:$C,A31,'Stock Received'!$E:$E,D31))</f>
        <v>300.14</v>
      </c>
      <c r="L31" s="19" t="n">
        <f aca="false">IF(K31&gt;=H31*Settings!$B$12,0,MAX(0,H31-K31))</f>
        <v>0</v>
      </c>
      <c r="M31" s="49" t="n">
        <f aca="false">IF(I31="","",L31*I31)</f>
        <v>0</v>
      </c>
      <c r="N31" s="18" t="str">
        <f aca="false">IF(K31=0,"Open",IF(K31&gt;=H31*Settings!$B$12,"Received","Part received"))</f>
        <v>Received</v>
      </c>
      <c r="O31" s="50" t="s">
        <v>624</v>
      </c>
    </row>
    <row r="32" customFormat="false" ht="14.25" hidden="false" customHeight="true" outlineLevel="0" collapsed="false">
      <c r="A32" s="43" t="s">
        <v>629</v>
      </c>
      <c r="B32" s="44" t="n">
        <v>46255</v>
      </c>
      <c r="C32" s="43" t="s">
        <v>623</v>
      </c>
      <c r="D32" s="45" t="s">
        <v>171</v>
      </c>
      <c r="E32" s="46" t="str">
        <f aca="false">IFERROR(INDEX('Master Stock'!$B:$B,MATCH(D32,'Master Stock'!$A:$A,0)),"Code not on Master")</f>
        <v>URBAN HAZELNUT</v>
      </c>
      <c r="F32" s="47" t="n">
        <v>46296</v>
      </c>
      <c r="G32" s="45" t="s">
        <v>27</v>
      </c>
      <c r="H32" s="30" t="n">
        <v>300</v>
      </c>
      <c r="I32" s="48" t="n">
        <v>291.6</v>
      </c>
      <c r="J32" s="49" t="n">
        <f aca="false">IF(I32="","",H32*I32)</f>
        <v>87480</v>
      </c>
      <c r="K32" s="19" t="n">
        <f aca="false">IF(A32="",0,SUMIFS('Stock Received'!$I:$I,'Stock Received'!$C:$C,A32,'Stock Received'!$E:$E,D32))</f>
        <v>0</v>
      </c>
      <c r="L32" s="19" t="n">
        <f aca="false">IF(K32&gt;=H32*Settings!$B$12,0,MAX(0,H32-K32))</f>
        <v>300</v>
      </c>
      <c r="M32" s="49" t="n">
        <f aca="false">IF(I32="","",L32*I32)</f>
        <v>87480</v>
      </c>
      <c r="N32" s="18" t="str">
        <f aca="false">IF(K32=0,"Open",IF(K32&gt;=H32*Settings!$B$12,"Received","Part received"))</f>
        <v>Open</v>
      </c>
      <c r="O32" s="50" t="s">
        <v>624</v>
      </c>
    </row>
    <row r="33" customFormat="false" ht="14.25" hidden="false" customHeight="true" outlineLevel="0" collapsed="false">
      <c r="A33" s="43" t="s">
        <v>626</v>
      </c>
      <c r="B33" s="44" t="n">
        <v>46258</v>
      </c>
      <c r="C33" s="43" t="s">
        <v>627</v>
      </c>
      <c r="D33" s="45" t="s">
        <v>448</v>
      </c>
      <c r="E33" s="46" t="str">
        <f aca="false">IFERROR(INDEX('Master Stock'!$B:$B,MATCH(D33,'Master Stock'!$A:$A,0)),"Code not on Master")</f>
        <v>VEG SIDES NATURAL 2.0/2.2MM</v>
      </c>
      <c r="F33" s="47" t="n">
        <v>46296</v>
      </c>
      <c r="G33" s="45" t="s">
        <v>27</v>
      </c>
      <c r="H33" s="30" t="n">
        <v>300</v>
      </c>
      <c r="I33" s="48" t="n">
        <v>315</v>
      </c>
      <c r="J33" s="49" t="n">
        <f aca="false">IF(I33="","",H33*I33)</f>
        <v>94500</v>
      </c>
      <c r="K33" s="19" t="n">
        <f aca="false">IF(A33="",0,SUMIFS('Stock Received'!$I:$I,'Stock Received'!$C:$C,A33,'Stock Received'!$E:$E,D33))</f>
        <v>0</v>
      </c>
      <c r="L33" s="19" t="n">
        <f aca="false">IF(K33&gt;=H33*Settings!$B$12,0,MAX(0,H33-K33))</f>
        <v>300</v>
      </c>
      <c r="M33" s="49" t="n">
        <f aca="false">IF(I33="","",L33*I33)</f>
        <v>94500</v>
      </c>
      <c r="N33" s="18" t="str">
        <f aca="false">IF(K33=0,"Open",IF(K33&gt;=H33*Settings!$B$12,"Received","Part received"))</f>
        <v>Open</v>
      </c>
      <c r="O33" s="50" t="s">
        <v>624</v>
      </c>
    </row>
    <row r="34" customFormat="false" ht="14.25" hidden="false" customHeight="true" outlineLevel="0" collapsed="false">
      <c r="A34" s="43" t="s">
        <v>636</v>
      </c>
      <c r="B34" s="44" t="n">
        <v>46283</v>
      </c>
      <c r="C34" s="43" t="s">
        <v>623</v>
      </c>
      <c r="D34" s="45" t="s">
        <v>246</v>
      </c>
      <c r="E34" s="46" t="str">
        <f aca="false">IFERROR(INDEX('Master Stock'!$B:$B,MATCH(D34,'Master Stock'!$A:$A,0)),"Code not on Master")</f>
        <v>ANTIQUE BLACK</v>
      </c>
      <c r="F34" s="47" t="n">
        <v>46327</v>
      </c>
      <c r="G34" s="45" t="s">
        <v>28</v>
      </c>
      <c r="H34" s="30" t="n">
        <v>300</v>
      </c>
      <c r="I34" s="48" t="n">
        <v>232</v>
      </c>
      <c r="J34" s="49" t="n">
        <f aca="false">IF(I34="","",H34*I34)</f>
        <v>69600</v>
      </c>
      <c r="K34" s="19" t="n">
        <f aca="false">IF(A34="",0,SUMIFS('Stock Received'!$I:$I,'Stock Received'!$C:$C,A34,'Stock Received'!$E:$E,D34))</f>
        <v>0</v>
      </c>
      <c r="L34" s="19" t="n">
        <f aca="false">IF(K34&gt;=H34*Settings!$B$12,0,MAX(0,H34-K34))</f>
        <v>300</v>
      </c>
      <c r="M34" s="49" t="n">
        <f aca="false">IF(I34="","",L34*I34)</f>
        <v>69600</v>
      </c>
      <c r="N34" s="18" t="str">
        <f aca="false">IF(K34=0,"Open",IF(K34&gt;=H34*Settings!$B$12,"Received","Part received"))</f>
        <v>Open</v>
      </c>
      <c r="O34" s="50" t="s">
        <v>624</v>
      </c>
    </row>
    <row r="35" customFormat="false" ht="14.25" hidden="false" customHeight="true" outlineLevel="0" collapsed="false">
      <c r="A35" s="43" t="s">
        <v>636</v>
      </c>
      <c r="B35" s="44" t="n">
        <v>46283</v>
      </c>
      <c r="C35" s="43" t="s">
        <v>623</v>
      </c>
      <c r="D35" s="45" t="s">
        <v>248</v>
      </c>
      <c r="E35" s="46" t="str">
        <f aca="false">IFERROR(INDEX('Master Stock'!$B:$B,MATCH(D35,'Master Stock'!$A:$A,0)),"Code not on Master")</f>
        <v>ANTIQUE CHOC</v>
      </c>
      <c r="F35" s="47" t="n">
        <v>46327</v>
      </c>
      <c r="G35" s="45" t="s">
        <v>28</v>
      </c>
      <c r="H35" s="30" t="n">
        <v>500</v>
      </c>
      <c r="I35" s="48" t="n">
        <v>232</v>
      </c>
      <c r="J35" s="49" t="n">
        <f aca="false">IF(I35="","",H35*I35)</f>
        <v>116000</v>
      </c>
      <c r="K35" s="19" t="n">
        <f aca="false">IF(A35="",0,SUMIFS('Stock Received'!$I:$I,'Stock Received'!$C:$C,A35,'Stock Received'!$E:$E,D35))</f>
        <v>0</v>
      </c>
      <c r="L35" s="19" t="n">
        <f aca="false">IF(K35&gt;=H35*Settings!$B$12,0,MAX(0,H35-K35))</f>
        <v>500</v>
      </c>
      <c r="M35" s="49" t="n">
        <f aca="false">IF(I35="","",L35*I35)</f>
        <v>116000</v>
      </c>
      <c r="N35" s="18" t="str">
        <f aca="false">IF(K35=0,"Open",IF(K35&gt;=H35*Settings!$B$12,"Received","Part received"))</f>
        <v>Open</v>
      </c>
      <c r="O35" s="50" t="s">
        <v>624</v>
      </c>
    </row>
    <row r="36" customFormat="false" ht="14.25" hidden="false" customHeight="true" outlineLevel="0" collapsed="false">
      <c r="A36" s="43" t="s">
        <v>636</v>
      </c>
      <c r="B36" s="44" t="n">
        <v>46283</v>
      </c>
      <c r="C36" s="43" t="s">
        <v>623</v>
      </c>
      <c r="D36" s="45" t="s">
        <v>250</v>
      </c>
      <c r="E36" s="46" t="str">
        <f aca="false">IFERROR(INDEX('Master Stock'!$B:$B,MATCH(D36,'Master Stock'!$A:$A,0)),"Code not on Master")</f>
        <v>ANTIQUE TOBACCO</v>
      </c>
      <c r="F36" s="47" t="n">
        <v>46327</v>
      </c>
      <c r="G36" s="45" t="s">
        <v>28</v>
      </c>
      <c r="H36" s="30" t="n">
        <v>300</v>
      </c>
      <c r="I36" s="48" t="n">
        <v>232</v>
      </c>
      <c r="J36" s="49" t="n">
        <f aca="false">IF(I36="","",H36*I36)</f>
        <v>69600</v>
      </c>
      <c r="K36" s="19" t="n">
        <f aca="false">IF(A36="",0,SUMIFS('Stock Received'!$I:$I,'Stock Received'!$C:$C,A36,'Stock Received'!$E:$E,D36))</f>
        <v>0</v>
      </c>
      <c r="L36" s="19" t="n">
        <f aca="false">IF(K36&gt;=H36*Settings!$B$12,0,MAX(0,H36-K36))</f>
        <v>300</v>
      </c>
      <c r="M36" s="49" t="n">
        <f aca="false">IF(I36="","",L36*I36)</f>
        <v>69600</v>
      </c>
      <c r="N36" s="18" t="str">
        <f aca="false">IF(K36=0,"Open",IF(K36&gt;=H36*Settings!$B$12,"Received","Part received"))</f>
        <v>Open</v>
      </c>
      <c r="O36" s="50" t="s">
        <v>624</v>
      </c>
    </row>
    <row r="37" customFormat="false" ht="14.25" hidden="false" customHeight="true" outlineLevel="0" collapsed="false">
      <c r="A37" s="43" t="s">
        <v>637</v>
      </c>
      <c r="B37" s="44" t="n">
        <v>46296</v>
      </c>
      <c r="C37" s="43" t="s">
        <v>623</v>
      </c>
      <c r="D37" s="45" t="s">
        <v>214</v>
      </c>
      <c r="E37" s="46" t="str">
        <f aca="false">IFERROR(INDEX('Master Stock'!$B:$B,MATCH(D37,'Master Stock'!$A:$A,0)),"Code not on Master")</f>
        <v>FORRESTER SPICE (PRINT)</v>
      </c>
      <c r="F37" s="47" t="n">
        <v>46327</v>
      </c>
      <c r="G37" s="45" t="s">
        <v>28</v>
      </c>
      <c r="H37" s="30" t="n">
        <v>1000</v>
      </c>
      <c r="I37" s="48" t="n">
        <v>207.36</v>
      </c>
      <c r="J37" s="49" t="n">
        <f aca="false">IF(I37="","",H37*I37)</f>
        <v>207360</v>
      </c>
      <c r="K37" s="19" t="n">
        <f aca="false">IF(A37="",0,SUMIFS('Stock Received'!$I:$I,'Stock Received'!$C:$C,A37,'Stock Received'!$E:$E,D37))</f>
        <v>0</v>
      </c>
      <c r="L37" s="19" t="n">
        <f aca="false">IF(K37&gt;=H37*Settings!$B$12,0,MAX(0,H37-K37))</f>
        <v>1000</v>
      </c>
      <c r="M37" s="49" t="n">
        <f aca="false">IF(I37="","",L37*I37)</f>
        <v>207360</v>
      </c>
      <c r="N37" s="18" t="str">
        <f aca="false">IF(K37=0,"Open",IF(K37&gt;=H37*Settings!$B$12,"Received","Part received"))</f>
        <v>Open</v>
      </c>
      <c r="O37" s="50" t="s">
        <v>624</v>
      </c>
    </row>
    <row r="38" customFormat="false" ht="14.25" hidden="false" customHeight="true" outlineLevel="0" collapsed="false">
      <c r="A38" s="43" t="s">
        <v>630</v>
      </c>
      <c r="B38" s="44" t="n">
        <v>46282</v>
      </c>
      <c r="C38" s="43" t="s">
        <v>623</v>
      </c>
      <c r="D38" s="45" t="s">
        <v>214</v>
      </c>
      <c r="E38" s="46" t="str">
        <f aca="false">IFERROR(INDEX('Master Stock'!$B:$B,MATCH(D38,'Master Stock'!$A:$A,0)),"Code not on Master")</f>
        <v>FORRESTER SPICE (PRINT)</v>
      </c>
      <c r="F38" s="47" t="n">
        <v>46327</v>
      </c>
      <c r="G38" s="45" t="s">
        <v>27</v>
      </c>
      <c r="H38" s="30" t="n">
        <v>500</v>
      </c>
      <c r="I38" s="48" t="n">
        <v>207.36</v>
      </c>
      <c r="J38" s="49" t="n">
        <f aca="false">IF(I38="","",H38*I38)</f>
        <v>103680</v>
      </c>
      <c r="K38" s="19" t="n">
        <f aca="false">IF(A38="",0,SUMIFS('Stock Received'!$I:$I,'Stock Received'!$C:$C,A38,'Stock Received'!$E:$E,D38))</f>
        <v>0</v>
      </c>
      <c r="L38" s="19" t="n">
        <f aca="false">IF(K38&gt;=H38*Settings!$B$12,0,MAX(0,H38-K38))</f>
        <v>500</v>
      </c>
      <c r="M38" s="49" t="n">
        <f aca="false">IF(I38="","",L38*I38)</f>
        <v>103680</v>
      </c>
      <c r="N38" s="18" t="str">
        <f aca="false">IF(K38=0,"Open",IF(K38&gt;=H38*Settings!$B$12,"Received","Part received"))</f>
        <v>Open</v>
      </c>
      <c r="O38" s="50" t="s">
        <v>624</v>
      </c>
    </row>
    <row r="39" customFormat="false" ht="14.25" hidden="false" customHeight="true" outlineLevel="0" collapsed="false">
      <c r="A39" s="43" t="s">
        <v>637</v>
      </c>
      <c r="B39" s="44" t="n">
        <v>46296</v>
      </c>
      <c r="C39" s="43" t="s">
        <v>623</v>
      </c>
      <c r="D39" s="45" t="s">
        <v>218</v>
      </c>
      <c r="E39" s="46" t="str">
        <f aca="false">IFERROR(INDEX('Master Stock'!$B:$B,MATCH(D39,'Master Stock'!$A:$A,0)),"Code not on Master")</f>
        <v>FORRESTER TAN</v>
      </c>
      <c r="F39" s="47" t="n">
        <v>46327</v>
      </c>
      <c r="G39" s="45" t="s">
        <v>28</v>
      </c>
      <c r="H39" s="30" t="n">
        <v>1000</v>
      </c>
      <c r="I39" s="48" t="n">
        <v>207.36</v>
      </c>
      <c r="J39" s="49" t="n">
        <f aca="false">IF(I39="","",H39*I39)</f>
        <v>207360</v>
      </c>
      <c r="K39" s="19" t="n">
        <f aca="false">IF(A39="",0,SUMIFS('Stock Received'!$I:$I,'Stock Received'!$C:$C,A39,'Stock Received'!$E:$E,D39))</f>
        <v>0</v>
      </c>
      <c r="L39" s="19" t="n">
        <f aca="false">IF(K39&gt;=H39*Settings!$B$12,0,MAX(0,H39-K39))</f>
        <v>1000</v>
      </c>
      <c r="M39" s="49" t="n">
        <f aca="false">IF(I39="","",L39*I39)</f>
        <v>207360</v>
      </c>
      <c r="N39" s="18" t="str">
        <f aca="false">IF(K39=0,"Open",IF(K39&gt;=H39*Settings!$B$12,"Received","Part received"))</f>
        <v>Open</v>
      </c>
      <c r="O39" s="50" t="s">
        <v>624</v>
      </c>
    </row>
    <row r="40" customFormat="false" ht="14.25" hidden="false" customHeight="true" outlineLevel="0" collapsed="false">
      <c r="A40" s="43" t="s">
        <v>630</v>
      </c>
      <c r="B40" s="44" t="n">
        <v>46282</v>
      </c>
      <c r="C40" s="43" t="s">
        <v>623</v>
      </c>
      <c r="D40" s="45" t="s">
        <v>224</v>
      </c>
      <c r="E40" s="46" t="str">
        <f aca="false">IFERROR(INDEX('Master Stock'!$B:$B,MATCH(D40,'Master Stock'!$A:$A,0)),"Code not on Master")</f>
        <v>FORRESTER TAUPE B</v>
      </c>
      <c r="F40" s="47" t="n">
        <v>46327</v>
      </c>
      <c r="G40" s="45" t="s">
        <v>27</v>
      </c>
      <c r="H40" s="30" t="n">
        <v>300</v>
      </c>
      <c r="I40" s="48" t="n">
        <v>207.36</v>
      </c>
      <c r="J40" s="49" t="n">
        <f aca="false">IF(I40="","",H40*I40)</f>
        <v>62208</v>
      </c>
      <c r="K40" s="19" t="n">
        <f aca="false">IF(A40="",0,SUMIFS('Stock Received'!$I:$I,'Stock Received'!$C:$C,A40,'Stock Received'!$E:$E,D40))</f>
        <v>0</v>
      </c>
      <c r="L40" s="19" t="n">
        <f aca="false">IF(K40&gt;=H40*Settings!$B$12,0,MAX(0,H40-K40))</f>
        <v>300</v>
      </c>
      <c r="M40" s="49" t="n">
        <f aca="false">IF(I40="","",L40*I40)</f>
        <v>62208</v>
      </c>
      <c r="N40" s="18" t="str">
        <f aca="false">IF(K40=0,"Open",IF(K40&gt;=H40*Settings!$B$12,"Received","Part received"))</f>
        <v>Open</v>
      </c>
      <c r="O40" s="50" t="s">
        <v>624</v>
      </c>
    </row>
    <row r="41" customFormat="false" ht="14.25" hidden="false" customHeight="true" outlineLevel="0" collapsed="false">
      <c r="A41" s="43" t="s">
        <v>630</v>
      </c>
      <c r="B41" s="44" t="n">
        <v>46282</v>
      </c>
      <c r="C41" s="43" t="s">
        <v>623</v>
      </c>
      <c r="D41" s="45" t="s">
        <v>244</v>
      </c>
      <c r="E41" s="46" t="str">
        <f aca="false">IFERROR(INDEX('Master Stock'!$B:$B,MATCH(D41,'Master Stock'!$A:$A,0)),"Code not on Master")</f>
        <v>CAPRIVI BRANDY</v>
      </c>
      <c r="F41" s="47" t="n">
        <v>46327</v>
      </c>
      <c r="G41" s="45" t="s">
        <v>27</v>
      </c>
      <c r="H41" s="30" t="n">
        <v>500</v>
      </c>
      <c r="I41" s="48" t="n">
        <v>207.36</v>
      </c>
      <c r="J41" s="49" t="n">
        <f aca="false">IF(I41="","",H41*I41)</f>
        <v>103680</v>
      </c>
      <c r="K41" s="19" t="n">
        <f aca="false">IF(A41="",0,SUMIFS('Stock Received'!$I:$I,'Stock Received'!$C:$C,A41,'Stock Received'!$E:$E,D41))</f>
        <v>0</v>
      </c>
      <c r="L41" s="19" t="n">
        <f aca="false">IF(K41&gt;=H41*Settings!$B$12,0,MAX(0,H41-K41))</f>
        <v>500</v>
      </c>
      <c r="M41" s="49" t="n">
        <f aca="false">IF(I41="","",L41*I41)</f>
        <v>103680</v>
      </c>
      <c r="N41" s="18" t="str">
        <f aca="false">IF(K41=0,"Open",IF(K41&gt;=H41*Settings!$B$12,"Received","Part received"))</f>
        <v>Open</v>
      </c>
      <c r="O41" s="50" t="s">
        <v>624</v>
      </c>
    </row>
    <row r="42" customFormat="false" ht="14.25" hidden="false" customHeight="true" outlineLevel="0" collapsed="false">
      <c r="A42" s="43" t="s">
        <v>630</v>
      </c>
      <c r="B42" s="44" t="n">
        <v>46282</v>
      </c>
      <c r="C42" s="43" t="s">
        <v>623</v>
      </c>
      <c r="D42" s="45" t="s">
        <v>141</v>
      </c>
      <c r="E42" s="46" t="str">
        <f aca="false">IFERROR(INDEX('Master Stock'!$B:$B,MATCH(D42,'Master Stock'!$A:$A,0)),"Code not on Master")</f>
        <v>CASTROL TOFFEE</v>
      </c>
      <c r="F42" s="47" t="n">
        <v>46327</v>
      </c>
      <c r="G42" s="45" t="s">
        <v>27</v>
      </c>
      <c r="H42" s="30" t="n">
        <v>500</v>
      </c>
      <c r="I42" s="48" t="n">
        <v>300.24</v>
      </c>
      <c r="J42" s="49" t="n">
        <f aca="false">IF(I42="","",H42*I42)</f>
        <v>150120</v>
      </c>
      <c r="K42" s="19" t="n">
        <f aca="false">IF(A42="",0,SUMIFS('Stock Received'!$I:$I,'Stock Received'!$C:$C,A42,'Stock Received'!$E:$E,D42))</f>
        <v>0</v>
      </c>
      <c r="L42" s="19" t="n">
        <f aca="false">IF(K42&gt;=H42*Settings!$B$12,0,MAX(0,H42-K42))</f>
        <v>500</v>
      </c>
      <c r="M42" s="49" t="n">
        <f aca="false">IF(I42="","",L42*I42)</f>
        <v>150120</v>
      </c>
      <c r="N42" s="18" t="str">
        <f aca="false">IF(K42=0,"Open",IF(K42&gt;=H42*Settings!$B$12,"Received","Part received"))</f>
        <v>Open</v>
      </c>
      <c r="O42" s="50" t="s">
        <v>624</v>
      </c>
    </row>
    <row r="43" customFormat="false" ht="14.25" hidden="false" customHeight="true" outlineLevel="0" collapsed="false">
      <c r="A43" s="43" t="s">
        <v>630</v>
      </c>
      <c r="B43" s="44" t="n">
        <v>46282</v>
      </c>
      <c r="C43" s="43" t="s">
        <v>623</v>
      </c>
      <c r="D43" s="45" t="s">
        <v>139</v>
      </c>
      <c r="E43" s="46" t="str">
        <f aca="false">IFERROR(INDEX('Master Stock'!$B:$B,MATCH(D43,'Master Stock'!$A:$A,0)),"Code not on Master")</f>
        <v>CASTROL BROWN</v>
      </c>
      <c r="F43" s="47" t="n">
        <v>46327</v>
      </c>
      <c r="G43" s="45" t="s">
        <v>27</v>
      </c>
      <c r="H43" s="30" t="n">
        <v>500</v>
      </c>
      <c r="I43" s="48" t="n">
        <v>300</v>
      </c>
      <c r="J43" s="49" t="n">
        <f aca="false">IF(I43="","",H43*I43)</f>
        <v>150000</v>
      </c>
      <c r="K43" s="19" t="n">
        <f aca="false">IF(A43="",0,SUMIFS('Stock Received'!$I:$I,'Stock Received'!$C:$C,A43,'Stock Received'!$E:$E,D43))</f>
        <v>0</v>
      </c>
      <c r="L43" s="19" t="n">
        <f aca="false">IF(K43&gt;=H43*Settings!$B$12,0,MAX(0,H43-K43))</f>
        <v>500</v>
      </c>
      <c r="M43" s="49" t="n">
        <f aca="false">IF(I43="","",L43*I43)</f>
        <v>150000</v>
      </c>
      <c r="N43" s="18" t="str">
        <f aca="false">IF(K43=0,"Open",IF(K43&gt;=H43*Settings!$B$12,"Received","Part received"))</f>
        <v>Open</v>
      </c>
      <c r="O43" s="50" t="s">
        <v>624</v>
      </c>
    </row>
    <row r="44" customFormat="false" ht="14.25" hidden="false" customHeight="true" outlineLevel="0" collapsed="false">
      <c r="A44" s="43" t="s">
        <v>630</v>
      </c>
      <c r="B44" s="44" t="n">
        <v>46282</v>
      </c>
      <c r="C44" s="43" t="s">
        <v>623</v>
      </c>
      <c r="D44" s="45" t="s">
        <v>143</v>
      </c>
      <c r="E44" s="46" t="str">
        <f aca="false">IFERROR(INDEX('Master Stock'!$B:$B,MATCH(D44,'Master Stock'!$A:$A,0)),"Code not on Master")</f>
        <v>CASTROL TOBACCO</v>
      </c>
      <c r="F44" s="47" t="n">
        <v>46327</v>
      </c>
      <c r="G44" s="45" t="s">
        <v>27</v>
      </c>
      <c r="H44" s="30" t="n">
        <v>500</v>
      </c>
      <c r="I44" s="48" t="n">
        <v>300</v>
      </c>
      <c r="J44" s="49" t="n">
        <f aca="false">IF(I44="","",H44*I44)</f>
        <v>150000</v>
      </c>
      <c r="K44" s="19" t="n">
        <f aca="false">IF(A44="",0,SUMIFS('Stock Received'!$I:$I,'Stock Received'!$C:$C,A44,'Stock Received'!$E:$E,D44))</f>
        <v>0</v>
      </c>
      <c r="L44" s="19" t="n">
        <f aca="false">IF(K44&gt;=H44*Settings!$B$12,0,MAX(0,H44-K44))</f>
        <v>500</v>
      </c>
      <c r="M44" s="49" t="n">
        <f aca="false">IF(I44="","",L44*I44)</f>
        <v>150000</v>
      </c>
      <c r="N44" s="18" t="str">
        <f aca="false">IF(K44=0,"Open",IF(K44&gt;=H44*Settings!$B$12,"Received","Part received"))</f>
        <v>Open</v>
      </c>
      <c r="O44" s="50" t="s">
        <v>624</v>
      </c>
    </row>
    <row r="45" customFormat="false" ht="14.25" hidden="false" customHeight="true" outlineLevel="0" collapsed="false">
      <c r="A45" s="43" t="s">
        <v>638</v>
      </c>
      <c r="B45" s="44" t="n">
        <v>46282</v>
      </c>
      <c r="C45" s="43" t="s">
        <v>627</v>
      </c>
      <c r="D45" s="45" t="s">
        <v>354</v>
      </c>
      <c r="E45" s="46" t="str">
        <f aca="false">IFERROR(INDEX('Master Stock'!$B:$B,MATCH(D45,'Master Stock'!$A:$A,0)),"Code not on Master")</f>
        <v>CHICAGO GREEN</v>
      </c>
      <c r="F45" s="47" t="n">
        <v>46327</v>
      </c>
      <c r="G45" s="45" t="s">
        <v>27</v>
      </c>
      <c r="H45" s="30" t="n">
        <v>300</v>
      </c>
      <c r="I45" s="48" t="n">
        <v>365</v>
      </c>
      <c r="J45" s="49" t="n">
        <f aca="false">IF(I45="","",H45*I45)</f>
        <v>109500</v>
      </c>
      <c r="K45" s="19" t="n">
        <f aca="false">IF(A45="",0,SUMIFS('Stock Received'!$I:$I,'Stock Received'!$C:$C,A45,'Stock Received'!$E:$E,D45))</f>
        <v>0</v>
      </c>
      <c r="L45" s="19" t="n">
        <f aca="false">IF(K45&gt;=H45*Settings!$B$12,0,MAX(0,H45-K45))</f>
        <v>300</v>
      </c>
      <c r="M45" s="49" t="n">
        <f aca="false">IF(I45="","",L45*I45)</f>
        <v>109500</v>
      </c>
      <c r="N45" s="18" t="str">
        <f aca="false">IF(K45=0,"Open",IF(K45&gt;=H45*Settings!$B$12,"Received","Part received"))</f>
        <v>Open</v>
      </c>
      <c r="O45" s="50" t="s">
        <v>624</v>
      </c>
    </row>
    <row r="46" customFormat="false" ht="14.25" hidden="false" customHeight="true" outlineLevel="0" collapsed="false">
      <c r="A46" s="43" t="s">
        <v>630</v>
      </c>
      <c r="B46" s="44" t="n">
        <v>46282</v>
      </c>
      <c r="C46" s="43" t="s">
        <v>623</v>
      </c>
      <c r="D46" s="45" t="s">
        <v>173</v>
      </c>
      <c r="E46" s="46" t="str">
        <f aca="false">IFERROR(INDEX('Master Stock'!$B:$B,MATCH(D46,'Master Stock'!$A:$A,0)),"Code not on Master")</f>
        <v>DAYTONA BROWN/TAN</v>
      </c>
      <c r="F46" s="47" t="n">
        <v>46327</v>
      </c>
      <c r="G46" s="45" t="s">
        <v>27</v>
      </c>
      <c r="H46" s="30" t="n">
        <v>300</v>
      </c>
      <c r="I46" s="48" t="n">
        <v>292</v>
      </c>
      <c r="J46" s="49" t="n">
        <f aca="false">IF(I46="","",H46*I46)</f>
        <v>87600</v>
      </c>
      <c r="K46" s="19" t="n">
        <f aca="false">IF(A46="",0,SUMIFS('Stock Received'!$I:$I,'Stock Received'!$C:$C,A46,'Stock Received'!$E:$E,D46))</f>
        <v>0</v>
      </c>
      <c r="L46" s="19" t="n">
        <f aca="false">IF(K46&gt;=H46*Settings!$B$12,0,MAX(0,H46-K46))</f>
        <v>300</v>
      </c>
      <c r="M46" s="49" t="n">
        <f aca="false">IF(I46="","",L46*I46)</f>
        <v>87600</v>
      </c>
      <c r="N46" s="18" t="str">
        <f aca="false">IF(K46=0,"Open",IF(K46&gt;=H46*Settings!$B$12,"Received","Part received"))</f>
        <v>Open</v>
      </c>
      <c r="O46" s="50" t="s">
        <v>624</v>
      </c>
    </row>
    <row r="47" customFormat="false" ht="14.25" hidden="false" customHeight="true" outlineLevel="0" collapsed="false">
      <c r="A47" s="43" t="s">
        <v>630</v>
      </c>
      <c r="B47" s="44" t="n">
        <v>46282</v>
      </c>
      <c r="C47" s="43" t="s">
        <v>623</v>
      </c>
      <c r="D47" s="45" t="s">
        <v>177</v>
      </c>
      <c r="E47" s="46" t="str">
        <f aca="false">IFERROR(INDEX('Master Stock'!$B:$B,MATCH(D47,'Master Stock'!$A:$A,0)),"Code not on Master")</f>
        <v>DAYTONA TOFFEE</v>
      </c>
      <c r="F47" s="47" t="n">
        <v>46327</v>
      </c>
      <c r="G47" s="45" t="s">
        <v>27</v>
      </c>
      <c r="H47" s="30" t="n">
        <v>300</v>
      </c>
      <c r="I47" s="48" t="n">
        <v>292</v>
      </c>
      <c r="J47" s="49" t="n">
        <f aca="false">IF(I47="","",H47*I47)</f>
        <v>87600</v>
      </c>
      <c r="K47" s="19" t="n">
        <f aca="false">IF(A47="",0,SUMIFS('Stock Received'!$I:$I,'Stock Received'!$C:$C,A47,'Stock Received'!$E:$E,D47))</f>
        <v>0</v>
      </c>
      <c r="L47" s="19" t="n">
        <f aca="false">IF(K47&gt;=H47*Settings!$B$12,0,MAX(0,H47-K47))</f>
        <v>300</v>
      </c>
      <c r="M47" s="49" t="n">
        <f aca="false">IF(I47="","",L47*I47)</f>
        <v>87600</v>
      </c>
      <c r="N47" s="18" t="str">
        <f aca="false">IF(K47=0,"Open",IF(K47&gt;=H47*Settings!$B$12,"Received","Part received"))</f>
        <v>Open</v>
      </c>
      <c r="O47" s="50" t="s">
        <v>624</v>
      </c>
    </row>
    <row r="48" customFormat="false" ht="14.25" hidden="false" customHeight="true" outlineLevel="0" collapsed="false">
      <c r="A48" s="43" t="s">
        <v>639</v>
      </c>
      <c r="B48" s="44" t="n">
        <v>46301</v>
      </c>
      <c r="C48" s="43" t="s">
        <v>623</v>
      </c>
      <c r="D48" s="45" t="s">
        <v>163</v>
      </c>
      <c r="E48" s="46" t="str">
        <f aca="false">IFERROR(INDEX('Master Stock'!$B:$B,MATCH(D48,'Master Stock'!$A:$A,0)),"Code not on Master")</f>
        <v>DIESEL BROWN</v>
      </c>
      <c r="F48" s="47" t="n">
        <v>46327</v>
      </c>
      <c r="G48" s="45" t="s">
        <v>27</v>
      </c>
      <c r="H48" s="30" t="n">
        <v>300</v>
      </c>
      <c r="I48" s="48" t="n">
        <v>297</v>
      </c>
      <c r="J48" s="49" t="n">
        <f aca="false">IF(I48="","",H48*I48)</f>
        <v>89100</v>
      </c>
      <c r="K48" s="19" t="n">
        <f aca="false">IF(A48="",0,SUMIFS('Stock Received'!$I:$I,'Stock Received'!$C:$C,A48,'Stock Received'!$E:$E,D48))</f>
        <v>0</v>
      </c>
      <c r="L48" s="19" t="n">
        <f aca="false">IF(K48&gt;=H48*Settings!$B$12,0,MAX(0,H48-K48))</f>
        <v>300</v>
      </c>
      <c r="M48" s="49" t="n">
        <f aca="false">IF(I48="","",L48*I48)</f>
        <v>89100</v>
      </c>
      <c r="N48" s="18" t="str">
        <f aca="false">IF(K48=0,"Open",IF(K48&gt;=H48*Settings!$B$12,"Received","Part received"))</f>
        <v>Open</v>
      </c>
      <c r="O48" s="50" t="s">
        <v>624</v>
      </c>
    </row>
    <row r="49" customFormat="false" ht="14.25" hidden="false" customHeight="true" outlineLevel="0" collapsed="false">
      <c r="A49" s="43" t="s">
        <v>640</v>
      </c>
      <c r="B49" s="44" t="n">
        <v>46282</v>
      </c>
      <c r="C49" s="43" t="s">
        <v>623</v>
      </c>
      <c r="D49" s="45" t="s">
        <v>165</v>
      </c>
      <c r="E49" s="46" t="str">
        <f aca="false">IFERROR(INDEX('Master Stock'!$B:$B,MATCH(D49,'Master Stock'!$A:$A,0)),"Code not on Master")</f>
        <v>DIESEL TOFFEE</v>
      </c>
      <c r="F49" s="47" t="n">
        <v>46327</v>
      </c>
      <c r="G49" s="45" t="s">
        <v>28</v>
      </c>
      <c r="H49" s="30" t="n">
        <v>500</v>
      </c>
      <c r="I49" s="48" t="n">
        <v>297</v>
      </c>
      <c r="J49" s="49" t="n">
        <f aca="false">IF(I49="","",H49*I49)</f>
        <v>148500</v>
      </c>
      <c r="K49" s="19" t="n">
        <f aca="false">IF(A49="",0,SUMIFS('Stock Received'!$I:$I,'Stock Received'!$C:$C,A49,'Stock Received'!$E:$E,D49))</f>
        <v>0</v>
      </c>
      <c r="L49" s="19" t="n">
        <f aca="false">IF(K49&gt;=H49*Settings!$B$12,0,MAX(0,H49-K49))</f>
        <v>500</v>
      </c>
      <c r="M49" s="49" t="n">
        <f aca="false">IF(I49="","",L49*I49)</f>
        <v>148500</v>
      </c>
      <c r="N49" s="18" t="str">
        <f aca="false">IF(K49=0,"Open",IF(K49&gt;=H49*Settings!$B$12,"Received","Part received"))</f>
        <v>Open</v>
      </c>
      <c r="O49" s="50" t="s">
        <v>624</v>
      </c>
    </row>
    <row r="50" customFormat="false" ht="14.25" hidden="false" customHeight="true" outlineLevel="0" collapsed="false">
      <c r="A50" s="43" t="s">
        <v>638</v>
      </c>
      <c r="B50" s="44" t="n">
        <v>46282</v>
      </c>
      <c r="C50" s="43" t="s">
        <v>627</v>
      </c>
      <c r="D50" s="45" t="s">
        <v>373</v>
      </c>
      <c r="E50" s="46" t="str">
        <f aca="false">IFERROR(INDEX('Master Stock'!$B:$B,MATCH(D50,'Master Stock'!$A:$A,0)),"Code not on Master")</f>
        <v>ECO TOFFEE</v>
      </c>
      <c r="F50" s="47" t="n">
        <v>46327</v>
      </c>
      <c r="G50" s="45" t="s">
        <v>27</v>
      </c>
      <c r="H50" s="30" t="n">
        <v>300</v>
      </c>
      <c r="I50" s="48" t="n">
        <v>365</v>
      </c>
      <c r="J50" s="49" t="n">
        <f aca="false">IF(I50="","",H50*I50)</f>
        <v>109500</v>
      </c>
      <c r="K50" s="19" t="n">
        <f aca="false">IF(A50="",0,SUMIFS('Stock Received'!$I:$I,'Stock Received'!$C:$C,A50,'Stock Received'!$E:$E,D50))</f>
        <v>0</v>
      </c>
      <c r="L50" s="19" t="n">
        <f aca="false">IF(K50&gt;=H50*Settings!$B$12,0,MAX(0,H50-K50))</f>
        <v>300</v>
      </c>
      <c r="M50" s="49" t="n">
        <f aca="false">IF(I50="","",L50*I50)</f>
        <v>109500</v>
      </c>
      <c r="N50" s="18" t="str">
        <f aca="false">IF(K50=0,"Open",IF(K50&gt;=H50*Settings!$B$12,"Received","Part received"))</f>
        <v>Open</v>
      </c>
      <c r="O50" s="50" t="s">
        <v>624</v>
      </c>
    </row>
    <row r="51" customFormat="false" ht="14.25" hidden="false" customHeight="true" outlineLevel="0" collapsed="false">
      <c r="A51" s="43" t="s">
        <v>638</v>
      </c>
      <c r="B51" s="44" t="n">
        <v>46282</v>
      </c>
      <c r="C51" s="43" t="s">
        <v>627</v>
      </c>
      <c r="D51" s="45" t="s">
        <v>371</v>
      </c>
      <c r="E51" s="46" t="str">
        <f aca="false">IFERROR(INDEX('Master Stock'!$B:$B,MATCH(D51,'Master Stock'!$A:$A,0)),"Code not on Master")</f>
        <v>ECO TAN</v>
      </c>
      <c r="F51" s="47" t="n">
        <v>46327</v>
      </c>
      <c r="G51" s="45" t="s">
        <v>27</v>
      </c>
      <c r="H51" s="30" t="n">
        <v>300</v>
      </c>
      <c r="I51" s="48" t="n">
        <v>365</v>
      </c>
      <c r="J51" s="49" t="n">
        <f aca="false">IF(I51="","",H51*I51)</f>
        <v>109500</v>
      </c>
      <c r="K51" s="19" t="n">
        <f aca="false">IF(A51="",0,SUMIFS('Stock Received'!$I:$I,'Stock Received'!$C:$C,A51,'Stock Received'!$E:$E,D51))</f>
        <v>0</v>
      </c>
      <c r="L51" s="19" t="n">
        <f aca="false">IF(K51&gt;=H51*Settings!$B$12,0,MAX(0,H51-K51))</f>
        <v>300</v>
      </c>
      <c r="M51" s="49" t="n">
        <f aca="false">IF(I51="","",L51*I51)</f>
        <v>109500</v>
      </c>
      <c r="N51" s="18" t="str">
        <f aca="false">IF(K51=0,"Open",IF(K51&gt;=H51*Settings!$B$12,"Received","Part received"))</f>
        <v>Open</v>
      </c>
      <c r="O51" s="50" t="s">
        <v>624</v>
      </c>
    </row>
    <row r="52" customFormat="false" ht="14.25" hidden="false" customHeight="true" outlineLevel="0" collapsed="false">
      <c r="A52" s="43" t="s">
        <v>630</v>
      </c>
      <c r="B52" s="44" t="n">
        <v>46282</v>
      </c>
      <c r="C52" s="43" t="s">
        <v>623</v>
      </c>
      <c r="D52" s="45" t="s">
        <v>200</v>
      </c>
      <c r="E52" s="46" t="str">
        <f aca="false">IFERROR(INDEX('Master Stock'!$B:$B,MATCH(D52,'Master Stock'!$A:$A,0)),"Code not on Master")</f>
        <v>ETOSHA RUST</v>
      </c>
      <c r="F52" s="47" t="n">
        <v>46327</v>
      </c>
      <c r="G52" s="45" t="s">
        <v>27</v>
      </c>
      <c r="H52" s="30" t="n">
        <v>500</v>
      </c>
      <c r="I52" s="48" t="n">
        <v>207</v>
      </c>
      <c r="J52" s="49" t="n">
        <f aca="false">IF(I52="","",H52*I52)</f>
        <v>103500</v>
      </c>
      <c r="K52" s="19" t="n">
        <f aca="false">IF(A52="",0,SUMIFS('Stock Received'!$I:$I,'Stock Received'!$C:$C,A52,'Stock Received'!$E:$E,D52))</f>
        <v>0</v>
      </c>
      <c r="L52" s="19" t="n">
        <f aca="false">IF(K52&gt;=H52*Settings!$B$12,0,MAX(0,H52-K52))</f>
        <v>500</v>
      </c>
      <c r="M52" s="49" t="n">
        <f aca="false">IF(I52="","",L52*I52)</f>
        <v>103500</v>
      </c>
      <c r="N52" s="18" t="str">
        <f aca="false">IF(K52=0,"Open",IF(K52&gt;=H52*Settings!$B$12,"Received","Part received"))</f>
        <v>Open</v>
      </c>
      <c r="O52" s="50" t="s">
        <v>624</v>
      </c>
    </row>
    <row r="53" customFormat="false" ht="14.25" hidden="false" customHeight="true" outlineLevel="0" collapsed="false">
      <c r="A53" s="43" t="s">
        <v>640</v>
      </c>
      <c r="B53" s="44" t="n">
        <v>46282</v>
      </c>
      <c r="C53" s="43" t="s">
        <v>623</v>
      </c>
      <c r="D53" s="45" t="s">
        <v>196</v>
      </c>
      <c r="E53" s="46" t="str">
        <f aca="false">IFERROR(INDEX('Master Stock'!$B:$B,MATCH(D53,'Master Stock'!$A:$A,0)),"Code not on Master")</f>
        <v>ETOSHA PECAN</v>
      </c>
      <c r="F53" s="47" t="n">
        <v>46327</v>
      </c>
      <c r="G53" s="45" t="s">
        <v>28</v>
      </c>
      <c r="H53" s="30" t="n">
        <v>500</v>
      </c>
      <c r="I53" s="48" t="n">
        <v>207</v>
      </c>
      <c r="J53" s="49" t="n">
        <f aca="false">IF(I53="","",H53*I53)</f>
        <v>103500</v>
      </c>
      <c r="K53" s="19" t="n">
        <f aca="false">IF(A53="",0,SUMIFS('Stock Received'!$I:$I,'Stock Received'!$C:$C,A53,'Stock Received'!$E:$E,D53))</f>
        <v>0</v>
      </c>
      <c r="L53" s="19" t="n">
        <f aca="false">IF(K53&gt;=H53*Settings!$B$12,0,MAX(0,H53-K53))</f>
        <v>500</v>
      </c>
      <c r="M53" s="49" t="n">
        <f aca="false">IF(I53="","",L53*I53)</f>
        <v>103500</v>
      </c>
      <c r="N53" s="18" t="str">
        <f aca="false">IF(K53=0,"Open",IF(K53&gt;=H53*Settings!$B$12,"Received","Part received"))</f>
        <v>Open</v>
      </c>
      <c r="O53" s="50" t="s">
        <v>624</v>
      </c>
    </row>
    <row r="54" customFormat="false" ht="14.25" hidden="false" customHeight="true" outlineLevel="0" collapsed="false">
      <c r="A54" s="43" t="s">
        <v>630</v>
      </c>
      <c r="B54" s="44" t="n">
        <v>46282</v>
      </c>
      <c r="C54" s="43" t="s">
        <v>623</v>
      </c>
      <c r="D54" s="45" t="s">
        <v>196</v>
      </c>
      <c r="E54" s="46" t="str">
        <f aca="false">IFERROR(INDEX('Master Stock'!$B:$B,MATCH(D54,'Master Stock'!$A:$A,0)),"Code not on Master")</f>
        <v>ETOSHA PECAN</v>
      </c>
      <c r="F54" s="47" t="n">
        <v>46327</v>
      </c>
      <c r="G54" s="45" t="s">
        <v>27</v>
      </c>
      <c r="H54" s="30" t="n">
        <v>1000</v>
      </c>
      <c r="I54" s="48" t="n">
        <v>207</v>
      </c>
      <c r="J54" s="49" t="n">
        <f aca="false">IF(I54="","",H54*I54)</f>
        <v>207000</v>
      </c>
      <c r="K54" s="19" t="n">
        <f aca="false">IF(A54="",0,SUMIFS('Stock Received'!$I:$I,'Stock Received'!$C:$C,A54,'Stock Received'!$E:$E,D54))</f>
        <v>0</v>
      </c>
      <c r="L54" s="19" t="n">
        <f aca="false">IF(K54&gt;=H54*Settings!$B$12,0,MAX(0,H54-K54))</f>
        <v>1000</v>
      </c>
      <c r="M54" s="49" t="n">
        <f aca="false">IF(I54="","",L54*I54)</f>
        <v>207000</v>
      </c>
      <c r="N54" s="18" t="str">
        <f aca="false">IF(K54=0,"Open",IF(K54&gt;=H54*Settings!$B$12,"Received","Part received"))</f>
        <v>Open</v>
      </c>
      <c r="O54" s="50" t="s">
        <v>624</v>
      </c>
    </row>
    <row r="55" customFormat="false" ht="14.25" hidden="false" customHeight="true" outlineLevel="0" collapsed="false">
      <c r="A55" s="43" t="s">
        <v>640</v>
      </c>
      <c r="B55" s="44" t="n">
        <v>46282</v>
      </c>
      <c r="C55" s="43" t="s">
        <v>623</v>
      </c>
      <c r="D55" s="45" t="s">
        <v>198</v>
      </c>
      <c r="E55" s="46" t="str">
        <f aca="false">IFERROR(INDEX('Master Stock'!$B:$B,MATCH(D55,'Master Stock'!$A:$A,0)),"Code not on Master")</f>
        <v>ETOSHA CHESTNUT</v>
      </c>
      <c r="F55" s="47" t="n">
        <v>46327</v>
      </c>
      <c r="G55" s="45" t="s">
        <v>28</v>
      </c>
      <c r="H55" s="30" t="n">
        <v>1000</v>
      </c>
      <c r="I55" s="48" t="n">
        <v>207</v>
      </c>
      <c r="J55" s="49" t="n">
        <f aca="false">IF(I55="","",H55*I55)</f>
        <v>207000</v>
      </c>
      <c r="K55" s="19" t="n">
        <f aca="false">IF(A55="",0,SUMIFS('Stock Received'!$I:$I,'Stock Received'!$C:$C,A55,'Stock Received'!$E:$E,D55))</f>
        <v>0</v>
      </c>
      <c r="L55" s="19" t="n">
        <f aca="false">IF(K55&gt;=H55*Settings!$B$12,0,MAX(0,H55-K55))</f>
        <v>1000</v>
      </c>
      <c r="M55" s="49" t="n">
        <f aca="false">IF(I55="","",L55*I55)</f>
        <v>207000</v>
      </c>
      <c r="N55" s="18" t="str">
        <f aca="false">IF(K55=0,"Open",IF(K55&gt;=H55*Settings!$B$12,"Received","Part received"))</f>
        <v>Open</v>
      </c>
      <c r="O55" s="50" t="s">
        <v>624</v>
      </c>
    </row>
    <row r="56" customFormat="false" ht="14.25" hidden="false" customHeight="true" outlineLevel="0" collapsed="false">
      <c r="A56" s="43" t="s">
        <v>630</v>
      </c>
      <c r="B56" s="44" t="n">
        <v>46282</v>
      </c>
      <c r="C56" s="43" t="s">
        <v>623</v>
      </c>
      <c r="D56" s="45" t="s">
        <v>198</v>
      </c>
      <c r="E56" s="46" t="str">
        <f aca="false">IFERROR(INDEX('Master Stock'!$B:$B,MATCH(D56,'Master Stock'!$A:$A,0)),"Code not on Master")</f>
        <v>ETOSHA CHESTNUT</v>
      </c>
      <c r="F56" s="47" t="n">
        <v>46327</v>
      </c>
      <c r="G56" s="45" t="s">
        <v>27</v>
      </c>
      <c r="H56" s="30" t="n">
        <v>500</v>
      </c>
      <c r="I56" s="48" t="n">
        <v>207</v>
      </c>
      <c r="J56" s="49" t="n">
        <f aca="false">IF(I56="","",H56*I56)</f>
        <v>103500</v>
      </c>
      <c r="K56" s="19" t="n">
        <f aca="false">IF(A56="",0,SUMIFS('Stock Received'!$I:$I,'Stock Received'!$C:$C,A56,'Stock Received'!$E:$E,D56))</f>
        <v>0</v>
      </c>
      <c r="L56" s="19" t="n">
        <f aca="false">IF(K56&gt;=H56*Settings!$B$12,0,MAX(0,H56-K56))</f>
        <v>500</v>
      </c>
      <c r="M56" s="49" t="n">
        <f aca="false">IF(I56="","",L56*I56)</f>
        <v>103500</v>
      </c>
      <c r="N56" s="18" t="str">
        <f aca="false">IF(K56=0,"Open",IF(K56&gt;=H56*Settings!$B$12,"Received","Part received"))</f>
        <v>Open</v>
      </c>
      <c r="O56" s="50" t="s">
        <v>624</v>
      </c>
    </row>
    <row r="57" customFormat="false" ht="14.25" hidden="false" customHeight="true" outlineLevel="0" collapsed="false">
      <c r="A57" s="43" t="s">
        <v>630</v>
      </c>
      <c r="B57" s="44" t="n">
        <v>46282</v>
      </c>
      <c r="C57" s="43" t="s">
        <v>623</v>
      </c>
      <c r="D57" s="45" t="s">
        <v>202</v>
      </c>
      <c r="E57" s="46" t="str">
        <f aca="false">IFERROR(INDEX('Master Stock'!$B:$B,MATCH(D57,'Master Stock'!$A:$A,0)),"Code not on Master")</f>
        <v>ETOSHA EMERALD</v>
      </c>
      <c r="F57" s="47" t="n">
        <v>46327</v>
      </c>
      <c r="G57" s="45" t="s">
        <v>27</v>
      </c>
      <c r="H57" s="30" t="n">
        <v>500</v>
      </c>
      <c r="I57" s="48" t="n">
        <v>207</v>
      </c>
      <c r="J57" s="49" t="n">
        <f aca="false">IF(I57="","",H57*I57)</f>
        <v>103500</v>
      </c>
      <c r="K57" s="19" t="n">
        <f aca="false">IF(A57="",0,SUMIFS('Stock Received'!$I:$I,'Stock Received'!$C:$C,A57,'Stock Received'!$E:$E,D57))</f>
        <v>0</v>
      </c>
      <c r="L57" s="19" t="n">
        <f aca="false">IF(K57&gt;=H57*Settings!$B$12,0,MAX(0,H57-K57))</f>
        <v>500</v>
      </c>
      <c r="M57" s="49" t="n">
        <f aca="false">IF(I57="","",L57*I57)</f>
        <v>103500</v>
      </c>
      <c r="N57" s="18" t="str">
        <f aca="false">IF(K57=0,"Open",IF(K57&gt;=H57*Settings!$B$12,"Received","Part received"))</f>
        <v>Open</v>
      </c>
      <c r="O57" s="50" t="s">
        <v>624</v>
      </c>
    </row>
    <row r="58" customFormat="false" ht="14.25" hidden="false" customHeight="true" outlineLevel="0" collapsed="false">
      <c r="A58" s="43" t="s">
        <v>630</v>
      </c>
      <c r="B58" s="44" t="n">
        <v>46282</v>
      </c>
      <c r="C58" s="43" t="s">
        <v>623</v>
      </c>
      <c r="D58" s="45" t="s">
        <v>204</v>
      </c>
      <c r="E58" s="46" t="str">
        <f aca="false">IFERROR(INDEX('Master Stock'!$B:$B,MATCH(D58,'Master Stock'!$A:$A,0)),"Code not on Master")</f>
        <v>ETOSHA CIGAR</v>
      </c>
      <c r="F58" s="47" t="n">
        <v>46327</v>
      </c>
      <c r="G58" s="45" t="s">
        <v>27</v>
      </c>
      <c r="H58" s="30" t="n">
        <v>500</v>
      </c>
      <c r="I58" s="48" t="n">
        <v>207</v>
      </c>
      <c r="J58" s="49" t="n">
        <f aca="false">IF(I58="","",H58*I58)</f>
        <v>103500</v>
      </c>
      <c r="K58" s="19" t="n">
        <f aca="false">IF(A58="",0,SUMIFS('Stock Received'!$I:$I,'Stock Received'!$C:$C,A58,'Stock Received'!$E:$E,D58))</f>
        <v>0</v>
      </c>
      <c r="L58" s="19" t="n">
        <f aca="false">IF(K58&gt;=H58*Settings!$B$12,0,MAX(0,H58-K58))</f>
        <v>500</v>
      </c>
      <c r="M58" s="49" t="n">
        <f aca="false">IF(I58="","",L58*I58)</f>
        <v>103500</v>
      </c>
      <c r="N58" s="18" t="str">
        <f aca="false">IF(K58=0,"Open",IF(K58&gt;=H58*Settings!$B$12,"Received","Part received"))</f>
        <v>Open</v>
      </c>
      <c r="O58" s="50" t="s">
        <v>624</v>
      </c>
    </row>
    <row r="59" customFormat="false" ht="14.25" hidden="false" customHeight="true" outlineLevel="0" collapsed="false">
      <c r="A59" s="43" t="s">
        <v>630</v>
      </c>
      <c r="B59" s="44" t="n">
        <v>46282</v>
      </c>
      <c r="C59" s="43" t="s">
        <v>623</v>
      </c>
      <c r="D59" s="45" t="s">
        <v>91</v>
      </c>
      <c r="E59" s="46" t="str">
        <f aca="false">IFERROR(INDEX('Master Stock'!$B:$B,MATCH(D59,'Master Stock'!$A:$A,0)),"Code not on Master")</f>
        <v>GAZELLE OYSTER</v>
      </c>
      <c r="F59" s="47" t="n">
        <v>46327</v>
      </c>
      <c r="G59" s="45" t="s">
        <v>27</v>
      </c>
      <c r="H59" s="30" t="n">
        <v>500</v>
      </c>
      <c r="I59" s="48" t="n">
        <v>297</v>
      </c>
      <c r="J59" s="49" t="n">
        <f aca="false">IF(I59="","",H59*I59)</f>
        <v>148500</v>
      </c>
      <c r="K59" s="19" t="n">
        <f aca="false">IF(A59="",0,SUMIFS('Stock Received'!$I:$I,'Stock Received'!$C:$C,A59,'Stock Received'!$E:$E,D59))</f>
        <v>0</v>
      </c>
      <c r="L59" s="19" t="n">
        <f aca="false">IF(K59&gt;=H59*Settings!$B$12,0,MAX(0,H59-K59))</f>
        <v>500</v>
      </c>
      <c r="M59" s="49" t="n">
        <f aca="false">IF(I59="","",L59*I59)</f>
        <v>148500</v>
      </c>
      <c r="N59" s="18" t="str">
        <f aca="false">IF(K59=0,"Open",IF(K59&gt;=H59*Settings!$B$12,"Received","Part received"))</f>
        <v>Open</v>
      </c>
      <c r="O59" s="50" t="s">
        <v>624</v>
      </c>
    </row>
    <row r="60" customFormat="false" ht="14.25" hidden="false" customHeight="true" outlineLevel="0" collapsed="false">
      <c r="A60" s="43" t="s">
        <v>638</v>
      </c>
      <c r="B60" s="44" t="n">
        <v>46282</v>
      </c>
      <c r="C60" s="43" t="s">
        <v>627</v>
      </c>
      <c r="D60" s="45" t="s">
        <v>376</v>
      </c>
      <c r="E60" s="46" t="str">
        <f aca="false">IFERROR(INDEX('Master Stock'!$B:$B,MATCH(D60,'Master Stock'!$A:$A,0)),"Code not on Master")</f>
        <v>HAVANA PLUS WALNUT</v>
      </c>
      <c r="F60" s="47" t="n">
        <v>46327</v>
      </c>
      <c r="G60" s="45" t="s">
        <v>27</v>
      </c>
      <c r="H60" s="30" t="n">
        <v>300</v>
      </c>
      <c r="I60" s="48" t="n">
        <v>365</v>
      </c>
      <c r="J60" s="49" t="n">
        <f aca="false">IF(I60="","",H60*I60)</f>
        <v>109500</v>
      </c>
      <c r="K60" s="19" t="n">
        <f aca="false">IF(A60="",0,SUMIFS('Stock Received'!$I:$I,'Stock Received'!$C:$C,A60,'Stock Received'!$E:$E,D60))</f>
        <v>0</v>
      </c>
      <c r="L60" s="19" t="n">
        <f aca="false">IF(K60&gt;=H60*Settings!$B$12,0,MAX(0,H60-K60))</f>
        <v>300</v>
      </c>
      <c r="M60" s="49" t="n">
        <f aca="false">IF(I60="","",L60*I60)</f>
        <v>109500</v>
      </c>
      <c r="N60" s="18" t="str">
        <f aca="false">IF(K60=0,"Open",IF(K60&gt;=H60*Settings!$B$12,"Received","Part received"))</f>
        <v>Open</v>
      </c>
      <c r="O60" s="50" t="s">
        <v>624</v>
      </c>
    </row>
    <row r="61" customFormat="false" ht="14.25" hidden="false" customHeight="true" outlineLevel="0" collapsed="false">
      <c r="A61" s="43" t="s">
        <v>638</v>
      </c>
      <c r="B61" s="44" t="n">
        <v>46282</v>
      </c>
      <c r="C61" s="43" t="s">
        <v>627</v>
      </c>
      <c r="D61" s="45" t="s">
        <v>378</v>
      </c>
      <c r="E61" s="46" t="str">
        <f aca="false">IFERROR(INDEX('Master Stock'!$B:$B,MATCH(D61,'Master Stock'!$A:$A,0)),"Code not on Master")</f>
        <v>HAVANNA PLUS PLUS BIANCA</v>
      </c>
      <c r="F61" s="47" t="n">
        <v>46327</v>
      </c>
      <c r="G61" s="45" t="s">
        <v>27</v>
      </c>
      <c r="H61" s="30" t="n">
        <v>300</v>
      </c>
      <c r="I61" s="48" t="n">
        <v>365</v>
      </c>
      <c r="J61" s="49" t="n">
        <f aca="false">IF(I61="","",H61*I61)</f>
        <v>109500</v>
      </c>
      <c r="K61" s="19" t="n">
        <f aca="false">IF(A61="",0,SUMIFS('Stock Received'!$I:$I,'Stock Received'!$C:$C,A61,'Stock Received'!$E:$E,D61))</f>
        <v>0</v>
      </c>
      <c r="L61" s="19" t="n">
        <f aca="false">IF(K61&gt;=H61*Settings!$B$12,0,MAX(0,H61-K61))</f>
        <v>300</v>
      </c>
      <c r="M61" s="49" t="n">
        <f aca="false">IF(I61="","",L61*I61)</f>
        <v>109500</v>
      </c>
      <c r="N61" s="18" t="str">
        <f aca="false">IF(K61=0,"Open",IF(K61&gt;=H61*Settings!$B$12,"Received","Part received"))</f>
        <v>Open</v>
      </c>
      <c r="O61" s="50" t="s">
        <v>624</v>
      </c>
    </row>
    <row r="62" customFormat="false" ht="14.25" hidden="false" customHeight="true" outlineLevel="0" collapsed="false">
      <c r="A62" s="43" t="s">
        <v>639</v>
      </c>
      <c r="B62" s="44" t="n">
        <v>46301</v>
      </c>
      <c r="C62" s="43" t="s">
        <v>623</v>
      </c>
      <c r="D62" s="45" t="s">
        <v>101</v>
      </c>
      <c r="E62" s="46" t="str">
        <f aca="false">IFERROR(INDEX('Master Stock'!$B:$B,MATCH(D62,'Master Stock'!$A:$A,0)),"Code not on Master")</f>
        <v>MOROCCO CHOCOLATE</v>
      </c>
      <c r="F62" s="47" t="n">
        <v>46327</v>
      </c>
      <c r="G62" s="45" t="s">
        <v>27</v>
      </c>
      <c r="H62" s="30" t="n">
        <v>300</v>
      </c>
      <c r="I62" s="48" t="n">
        <v>291.6</v>
      </c>
      <c r="J62" s="49" t="n">
        <f aca="false">IF(I62="","",H62*I62)</f>
        <v>87480</v>
      </c>
      <c r="K62" s="19" t="n">
        <f aca="false">IF(A62="",0,SUMIFS('Stock Received'!$I:$I,'Stock Received'!$C:$C,A62,'Stock Received'!$E:$E,D62))</f>
        <v>0</v>
      </c>
      <c r="L62" s="19" t="n">
        <f aca="false">IF(K62&gt;=H62*Settings!$B$12,0,MAX(0,H62-K62))</f>
        <v>300</v>
      </c>
      <c r="M62" s="49" t="n">
        <f aca="false">IF(I62="","",L62*I62)</f>
        <v>87480</v>
      </c>
      <c r="N62" s="18" t="str">
        <f aca="false">IF(K62=0,"Open",IF(K62&gt;=H62*Settings!$B$12,"Received","Part received"))</f>
        <v>Open</v>
      </c>
      <c r="O62" s="50" t="s">
        <v>624</v>
      </c>
    </row>
    <row r="63" customFormat="false" ht="14.25" hidden="false" customHeight="true" outlineLevel="0" collapsed="false">
      <c r="A63" s="43" t="s">
        <v>630</v>
      </c>
      <c r="B63" s="44" t="n">
        <v>46282</v>
      </c>
      <c r="C63" s="43" t="s">
        <v>623</v>
      </c>
      <c r="D63" s="45" t="s">
        <v>105</v>
      </c>
      <c r="E63" s="46" t="str">
        <f aca="false">IFERROR(INDEX('Master Stock'!$B:$B,MATCH(D63,'Master Stock'!$A:$A,0)),"Code not on Master")</f>
        <v>MOROCCO RUBY</v>
      </c>
      <c r="F63" s="47" t="n">
        <v>46327</v>
      </c>
      <c r="G63" s="45" t="s">
        <v>27</v>
      </c>
      <c r="H63" s="30" t="n">
        <v>300</v>
      </c>
      <c r="I63" s="48" t="n">
        <v>292</v>
      </c>
      <c r="J63" s="49" t="n">
        <f aca="false">IF(I63="","",H63*I63)</f>
        <v>87600</v>
      </c>
      <c r="K63" s="19" t="n">
        <f aca="false">IF(A63="",0,SUMIFS('Stock Received'!$I:$I,'Stock Received'!$C:$C,A63,'Stock Received'!$E:$E,D63))</f>
        <v>0</v>
      </c>
      <c r="L63" s="19" t="n">
        <f aca="false">IF(K63&gt;=H63*Settings!$B$12,0,MAX(0,H63-K63))</f>
        <v>300</v>
      </c>
      <c r="M63" s="49" t="n">
        <f aca="false">IF(I63="","",L63*I63)</f>
        <v>87600</v>
      </c>
      <c r="N63" s="18" t="str">
        <f aca="false">IF(K63=0,"Open",IF(K63&gt;=H63*Settings!$B$12,"Received","Part received"))</f>
        <v>Open</v>
      </c>
      <c r="O63" s="50" t="s">
        <v>624</v>
      </c>
    </row>
    <row r="64" customFormat="false" ht="14.25" hidden="false" customHeight="true" outlineLevel="0" collapsed="false">
      <c r="A64" s="43" t="s">
        <v>630</v>
      </c>
      <c r="B64" s="44" t="n">
        <v>46282</v>
      </c>
      <c r="C64" s="43" t="s">
        <v>623</v>
      </c>
      <c r="D64" s="45" t="s">
        <v>192</v>
      </c>
      <c r="E64" s="46" t="str">
        <f aca="false">IFERROR(INDEX('Master Stock'!$B:$B,MATCH(D64,'Master Stock'!$A:$A,0)),"Code not on Master")</f>
        <v>NAVADA CERISE/PINK</v>
      </c>
      <c r="F64" s="47" t="n">
        <v>46327</v>
      </c>
      <c r="G64" s="45" t="s">
        <v>27</v>
      </c>
      <c r="H64" s="30" t="n">
        <v>300</v>
      </c>
      <c r="I64" s="48" t="n">
        <v>329</v>
      </c>
      <c r="J64" s="49" t="n">
        <f aca="false">IF(I64="","",H64*I64)</f>
        <v>98700</v>
      </c>
      <c r="K64" s="19" t="n">
        <f aca="false">IF(A64="",0,SUMIFS('Stock Received'!$I:$I,'Stock Received'!$C:$C,A64,'Stock Received'!$E:$E,D64))</f>
        <v>0</v>
      </c>
      <c r="L64" s="19" t="n">
        <f aca="false">IF(K64&gt;=H64*Settings!$B$12,0,MAX(0,H64-K64))</f>
        <v>300</v>
      </c>
      <c r="M64" s="49" t="n">
        <f aca="false">IF(I64="","",L64*I64)</f>
        <v>98700</v>
      </c>
      <c r="N64" s="18" t="str">
        <f aca="false">IF(K64=0,"Open",IF(K64&gt;=H64*Settings!$B$12,"Received","Part received"))</f>
        <v>Open</v>
      </c>
      <c r="O64" s="50" t="s">
        <v>624</v>
      </c>
    </row>
    <row r="65" customFormat="false" ht="14.25" hidden="false" customHeight="true" outlineLevel="0" collapsed="false">
      <c r="A65" s="43" t="s">
        <v>639</v>
      </c>
      <c r="B65" s="44" t="n">
        <v>46301</v>
      </c>
      <c r="C65" s="43" t="s">
        <v>623</v>
      </c>
      <c r="D65" s="45" t="s">
        <v>139</v>
      </c>
      <c r="E65" s="46" t="str">
        <f aca="false">IFERROR(INDEX('Master Stock'!$B:$B,MATCH(D65,'Master Stock'!$A:$A,0)),"Code not on Master")</f>
        <v>CASTROL BROWN</v>
      </c>
      <c r="F65" s="47" t="n">
        <v>46352</v>
      </c>
      <c r="G65" s="45" t="s">
        <v>27</v>
      </c>
      <c r="H65" s="30" t="n">
        <v>300</v>
      </c>
      <c r="I65" s="48" t="n">
        <v>300</v>
      </c>
      <c r="J65" s="49" t="n">
        <f aca="false">IF(I65="","",H65*I65)</f>
        <v>90000</v>
      </c>
      <c r="K65" s="19" t="n">
        <f aca="false">IF(A65="",0,SUMIFS('Stock Received'!$I:$I,'Stock Received'!$C:$C,A65,'Stock Received'!$E:$E,D65))</f>
        <v>0</v>
      </c>
      <c r="L65" s="19" t="n">
        <f aca="false">IF(K65&gt;=H65*Settings!$B$12,0,MAX(0,H65-K65))</f>
        <v>300</v>
      </c>
      <c r="M65" s="49" t="n">
        <f aca="false">IF(I65="","",L65*I65)</f>
        <v>90000</v>
      </c>
      <c r="N65" s="18" t="str">
        <f aca="false">IF(K65=0,"Open",IF(K65&gt;=H65*Settings!$B$12,"Received","Part received"))</f>
        <v>Open</v>
      </c>
      <c r="O65" s="50" t="s">
        <v>624</v>
      </c>
    </row>
    <row r="66" customFormat="false" ht="14.25" hidden="false" customHeight="true" outlineLevel="0" collapsed="false">
      <c r="A66" s="43" t="s">
        <v>639</v>
      </c>
      <c r="B66" s="44" t="n">
        <v>46301</v>
      </c>
      <c r="C66" s="43" t="s">
        <v>623</v>
      </c>
      <c r="D66" s="45" t="s">
        <v>133</v>
      </c>
      <c r="E66" s="46" t="str">
        <f aca="false">IFERROR(INDEX('Master Stock'!$B:$B,MATCH(D66,'Master Stock'!$A:$A,0)),"Code not on Master")</f>
        <v>CLASSIC MUSTARD</v>
      </c>
      <c r="F66" s="47" t="n">
        <v>46327</v>
      </c>
      <c r="G66" s="45" t="s">
        <v>27</v>
      </c>
      <c r="H66" s="30" t="n">
        <v>300</v>
      </c>
      <c r="I66" s="48" t="n">
        <v>280.8</v>
      </c>
      <c r="J66" s="49" t="n">
        <f aca="false">IF(I66="","",H66*I66)</f>
        <v>84240</v>
      </c>
      <c r="K66" s="19" t="n">
        <f aca="false">IF(A66="",0,SUMIFS('Stock Received'!$I:$I,'Stock Received'!$C:$C,A66,'Stock Received'!$E:$E,D66))</f>
        <v>0</v>
      </c>
      <c r="L66" s="19" t="n">
        <f aca="false">IF(K66&gt;=H66*Settings!$B$12,0,MAX(0,H66-K66))</f>
        <v>300</v>
      </c>
      <c r="M66" s="49" t="n">
        <f aca="false">IF(I66="","",L66*I66)</f>
        <v>84240</v>
      </c>
      <c r="N66" s="18" t="str">
        <f aca="false">IF(K66=0,"Open",IF(K66&gt;=H66*Settings!$B$12,"Received","Part received"))</f>
        <v>Open</v>
      </c>
      <c r="O66" s="50" t="s">
        <v>624</v>
      </c>
    </row>
    <row r="67" customFormat="false" ht="14.25" hidden="false" customHeight="true" outlineLevel="0" collapsed="false">
      <c r="A67" s="43" t="s">
        <v>638</v>
      </c>
      <c r="B67" s="44" t="n">
        <v>46282</v>
      </c>
      <c r="C67" s="43" t="s">
        <v>627</v>
      </c>
      <c r="D67" s="45" t="s">
        <v>388</v>
      </c>
      <c r="E67" s="46" t="str">
        <f aca="false">IFERROR(INDEX('Master Stock'!$B:$B,MATCH(D67,'Master Stock'!$A:$A,0)),"Code not on Master")</f>
        <v>ROSY NAPPA BLUSH</v>
      </c>
      <c r="F67" s="47" t="n">
        <v>46327</v>
      </c>
      <c r="G67" s="45" t="s">
        <v>27</v>
      </c>
      <c r="H67" s="30" t="n">
        <v>300</v>
      </c>
      <c r="I67" s="48" t="n">
        <v>310</v>
      </c>
      <c r="J67" s="49" t="n">
        <f aca="false">IF(I67="","",H67*I67)</f>
        <v>93000</v>
      </c>
      <c r="K67" s="19" t="n">
        <f aca="false">IF(A67="",0,SUMIFS('Stock Received'!$I:$I,'Stock Received'!$C:$C,A67,'Stock Received'!$E:$E,D67))</f>
        <v>0</v>
      </c>
      <c r="L67" s="19" t="n">
        <f aca="false">IF(K67&gt;=H67*Settings!$B$12,0,MAX(0,H67-K67))</f>
        <v>300</v>
      </c>
      <c r="M67" s="49" t="n">
        <f aca="false">IF(I67="","",L67*I67)</f>
        <v>93000</v>
      </c>
      <c r="N67" s="18" t="str">
        <f aca="false">IF(K67=0,"Open",IF(K67&gt;=H67*Settings!$B$12,"Received","Part received"))</f>
        <v>Open</v>
      </c>
      <c r="O67" s="50" t="s">
        <v>624</v>
      </c>
    </row>
    <row r="68" customFormat="false" ht="14.25" hidden="false" customHeight="true" outlineLevel="0" collapsed="false">
      <c r="A68" s="43" t="s">
        <v>638</v>
      </c>
      <c r="B68" s="44" t="n">
        <v>46282</v>
      </c>
      <c r="C68" s="43" t="s">
        <v>627</v>
      </c>
      <c r="D68" s="45" t="s">
        <v>400</v>
      </c>
      <c r="E68" s="46" t="str">
        <f aca="false">IFERROR(INDEX('Master Stock'!$B:$B,MATCH(D68,'Master Stock'!$A:$A,0)),"Code not on Master")</f>
        <v>SALVADOR DARK CHOC</v>
      </c>
      <c r="F68" s="47" t="n">
        <v>46327</v>
      </c>
      <c r="G68" s="45" t="s">
        <v>27</v>
      </c>
      <c r="H68" s="30" t="n">
        <v>300</v>
      </c>
      <c r="I68" s="48" t="n">
        <v>365</v>
      </c>
      <c r="J68" s="49" t="n">
        <f aca="false">IF(I68="","",H68*I68)</f>
        <v>109500</v>
      </c>
      <c r="K68" s="19" t="n">
        <f aca="false">IF(A68="",0,SUMIFS('Stock Received'!$I:$I,'Stock Received'!$C:$C,A68,'Stock Received'!$E:$E,D68))</f>
        <v>0</v>
      </c>
      <c r="L68" s="19" t="n">
        <f aca="false">IF(K68&gt;=H68*Settings!$B$12,0,MAX(0,H68-K68))</f>
        <v>300</v>
      </c>
      <c r="M68" s="49" t="n">
        <f aca="false">IF(I68="","",L68*I68)</f>
        <v>109500</v>
      </c>
      <c r="N68" s="18" t="str">
        <f aca="false">IF(K68=0,"Open",IF(K68&gt;=H68*Settings!$B$12,"Received","Part received"))</f>
        <v>Open</v>
      </c>
      <c r="O68" s="50" t="s">
        <v>624</v>
      </c>
    </row>
    <row r="69" customFormat="false" ht="14.25" hidden="false" customHeight="true" outlineLevel="0" collapsed="false">
      <c r="A69" s="43" t="s">
        <v>630</v>
      </c>
      <c r="B69" s="44" t="n">
        <v>46282</v>
      </c>
      <c r="C69" s="43" t="s">
        <v>623</v>
      </c>
      <c r="D69" s="45" t="s">
        <v>113</v>
      </c>
      <c r="E69" s="46" t="str">
        <f aca="false">IFERROR(INDEX('Master Stock'!$B:$B,MATCH(D69,'Master Stock'!$A:$A,0)),"Code not on Master")</f>
        <v>SANTOS COTTON WHITE</v>
      </c>
      <c r="F69" s="47" t="n">
        <v>46327</v>
      </c>
      <c r="G69" s="45" t="s">
        <v>27</v>
      </c>
      <c r="H69" s="30" t="n">
        <v>300</v>
      </c>
      <c r="I69" s="48" t="n">
        <v>217</v>
      </c>
      <c r="J69" s="49" t="n">
        <f aca="false">IF(I69="","",H69*I69)</f>
        <v>65100</v>
      </c>
      <c r="K69" s="19" t="n">
        <f aca="false">IF(A69="",0,SUMIFS('Stock Received'!$I:$I,'Stock Received'!$C:$C,A69,'Stock Received'!$E:$E,D69))</f>
        <v>0</v>
      </c>
      <c r="L69" s="19" t="n">
        <f aca="false">IF(K69&gt;=H69*Settings!$B$12,0,MAX(0,H69-K69))</f>
        <v>300</v>
      </c>
      <c r="M69" s="49" t="n">
        <f aca="false">IF(I69="","",L69*I69)</f>
        <v>65100</v>
      </c>
      <c r="N69" s="18" t="str">
        <f aca="false">IF(K69=0,"Open",IF(K69&gt;=H69*Settings!$B$12,"Received","Part received"))</f>
        <v>Open</v>
      </c>
      <c r="O69" s="50" t="s">
        <v>624</v>
      </c>
    </row>
    <row r="70" customFormat="false" ht="14.25" hidden="false" customHeight="true" outlineLevel="0" collapsed="false">
      <c r="A70" s="43" t="s">
        <v>630</v>
      </c>
      <c r="B70" s="44" t="n">
        <v>46282</v>
      </c>
      <c r="C70" s="43" t="s">
        <v>623</v>
      </c>
      <c r="D70" s="45" t="s">
        <v>111</v>
      </c>
      <c r="E70" s="46" t="str">
        <f aca="false">IFERROR(INDEX('Master Stock'!$B:$B,MATCH(D70,'Master Stock'!$A:$A,0)),"Code not on Master")</f>
        <v>SANTOS ICE WHITE</v>
      </c>
      <c r="F70" s="47" t="n">
        <v>46327</v>
      </c>
      <c r="G70" s="45" t="s">
        <v>27</v>
      </c>
      <c r="H70" s="30" t="n">
        <v>300</v>
      </c>
      <c r="I70" s="48" t="n">
        <v>217</v>
      </c>
      <c r="J70" s="49" t="n">
        <f aca="false">IF(I70="","",H70*I70)</f>
        <v>65100</v>
      </c>
      <c r="K70" s="19" t="n">
        <f aca="false">IF(A70="",0,SUMIFS('Stock Received'!$I:$I,'Stock Received'!$C:$C,A70,'Stock Received'!$E:$E,D70))</f>
        <v>0</v>
      </c>
      <c r="L70" s="19" t="n">
        <f aca="false">IF(K70&gt;=H70*Settings!$B$12,0,MAX(0,H70-K70))</f>
        <v>300</v>
      </c>
      <c r="M70" s="49" t="n">
        <f aca="false">IF(I70="","",L70*I70)</f>
        <v>65100</v>
      </c>
      <c r="N70" s="18" t="str">
        <f aca="false">IF(K70=0,"Open",IF(K70&gt;=H70*Settings!$B$12,"Received","Part received"))</f>
        <v>Open</v>
      </c>
      <c r="O70" s="50" t="s">
        <v>624</v>
      </c>
    </row>
    <row r="71" customFormat="false" ht="14.25" hidden="false" customHeight="true" outlineLevel="0" collapsed="false">
      <c r="A71" s="43" t="s">
        <v>637</v>
      </c>
      <c r="B71" s="44" t="n">
        <v>46296</v>
      </c>
      <c r="C71" s="43" t="s">
        <v>623</v>
      </c>
      <c r="D71" s="45" t="s">
        <v>107</v>
      </c>
      <c r="E71" s="46" t="str">
        <f aca="false">IFERROR(INDEX('Master Stock'!$B:$B,MATCH(D71,'Master Stock'!$A:$A,0)),"Code not on Master")</f>
        <v>SORRENTO BLACK</v>
      </c>
      <c r="F71" s="47" t="n">
        <v>46327</v>
      </c>
      <c r="G71" s="45" t="s">
        <v>28</v>
      </c>
      <c r="H71" s="30" t="n">
        <v>1000</v>
      </c>
      <c r="I71" s="48" t="n">
        <v>207</v>
      </c>
      <c r="J71" s="49" t="n">
        <f aca="false">IF(I71="","",H71*I71)</f>
        <v>207000</v>
      </c>
      <c r="K71" s="19" t="n">
        <f aca="false">IF(A71="",0,SUMIFS('Stock Received'!$I:$I,'Stock Received'!$C:$C,A71,'Stock Received'!$E:$E,D71))</f>
        <v>0</v>
      </c>
      <c r="L71" s="19" t="n">
        <f aca="false">IF(K71&gt;=H71*Settings!$B$12,0,MAX(0,H71-K71))</f>
        <v>1000</v>
      </c>
      <c r="M71" s="49" t="n">
        <f aca="false">IF(I71="","",L71*I71)</f>
        <v>207000</v>
      </c>
      <c r="N71" s="18" t="str">
        <f aca="false">IF(K71=0,"Open",IF(K71&gt;=H71*Settings!$B$12,"Received","Part received"))</f>
        <v>Open</v>
      </c>
      <c r="O71" s="50" t="s">
        <v>624</v>
      </c>
    </row>
    <row r="72" customFormat="false" ht="14.25" hidden="false" customHeight="true" outlineLevel="0" collapsed="false">
      <c r="A72" s="43" t="s">
        <v>639</v>
      </c>
      <c r="B72" s="44" t="n">
        <v>46301</v>
      </c>
      <c r="C72" s="43" t="s">
        <v>623</v>
      </c>
      <c r="D72" s="45" t="s">
        <v>109</v>
      </c>
      <c r="E72" s="46" t="str">
        <f aca="false">IFERROR(INDEX('Master Stock'!$B:$B,MATCH(D72,'Master Stock'!$A:$A,0)),"Code not on Master")</f>
        <v>SORRENTO OYSTER</v>
      </c>
      <c r="F72" s="47" t="n">
        <v>46327</v>
      </c>
      <c r="G72" s="45" t="s">
        <v>27</v>
      </c>
      <c r="H72" s="30" t="n">
        <v>200</v>
      </c>
      <c r="I72" s="48" t="n">
        <v>178</v>
      </c>
      <c r="J72" s="49" t="n">
        <f aca="false">IF(I72="","",H72*I72)</f>
        <v>35600</v>
      </c>
      <c r="K72" s="19" t="n">
        <f aca="false">IF(A72="",0,SUMIFS('Stock Received'!$I:$I,'Stock Received'!$C:$C,A72,'Stock Received'!$E:$E,D72))</f>
        <v>0</v>
      </c>
      <c r="L72" s="19" t="n">
        <f aca="false">IF(K72&gt;=H72*Settings!$B$12,0,MAX(0,H72-K72))</f>
        <v>200</v>
      </c>
      <c r="M72" s="49" t="n">
        <f aca="false">IF(I72="","",L72*I72)</f>
        <v>35600</v>
      </c>
      <c r="N72" s="18" t="str">
        <f aca="false">IF(K72=0,"Open",IF(K72&gt;=H72*Settings!$B$12,"Received","Part received"))</f>
        <v>Open</v>
      </c>
      <c r="O72" s="50" t="s">
        <v>624</v>
      </c>
    </row>
    <row r="73" customFormat="false" ht="14.25" hidden="false" customHeight="true" outlineLevel="0" collapsed="false">
      <c r="A73" s="43" t="s">
        <v>641</v>
      </c>
      <c r="B73" s="44" t="n">
        <v>46297</v>
      </c>
      <c r="C73" s="43" t="s">
        <v>627</v>
      </c>
      <c r="D73" s="45" t="s">
        <v>427</v>
      </c>
      <c r="E73" s="46" t="str">
        <f aca="false">IFERROR(INDEX('Master Stock'!$B:$B,MATCH(D73,'Master Stock'!$A:$A,0)),"Code not on Master")</f>
        <v>TEXAS NAVY</v>
      </c>
      <c r="F73" s="47" t="n">
        <v>46327</v>
      </c>
      <c r="G73" s="45" t="s">
        <v>27</v>
      </c>
      <c r="H73" s="30" t="n">
        <v>300</v>
      </c>
      <c r="I73" s="48" t="n">
        <v>365</v>
      </c>
      <c r="J73" s="49" t="n">
        <f aca="false">IF(I73="","",H73*I73)</f>
        <v>109500</v>
      </c>
      <c r="K73" s="19" t="n">
        <f aca="false">IF(A73="",0,SUMIFS('Stock Received'!$I:$I,'Stock Received'!$C:$C,A73,'Stock Received'!$E:$E,D73))</f>
        <v>0</v>
      </c>
      <c r="L73" s="19" t="n">
        <f aca="false">IF(K73&gt;=H73*Settings!$B$12,0,MAX(0,H73-K73))</f>
        <v>300</v>
      </c>
      <c r="M73" s="49" t="n">
        <f aca="false">IF(I73="","",L73*I73)</f>
        <v>109500</v>
      </c>
      <c r="N73" s="18" t="str">
        <f aca="false">IF(K73=0,"Open",IF(K73&gt;=H73*Settings!$B$12,"Received","Part received"))</f>
        <v>Open</v>
      </c>
      <c r="O73" s="50" t="s">
        <v>624</v>
      </c>
    </row>
    <row r="74" customFormat="false" ht="14.25" hidden="false" customHeight="true" outlineLevel="0" collapsed="false">
      <c r="A74" s="43" t="s">
        <v>641</v>
      </c>
      <c r="B74" s="44" t="n">
        <v>46297</v>
      </c>
      <c r="C74" s="43" t="s">
        <v>627</v>
      </c>
      <c r="D74" s="45" t="s">
        <v>425</v>
      </c>
      <c r="E74" s="46" t="str">
        <f aca="false">IFERROR(INDEX('Master Stock'!$B:$B,MATCH(D74,'Master Stock'!$A:$A,0)),"Code not on Master")</f>
        <v>TEXAS MOSS</v>
      </c>
      <c r="F74" s="47" t="n">
        <v>46327</v>
      </c>
      <c r="G74" s="45" t="s">
        <v>27</v>
      </c>
      <c r="H74" s="30" t="n">
        <v>300</v>
      </c>
      <c r="I74" s="48" t="n">
        <v>365</v>
      </c>
      <c r="J74" s="49" t="n">
        <f aca="false">IF(I74="","",H74*I74)</f>
        <v>109500</v>
      </c>
      <c r="K74" s="19" t="n">
        <f aca="false">IF(A74="",0,SUMIFS('Stock Received'!$I:$I,'Stock Received'!$C:$C,A74,'Stock Received'!$E:$E,D74))</f>
        <v>0</v>
      </c>
      <c r="L74" s="19" t="n">
        <f aca="false">IF(K74&gt;=H74*Settings!$B$12,0,MAX(0,H74-K74))</f>
        <v>300</v>
      </c>
      <c r="M74" s="49" t="n">
        <f aca="false">IF(I74="","",L74*I74)</f>
        <v>109500</v>
      </c>
      <c r="N74" s="18" t="str">
        <f aca="false">IF(K74=0,"Open",IF(K74&gt;=H74*Settings!$B$12,"Received","Part received"))</f>
        <v>Open</v>
      </c>
      <c r="O74" s="50" t="s">
        <v>624</v>
      </c>
    </row>
    <row r="75" customFormat="false" ht="14.25" hidden="false" customHeight="true" outlineLevel="0" collapsed="false">
      <c r="A75" s="43" t="s">
        <v>641</v>
      </c>
      <c r="B75" s="44" t="n">
        <v>46297</v>
      </c>
      <c r="C75" s="43" t="s">
        <v>627</v>
      </c>
      <c r="D75" s="45" t="s">
        <v>429</v>
      </c>
      <c r="E75" s="46" t="str">
        <f aca="false">IFERROR(INDEX('Master Stock'!$B:$B,MATCH(D75,'Master Stock'!$A:$A,0)),"Code not on Master")</f>
        <v>TEXAS OCHRE</v>
      </c>
      <c r="F75" s="47" t="n">
        <v>46327</v>
      </c>
      <c r="G75" s="45" t="s">
        <v>27</v>
      </c>
      <c r="H75" s="30" t="n">
        <v>300</v>
      </c>
      <c r="I75" s="48" t="n">
        <v>365</v>
      </c>
      <c r="J75" s="49" t="n">
        <f aca="false">IF(I75="","",H75*I75)</f>
        <v>109500</v>
      </c>
      <c r="K75" s="19" t="n">
        <f aca="false">IF(A75="",0,SUMIFS('Stock Received'!$I:$I,'Stock Received'!$C:$C,A75,'Stock Received'!$E:$E,D75))</f>
        <v>0</v>
      </c>
      <c r="L75" s="19" t="n">
        <f aca="false">IF(K75&gt;=H75*Settings!$B$12,0,MAX(0,H75-K75))</f>
        <v>300</v>
      </c>
      <c r="M75" s="49" t="n">
        <f aca="false">IF(I75="","",L75*I75)</f>
        <v>109500</v>
      </c>
      <c r="N75" s="18" t="str">
        <f aca="false">IF(K75=0,"Open",IF(K75&gt;=H75*Settings!$B$12,"Received","Part received"))</f>
        <v>Open</v>
      </c>
      <c r="O75" s="50" t="s">
        <v>624</v>
      </c>
    </row>
    <row r="76" customFormat="false" ht="14.25" hidden="false" customHeight="true" outlineLevel="0" collapsed="false">
      <c r="A76" s="43" t="s">
        <v>638</v>
      </c>
      <c r="B76" s="44" t="n">
        <v>46282</v>
      </c>
      <c r="C76" s="43" t="s">
        <v>627</v>
      </c>
      <c r="D76" s="45" t="s">
        <v>419</v>
      </c>
      <c r="E76" s="46" t="str">
        <f aca="false">IFERROR(INDEX('Master Stock'!$B:$B,MATCH(D76,'Master Stock'!$A:$A,0)),"Code not on Master")</f>
        <v>TEXAS CORAL</v>
      </c>
      <c r="F76" s="47" t="n">
        <v>46327</v>
      </c>
      <c r="G76" s="45" t="s">
        <v>27</v>
      </c>
      <c r="H76" s="30" t="n">
        <v>300</v>
      </c>
      <c r="I76" s="48" t="n">
        <v>365</v>
      </c>
      <c r="J76" s="49" t="n">
        <f aca="false">IF(I76="","",H76*I76)</f>
        <v>109500</v>
      </c>
      <c r="K76" s="19" t="n">
        <f aca="false">IF(A76="",0,SUMIFS('Stock Received'!$I:$I,'Stock Received'!$C:$C,A76,'Stock Received'!$E:$E,D76))</f>
        <v>0</v>
      </c>
      <c r="L76" s="19" t="n">
        <f aca="false">IF(K76&gt;=H76*Settings!$B$12,0,MAX(0,H76-K76))</f>
        <v>300</v>
      </c>
      <c r="M76" s="49" t="n">
        <f aca="false">IF(I76="","",L76*I76)</f>
        <v>109500</v>
      </c>
      <c r="N76" s="18" t="str">
        <f aca="false">IF(K76=0,"Open",IF(K76&gt;=H76*Settings!$B$12,"Received","Part received"))</f>
        <v>Open</v>
      </c>
      <c r="O76" s="50" t="s">
        <v>624</v>
      </c>
    </row>
    <row r="77" customFormat="false" ht="14.25" hidden="false" customHeight="true" outlineLevel="0" collapsed="false">
      <c r="A77" s="43" t="s">
        <v>638</v>
      </c>
      <c r="B77" s="44" t="n">
        <v>46282</v>
      </c>
      <c r="C77" s="43" t="s">
        <v>627</v>
      </c>
      <c r="D77" s="45" t="s">
        <v>443</v>
      </c>
      <c r="E77" s="46" t="str">
        <f aca="false">IFERROR(INDEX('Master Stock'!$B:$B,MATCH(D77,'Master Stock'!$A:$A,0)),"Code not on Master")</f>
        <v>TEXAS BRIGHT RED</v>
      </c>
      <c r="F77" s="47" t="n">
        <v>46327</v>
      </c>
      <c r="G77" s="45" t="s">
        <v>27</v>
      </c>
      <c r="H77" s="30" t="n">
        <v>300</v>
      </c>
      <c r="I77" s="48" t="n">
        <v>365</v>
      </c>
      <c r="J77" s="49" t="n">
        <f aca="false">IF(I77="","",H77*I77)</f>
        <v>109500</v>
      </c>
      <c r="K77" s="19" t="n">
        <f aca="false">IF(A77="",0,SUMIFS('Stock Received'!$I:$I,'Stock Received'!$C:$C,A77,'Stock Received'!$E:$E,D77))</f>
        <v>0</v>
      </c>
      <c r="L77" s="19" t="n">
        <f aca="false">IF(K77&gt;=H77*Settings!$B$12,0,MAX(0,H77-K77))</f>
        <v>300</v>
      </c>
      <c r="M77" s="49" t="n">
        <f aca="false">IF(I77="","",L77*I77)</f>
        <v>109500</v>
      </c>
      <c r="N77" s="18" t="str">
        <f aca="false">IF(K77=0,"Open",IF(K77&gt;=H77*Settings!$B$12,"Received","Part received"))</f>
        <v>Open</v>
      </c>
      <c r="O77" s="50" t="s">
        <v>624</v>
      </c>
    </row>
    <row r="78" customFormat="false" ht="14.25" hidden="false" customHeight="true" outlineLevel="0" collapsed="false">
      <c r="A78" s="43" t="s">
        <v>638</v>
      </c>
      <c r="B78" s="44" t="n">
        <v>46282</v>
      </c>
      <c r="C78" s="43" t="s">
        <v>627</v>
      </c>
      <c r="D78" s="45" t="s">
        <v>334</v>
      </c>
      <c r="E78" s="46" t="str">
        <f aca="false">IFERROR(INDEX('Master Stock'!$B:$B,MATCH(D78,'Master Stock'!$A:$A,0)),"Code not on Master")</f>
        <v>BARCELONA BROWN</v>
      </c>
      <c r="F78" s="47" t="n">
        <v>46327</v>
      </c>
      <c r="G78" s="45" t="s">
        <v>27</v>
      </c>
      <c r="H78" s="30" t="n">
        <v>300</v>
      </c>
      <c r="I78" s="48" t="n">
        <v>365</v>
      </c>
      <c r="J78" s="49" t="n">
        <f aca="false">IF(I78="","",H78*I78)</f>
        <v>109500</v>
      </c>
      <c r="K78" s="19" t="n">
        <f aca="false">IF(A78="",0,SUMIFS('Stock Received'!$I:$I,'Stock Received'!$C:$C,A78,'Stock Received'!$E:$E,D78))</f>
        <v>0</v>
      </c>
      <c r="L78" s="19" t="n">
        <f aca="false">IF(K78&gt;=H78*Settings!$B$12,0,MAX(0,H78-K78))</f>
        <v>300</v>
      </c>
      <c r="M78" s="49" t="n">
        <f aca="false">IF(I78="","",L78*I78)</f>
        <v>109500</v>
      </c>
      <c r="N78" s="18" t="str">
        <f aca="false">IF(K78=0,"Open",IF(K78&gt;=H78*Settings!$B$12,"Received","Part received"))</f>
        <v>Open</v>
      </c>
      <c r="O78" s="50" t="s">
        <v>624</v>
      </c>
    </row>
    <row r="79" customFormat="false" ht="14.25" hidden="false" customHeight="true" outlineLevel="0" collapsed="false">
      <c r="A79" s="43" t="s">
        <v>638</v>
      </c>
      <c r="B79" s="44" t="n">
        <v>46282</v>
      </c>
      <c r="C79" s="43" t="s">
        <v>627</v>
      </c>
      <c r="D79" s="45" t="s">
        <v>332</v>
      </c>
      <c r="E79" s="46" t="str">
        <f aca="false">IFERROR(INDEX('Master Stock'!$B:$B,MATCH(D79,'Master Stock'!$A:$A,0)),"Code not on Master")</f>
        <v>BARCELONA BLACK</v>
      </c>
      <c r="F79" s="47" t="n">
        <v>46327</v>
      </c>
      <c r="G79" s="45" t="s">
        <v>27</v>
      </c>
      <c r="H79" s="30" t="n">
        <v>300</v>
      </c>
      <c r="I79" s="48" t="n">
        <v>365</v>
      </c>
      <c r="J79" s="49" t="n">
        <f aca="false">IF(I79="","",H79*I79)</f>
        <v>109500</v>
      </c>
      <c r="K79" s="19" t="n">
        <f aca="false">IF(A79="",0,SUMIFS('Stock Received'!$I:$I,'Stock Received'!$C:$C,A79,'Stock Received'!$E:$E,D79))</f>
        <v>0</v>
      </c>
      <c r="L79" s="19" t="n">
        <f aca="false">IF(K79&gt;=H79*Settings!$B$12,0,MAX(0,H79-K79))</f>
        <v>300</v>
      </c>
      <c r="M79" s="49" t="n">
        <f aca="false">IF(I79="","",L79*I79)</f>
        <v>109500</v>
      </c>
      <c r="N79" s="18" t="str">
        <f aca="false">IF(K79=0,"Open",IF(K79&gt;=H79*Settings!$B$12,"Received","Part received"))</f>
        <v>Open</v>
      </c>
      <c r="O79" s="50" t="s">
        <v>624</v>
      </c>
    </row>
    <row r="80" customFormat="false" ht="14.25" hidden="false" customHeight="true" outlineLevel="0" collapsed="false">
      <c r="A80" s="43" t="s">
        <v>638</v>
      </c>
      <c r="B80" s="44" t="n">
        <v>46282</v>
      </c>
      <c r="C80" s="43" t="s">
        <v>627</v>
      </c>
      <c r="D80" s="45" t="s">
        <v>338</v>
      </c>
      <c r="E80" s="46" t="str">
        <f aca="false">IFERROR(INDEX('Master Stock'!$B:$B,MATCH(D80,'Master Stock'!$A:$A,0)),"Code not on Master")</f>
        <v>BARCELONA OLIVE</v>
      </c>
      <c r="F80" s="47" t="n">
        <v>46327</v>
      </c>
      <c r="G80" s="45" t="s">
        <v>27</v>
      </c>
      <c r="H80" s="30" t="n">
        <v>300</v>
      </c>
      <c r="I80" s="48" t="n">
        <v>365</v>
      </c>
      <c r="J80" s="49" t="n">
        <f aca="false">IF(I80="","",H80*I80)</f>
        <v>109500</v>
      </c>
      <c r="K80" s="19" t="n">
        <f aca="false">IF(A80="",0,SUMIFS('Stock Received'!$I:$I,'Stock Received'!$C:$C,A80,'Stock Received'!$E:$E,D80))</f>
        <v>0</v>
      </c>
      <c r="L80" s="19" t="n">
        <f aca="false">IF(K80&gt;=H80*Settings!$B$12,0,MAX(0,H80-K80))</f>
        <v>300</v>
      </c>
      <c r="M80" s="49" t="n">
        <f aca="false">IF(I80="","",L80*I80)</f>
        <v>109500</v>
      </c>
      <c r="N80" s="18" t="str">
        <f aca="false">IF(K80=0,"Open",IF(K80&gt;=H80*Settings!$B$12,"Received","Part received"))</f>
        <v>Open</v>
      </c>
      <c r="O80" s="50" t="s">
        <v>624</v>
      </c>
    </row>
    <row r="81" customFormat="false" ht="14.25" hidden="false" customHeight="true" outlineLevel="0" collapsed="false">
      <c r="A81" s="43" t="s">
        <v>638</v>
      </c>
      <c r="B81" s="44" t="n">
        <v>46282</v>
      </c>
      <c r="C81" s="43" t="s">
        <v>627</v>
      </c>
      <c r="D81" s="45" t="s">
        <v>346</v>
      </c>
      <c r="E81" s="46" t="str">
        <f aca="false">IFERROR(INDEX('Master Stock'!$B:$B,MATCH(D81,'Master Stock'!$A:$A,0)),"Code not on Master")</f>
        <v>BARCELONA TOFFEE</v>
      </c>
      <c r="F81" s="47" t="n">
        <v>46327</v>
      </c>
      <c r="G81" s="45" t="s">
        <v>27</v>
      </c>
      <c r="H81" s="30" t="n">
        <v>300</v>
      </c>
      <c r="I81" s="48" t="n">
        <v>365</v>
      </c>
      <c r="J81" s="49" t="n">
        <f aca="false">IF(I81="","",H81*I81)</f>
        <v>109500</v>
      </c>
      <c r="K81" s="19" t="n">
        <f aca="false">IF(A81="",0,SUMIFS('Stock Received'!$I:$I,'Stock Received'!$C:$C,A81,'Stock Received'!$E:$E,D81))</f>
        <v>0</v>
      </c>
      <c r="L81" s="19" t="n">
        <f aca="false">IF(K81&gt;=H81*Settings!$B$12,0,MAX(0,H81-K81))</f>
        <v>300</v>
      </c>
      <c r="M81" s="49" t="n">
        <f aca="false">IF(I81="","",L81*I81)</f>
        <v>109500</v>
      </c>
      <c r="N81" s="18" t="str">
        <f aca="false">IF(K81=0,"Open",IF(K81&gt;=H81*Settings!$B$12,"Received","Part received"))</f>
        <v>Open</v>
      </c>
      <c r="O81" s="50" t="s">
        <v>624</v>
      </c>
    </row>
    <row r="82" customFormat="false" ht="14.25" hidden="false" customHeight="true" outlineLevel="0" collapsed="false">
      <c r="A82" s="43" t="s">
        <v>630</v>
      </c>
      <c r="B82" s="44" t="n">
        <v>46282</v>
      </c>
      <c r="C82" s="43" t="s">
        <v>623</v>
      </c>
      <c r="D82" s="45" t="s">
        <v>171</v>
      </c>
      <c r="E82" s="46" t="str">
        <f aca="false">IFERROR(INDEX('Master Stock'!$B:$B,MATCH(D82,'Master Stock'!$A:$A,0)),"Code not on Master")</f>
        <v>URBAN HAZELNUT</v>
      </c>
      <c r="F82" s="47" t="n">
        <v>46327</v>
      </c>
      <c r="G82" s="45" t="s">
        <v>27</v>
      </c>
      <c r="H82" s="30" t="n">
        <v>300</v>
      </c>
      <c r="I82" s="48" t="n">
        <v>292</v>
      </c>
      <c r="J82" s="49" t="n">
        <f aca="false">IF(I82="","",H82*I82)</f>
        <v>87600</v>
      </c>
      <c r="K82" s="19" t="n">
        <f aca="false">IF(A82="",0,SUMIFS('Stock Received'!$I:$I,'Stock Received'!$C:$C,A82,'Stock Received'!$E:$E,D82))</f>
        <v>0</v>
      </c>
      <c r="L82" s="19" t="n">
        <f aca="false">IF(K82&gt;=H82*Settings!$B$12,0,MAX(0,H82-K82))</f>
        <v>300</v>
      </c>
      <c r="M82" s="49" t="n">
        <f aca="false">IF(I82="","",L82*I82)</f>
        <v>87600</v>
      </c>
      <c r="N82" s="18" t="str">
        <f aca="false">IF(K82=0,"Open",IF(K82&gt;=H82*Settings!$B$12,"Received","Part received"))</f>
        <v>Open</v>
      </c>
      <c r="O82" s="50" t="s">
        <v>624</v>
      </c>
    </row>
    <row r="83" customFormat="false" ht="14.25" hidden="false" customHeight="true" outlineLevel="0" collapsed="false">
      <c r="A83" s="43" t="s">
        <v>630</v>
      </c>
      <c r="B83" s="44" t="n">
        <v>46282</v>
      </c>
      <c r="C83" s="43" t="s">
        <v>623</v>
      </c>
      <c r="D83" s="45" t="s">
        <v>208</v>
      </c>
      <c r="E83" s="46" t="str">
        <f aca="false">IFERROR(INDEX('Master Stock'!$B:$B,MATCH(D83,'Master Stock'!$A:$A,0)),"Code not on Master")</f>
        <v>VINTAGE BLACK</v>
      </c>
      <c r="F83" s="47" t="n">
        <v>46327</v>
      </c>
      <c r="G83" s="45" t="s">
        <v>27</v>
      </c>
      <c r="H83" s="30" t="n">
        <v>500</v>
      </c>
      <c r="I83" s="48" t="n">
        <v>207</v>
      </c>
      <c r="J83" s="49" t="n">
        <f aca="false">IF(I83="","",H83*I83)</f>
        <v>103500</v>
      </c>
      <c r="K83" s="19" t="n">
        <f aca="false">IF(A83="",0,SUMIFS('Stock Received'!$I:$I,'Stock Received'!$C:$C,A83,'Stock Received'!$E:$E,D83))</f>
        <v>0</v>
      </c>
      <c r="L83" s="19" t="n">
        <f aca="false">IF(K83&gt;=H83*Settings!$B$12,0,MAX(0,H83-K83))</f>
        <v>500</v>
      </c>
      <c r="M83" s="49" t="n">
        <f aca="false">IF(I83="","",L83*I83)</f>
        <v>103500</v>
      </c>
      <c r="N83" s="18" t="str">
        <f aca="false">IF(K83=0,"Open",IF(K83&gt;=H83*Settings!$B$12,"Received","Part received"))</f>
        <v>Open</v>
      </c>
      <c r="O83" s="50" t="s">
        <v>624</v>
      </c>
    </row>
    <row r="84" customFormat="false" ht="14.25" hidden="false" customHeight="true" outlineLevel="0" collapsed="false">
      <c r="A84" s="43" t="s">
        <v>642</v>
      </c>
      <c r="B84" s="44" t="n">
        <v>46294</v>
      </c>
      <c r="C84" s="43" t="s">
        <v>623</v>
      </c>
      <c r="D84" s="45" t="s">
        <v>157</v>
      </c>
      <c r="E84" s="46" t="str">
        <f aca="false">IFERROR(INDEX('Master Stock'!$B:$B,MATCH(D84,'Master Stock'!$A:$A,0)),"Code not on Master")</f>
        <v>AVIATOR WARRIOR</v>
      </c>
      <c r="F84" s="47" t="n">
        <v>46296</v>
      </c>
      <c r="G84" s="45" t="s">
        <v>27</v>
      </c>
      <c r="H84" s="30" t="n">
        <v>300</v>
      </c>
      <c r="I84" s="48" t="n">
        <v>220</v>
      </c>
      <c r="J84" s="49" t="n">
        <f aca="false">IF(I84="","",H84*I84)</f>
        <v>66000</v>
      </c>
      <c r="K84" s="19" t="n">
        <f aca="false">IF(A84="",0,SUMIFS('Stock Received'!$I:$I,'Stock Received'!$C:$C,A84,'Stock Received'!$E:$E,D84))</f>
        <v>0</v>
      </c>
      <c r="L84" s="19" t="n">
        <f aca="false">IF(K84&gt;=H84*Settings!$B$12,0,MAX(0,H84-K84))</f>
        <v>300</v>
      </c>
      <c r="M84" s="49" t="n">
        <f aca="false">IF(I84="","",L84*I84)</f>
        <v>66000</v>
      </c>
      <c r="N84" s="18" t="str">
        <f aca="false">IF(K84=0,"Open",IF(K84&gt;=H84*Settings!$B$12,"Received","Part received"))</f>
        <v>Open</v>
      </c>
      <c r="O84" s="50" t="s">
        <v>624</v>
      </c>
    </row>
    <row r="85" customFormat="false" ht="14.25" hidden="false" customHeight="true" outlineLevel="0" collapsed="false">
      <c r="A85" s="43" t="s">
        <v>637</v>
      </c>
      <c r="B85" s="44" t="n">
        <v>46296</v>
      </c>
      <c r="C85" s="43" t="s">
        <v>623</v>
      </c>
      <c r="D85" s="45" t="s">
        <v>228</v>
      </c>
      <c r="E85" s="46" t="str">
        <f aca="false">IFERROR(INDEX('Master Stock'!$B:$B,MATCH(D85,'Master Stock'!$A:$A,0)),"Code not on Master")</f>
        <v>WOODLAND CHOC (BROWN JHB)</v>
      </c>
      <c r="F85" s="47" t="n">
        <v>46327</v>
      </c>
      <c r="G85" s="45" t="s">
        <v>28</v>
      </c>
      <c r="H85" s="30" t="n">
        <v>1000</v>
      </c>
      <c r="I85" s="48" t="n">
        <v>207.36</v>
      </c>
      <c r="J85" s="49" t="n">
        <f aca="false">IF(I85="","",H85*I85)</f>
        <v>207360</v>
      </c>
      <c r="K85" s="19" t="n">
        <f aca="false">IF(A85="",0,SUMIFS('Stock Received'!$I:$I,'Stock Received'!$C:$C,A85,'Stock Received'!$E:$E,D85))</f>
        <v>0</v>
      </c>
      <c r="L85" s="19" t="n">
        <f aca="false">IF(K85&gt;=H85*Settings!$B$12,0,MAX(0,H85-K85))</f>
        <v>1000</v>
      </c>
      <c r="M85" s="49" t="n">
        <f aca="false">IF(I85="","",L85*I85)</f>
        <v>207360</v>
      </c>
      <c r="N85" s="18" t="str">
        <f aca="false">IF(K85=0,"Open",IF(K85&gt;=H85*Settings!$B$12,"Received","Part received"))</f>
        <v>Open</v>
      </c>
      <c r="O85" s="50" t="s">
        <v>624</v>
      </c>
    </row>
    <row r="86" customFormat="false" ht="14.25" hidden="false" customHeight="true" outlineLevel="0" collapsed="false">
      <c r="A86" s="43" t="s">
        <v>637</v>
      </c>
      <c r="B86" s="44" t="n">
        <v>46296</v>
      </c>
      <c r="C86" s="43" t="s">
        <v>623</v>
      </c>
      <c r="D86" s="45" t="s">
        <v>230</v>
      </c>
      <c r="E86" s="46" t="str">
        <f aca="false">IFERROR(INDEX('Master Stock'!$B:$B,MATCH(D86,'Master Stock'!$A:$A,0)),"Code not on Master")</f>
        <v>WOODLAND WHISKEY (TAN JHB)</v>
      </c>
      <c r="F86" s="47" t="n">
        <v>46327</v>
      </c>
      <c r="G86" s="45" t="s">
        <v>28</v>
      </c>
      <c r="H86" s="30" t="n">
        <v>1000</v>
      </c>
      <c r="I86" s="48" t="n">
        <v>207.36</v>
      </c>
      <c r="J86" s="49" t="n">
        <f aca="false">IF(I86="","",H86*I86)</f>
        <v>207360</v>
      </c>
      <c r="K86" s="19" t="n">
        <f aca="false">IF(A86="",0,SUMIFS('Stock Received'!$I:$I,'Stock Received'!$C:$C,A86,'Stock Received'!$E:$E,D86))</f>
        <v>0</v>
      </c>
      <c r="L86" s="19" t="n">
        <f aca="false">IF(K86&gt;=H86*Settings!$B$12,0,MAX(0,H86-K86))</f>
        <v>1000</v>
      </c>
      <c r="M86" s="49" t="n">
        <f aca="false">IF(I86="","",L86*I86)</f>
        <v>207360</v>
      </c>
      <c r="N86" s="18" t="str">
        <f aca="false">IF(K86=0,"Open",IF(K86&gt;=H86*Settings!$B$12,"Received","Part received"))</f>
        <v>Open</v>
      </c>
      <c r="O86" s="50" t="s">
        <v>624</v>
      </c>
    </row>
    <row r="87" customFormat="false" ht="14.25" hidden="false" customHeight="true" outlineLevel="0" collapsed="false">
      <c r="A87" s="43" t="s">
        <v>643</v>
      </c>
      <c r="B87" s="44" t="n">
        <v>46297</v>
      </c>
      <c r="C87" s="43" t="s">
        <v>623</v>
      </c>
      <c r="D87" s="45" t="s">
        <v>141</v>
      </c>
      <c r="E87" s="46" t="str">
        <f aca="false">IFERROR(INDEX('Master Stock'!$B:$B,MATCH(D87,'Master Stock'!$A:$A,0)),"Code not on Master")</f>
        <v>CASTROL TOFFEE</v>
      </c>
      <c r="F87" s="47" t="n">
        <v>46357</v>
      </c>
      <c r="G87" s="45" t="s">
        <v>27</v>
      </c>
      <c r="H87" s="30" t="n">
        <v>500</v>
      </c>
      <c r="I87" s="48" t="n">
        <v>300.24</v>
      </c>
      <c r="J87" s="49" t="n">
        <f aca="false">IF(I87="","",H87*I87)</f>
        <v>150120</v>
      </c>
      <c r="K87" s="19" t="n">
        <f aca="false">IF(A87="",0,SUMIFS('Stock Received'!$I:$I,'Stock Received'!$C:$C,A87,'Stock Received'!$E:$E,D87))</f>
        <v>0</v>
      </c>
      <c r="L87" s="19" t="n">
        <f aca="false">IF(K87&gt;=H87*Settings!$B$12,0,MAX(0,H87-K87))</f>
        <v>500</v>
      </c>
      <c r="M87" s="49" t="n">
        <f aca="false">IF(I87="","",L87*I87)</f>
        <v>150120</v>
      </c>
      <c r="N87" s="18" t="str">
        <f aca="false">IF(K87=0,"Open",IF(K87&gt;=H87*Settings!$B$12,"Received","Part received"))</f>
        <v>Open</v>
      </c>
      <c r="O87" s="50" t="s">
        <v>624</v>
      </c>
    </row>
    <row r="88" customFormat="false" ht="14.25" hidden="false" customHeight="true" outlineLevel="0" collapsed="false">
      <c r="A88" s="43" t="s">
        <v>643</v>
      </c>
      <c r="B88" s="44" t="n">
        <v>46297</v>
      </c>
      <c r="C88" s="43" t="s">
        <v>623</v>
      </c>
      <c r="D88" s="45" t="s">
        <v>139</v>
      </c>
      <c r="E88" s="46" t="str">
        <f aca="false">IFERROR(INDEX('Master Stock'!$B:$B,MATCH(D88,'Master Stock'!$A:$A,0)),"Code not on Master")</f>
        <v>CASTROL BROWN</v>
      </c>
      <c r="F88" s="47" t="n">
        <v>46357</v>
      </c>
      <c r="G88" s="45" t="s">
        <v>27</v>
      </c>
      <c r="H88" s="30" t="n">
        <v>500</v>
      </c>
      <c r="I88" s="48" t="n">
        <v>300.24</v>
      </c>
      <c r="J88" s="49" t="n">
        <f aca="false">IF(I88="","",H88*I88)</f>
        <v>150120</v>
      </c>
      <c r="K88" s="19" t="n">
        <f aca="false">IF(A88="",0,SUMIFS('Stock Received'!$I:$I,'Stock Received'!$C:$C,A88,'Stock Received'!$E:$E,D88))</f>
        <v>0</v>
      </c>
      <c r="L88" s="19" t="n">
        <f aca="false">IF(K88&gt;=H88*Settings!$B$12,0,MAX(0,H88-K88))</f>
        <v>500</v>
      </c>
      <c r="M88" s="49" t="n">
        <f aca="false">IF(I88="","",L88*I88)</f>
        <v>150120</v>
      </c>
      <c r="N88" s="18" t="str">
        <f aca="false">IF(K88=0,"Open",IF(K88&gt;=H88*Settings!$B$12,"Received","Part received"))</f>
        <v>Open</v>
      </c>
      <c r="O88" s="50" t="s">
        <v>624</v>
      </c>
    </row>
    <row r="89" customFormat="false" ht="14.25" hidden="false" customHeight="true" outlineLevel="0" collapsed="false">
      <c r="A89" s="43" t="s">
        <v>643</v>
      </c>
      <c r="B89" s="44" t="n">
        <v>46297</v>
      </c>
      <c r="C89" s="43" t="s">
        <v>623</v>
      </c>
      <c r="D89" s="45" t="s">
        <v>145</v>
      </c>
      <c r="E89" s="46" t="str">
        <f aca="false">IFERROR(INDEX('Master Stock'!$B:$B,MATCH(D89,'Master Stock'!$A:$A,0)),"Code not on Master")</f>
        <v>CASTROL BLACK</v>
      </c>
      <c r="F89" s="47" t="n">
        <v>46357</v>
      </c>
      <c r="G89" s="45" t="s">
        <v>27</v>
      </c>
      <c r="H89" s="30" t="n">
        <v>300</v>
      </c>
      <c r="I89" s="48" t="n">
        <v>300.24</v>
      </c>
      <c r="J89" s="49" t="n">
        <f aca="false">IF(I89="","",H89*I89)</f>
        <v>90072</v>
      </c>
      <c r="K89" s="19" t="n">
        <f aca="false">IF(A89="",0,SUMIFS('Stock Received'!$I:$I,'Stock Received'!$C:$C,A89,'Stock Received'!$E:$E,D89))</f>
        <v>0</v>
      </c>
      <c r="L89" s="19" t="n">
        <f aca="false">IF(K89&gt;=H89*Settings!$B$12,0,MAX(0,H89-K89))</f>
        <v>300</v>
      </c>
      <c r="M89" s="49" t="n">
        <f aca="false">IF(I89="","",L89*I89)</f>
        <v>90072</v>
      </c>
      <c r="N89" s="18" t="str">
        <f aca="false">IF(K89=0,"Open",IF(K89&gt;=H89*Settings!$B$12,"Received","Part received"))</f>
        <v>Open</v>
      </c>
      <c r="O89" s="50" t="s">
        <v>624</v>
      </c>
    </row>
    <row r="90" customFormat="false" ht="14.25" hidden="false" customHeight="true" outlineLevel="0" collapsed="false">
      <c r="A90" s="43" t="s">
        <v>643</v>
      </c>
      <c r="B90" s="44" t="n">
        <v>46297</v>
      </c>
      <c r="C90" s="43" t="s">
        <v>623</v>
      </c>
      <c r="D90" s="45" t="s">
        <v>143</v>
      </c>
      <c r="E90" s="46" t="str">
        <f aca="false">IFERROR(INDEX('Master Stock'!$B:$B,MATCH(D90,'Master Stock'!$A:$A,0)),"Code not on Master")</f>
        <v>CASTROL TOBACCO</v>
      </c>
      <c r="F90" s="47" t="n">
        <v>46357</v>
      </c>
      <c r="G90" s="45" t="s">
        <v>27</v>
      </c>
      <c r="H90" s="30" t="n">
        <v>500</v>
      </c>
      <c r="I90" s="48" t="n">
        <v>300.24</v>
      </c>
      <c r="J90" s="49" t="n">
        <f aca="false">IF(I90="","",H90*I90)</f>
        <v>150120</v>
      </c>
      <c r="K90" s="19" t="n">
        <f aca="false">IF(A90="",0,SUMIFS('Stock Received'!$I:$I,'Stock Received'!$C:$C,A90,'Stock Received'!$E:$E,D90))</f>
        <v>0</v>
      </c>
      <c r="L90" s="19" t="n">
        <f aca="false">IF(K90&gt;=H90*Settings!$B$12,0,MAX(0,H90-K90))</f>
        <v>500</v>
      </c>
      <c r="M90" s="49" t="n">
        <f aca="false">IF(I90="","",L90*I90)</f>
        <v>150120</v>
      </c>
      <c r="N90" s="18" t="str">
        <f aca="false">IF(K90=0,"Open",IF(K90&gt;=H90*Settings!$B$12,"Received","Part received"))</f>
        <v>Open</v>
      </c>
      <c r="O90" s="50" t="s">
        <v>624</v>
      </c>
    </row>
    <row r="91" customFormat="false" ht="14.25" hidden="false" customHeight="true" outlineLevel="0" collapsed="false">
      <c r="A91" s="43" t="s">
        <v>644</v>
      </c>
      <c r="B91" s="44" t="n">
        <v>46297</v>
      </c>
      <c r="C91" s="43" t="s">
        <v>627</v>
      </c>
      <c r="D91" s="45" t="s">
        <v>350</v>
      </c>
      <c r="E91" s="46" t="str">
        <f aca="false">IFERROR(INDEX('Master Stock'!$B:$B,MATCH(D91,'Master Stock'!$A:$A,0)),"Code not on Master")</f>
        <v>CHICAGO ROSE</v>
      </c>
      <c r="F91" s="47" t="n">
        <v>46357</v>
      </c>
      <c r="G91" s="45" t="s">
        <v>27</v>
      </c>
      <c r="H91" s="30" t="n">
        <v>300</v>
      </c>
      <c r="I91" s="48" t="n">
        <v>365</v>
      </c>
      <c r="J91" s="49" t="n">
        <f aca="false">IF(I91="","",H91*I91)</f>
        <v>109500</v>
      </c>
      <c r="K91" s="19" t="n">
        <f aca="false">IF(A91="",0,SUMIFS('Stock Received'!$I:$I,'Stock Received'!$C:$C,A91,'Stock Received'!$E:$E,D91))</f>
        <v>0</v>
      </c>
      <c r="L91" s="19" t="n">
        <f aca="false">IF(K91&gt;=H91*Settings!$B$12,0,MAX(0,H91-K91))</f>
        <v>300</v>
      </c>
      <c r="M91" s="49" t="n">
        <f aca="false">IF(I91="","",L91*I91)</f>
        <v>109500</v>
      </c>
      <c r="N91" s="18" t="str">
        <f aca="false">IF(K91=0,"Open",IF(K91&gt;=H91*Settings!$B$12,"Received","Part received"))</f>
        <v>Open</v>
      </c>
      <c r="O91" s="50" t="s">
        <v>624</v>
      </c>
    </row>
    <row r="92" customFormat="false" ht="14.25" hidden="false" customHeight="true" outlineLevel="0" collapsed="false">
      <c r="A92" s="43" t="s">
        <v>644</v>
      </c>
      <c r="B92" s="44" t="n">
        <v>46297</v>
      </c>
      <c r="C92" s="43" t="s">
        <v>627</v>
      </c>
      <c r="D92" s="45" t="s">
        <v>359</v>
      </c>
      <c r="E92" s="46" t="str">
        <f aca="false">IFERROR(INDEX('Master Stock'!$B:$B,MATCH(D92,'Master Stock'!$A:$A,0)),"Code not on Master")</f>
        <v>COSMO CINNAMON</v>
      </c>
      <c r="F92" s="47" t="n">
        <v>46357</v>
      </c>
      <c r="G92" s="45" t="s">
        <v>27</v>
      </c>
      <c r="H92" s="30" t="n">
        <v>300</v>
      </c>
      <c r="I92" s="48" t="n">
        <v>365</v>
      </c>
      <c r="J92" s="49" t="n">
        <f aca="false">IF(I92="","",H92*I92)</f>
        <v>109500</v>
      </c>
      <c r="K92" s="19" t="n">
        <f aca="false">IF(A92="",0,SUMIFS('Stock Received'!$I:$I,'Stock Received'!$C:$C,A92,'Stock Received'!$E:$E,D92))</f>
        <v>0</v>
      </c>
      <c r="L92" s="19" t="n">
        <f aca="false">IF(K92&gt;=H92*Settings!$B$12,0,MAX(0,H92-K92))</f>
        <v>300</v>
      </c>
      <c r="M92" s="49" t="n">
        <f aca="false">IF(I92="","",L92*I92)</f>
        <v>109500</v>
      </c>
      <c r="N92" s="18" t="str">
        <f aca="false">IF(K92=0,"Open",IF(K92&gt;=H92*Settings!$B$12,"Received","Part received"))</f>
        <v>Open</v>
      </c>
      <c r="O92" s="50" t="s">
        <v>624</v>
      </c>
    </row>
    <row r="93" customFormat="false" ht="14.25" hidden="false" customHeight="true" outlineLevel="0" collapsed="false">
      <c r="A93" s="43" t="s">
        <v>644</v>
      </c>
      <c r="B93" s="44" t="n">
        <v>46297</v>
      </c>
      <c r="C93" s="43" t="s">
        <v>627</v>
      </c>
      <c r="D93" s="45" t="s">
        <v>407</v>
      </c>
      <c r="E93" s="46" t="str">
        <f aca="false">IFERROR(INDEX('Master Stock'!$B:$B,MATCH(D93,'Master Stock'!$A:$A,0)),"Code not on Master")</f>
        <v>SUEDE CHOC</v>
      </c>
      <c r="F93" s="47" t="n">
        <v>46357</v>
      </c>
      <c r="G93" s="45" t="s">
        <v>27</v>
      </c>
      <c r="H93" s="30" t="n">
        <v>300</v>
      </c>
      <c r="I93" s="48" t="n">
        <v>262</v>
      </c>
      <c r="J93" s="49" t="n">
        <f aca="false">IF(I93="","",H93*I93)</f>
        <v>78600</v>
      </c>
      <c r="K93" s="19" t="n">
        <f aca="false">IF(A93="",0,SUMIFS('Stock Received'!$I:$I,'Stock Received'!$C:$C,A93,'Stock Received'!$E:$E,D93))</f>
        <v>0</v>
      </c>
      <c r="L93" s="19" t="n">
        <f aca="false">IF(K93&gt;=H93*Settings!$B$12,0,MAX(0,H93-K93))</f>
        <v>300</v>
      </c>
      <c r="M93" s="49" t="n">
        <f aca="false">IF(I93="","",L93*I93)</f>
        <v>78600</v>
      </c>
      <c r="N93" s="18" t="str">
        <f aca="false">IF(K93=0,"Open",IF(K93&gt;=H93*Settings!$B$12,"Received","Part received"))</f>
        <v>Open</v>
      </c>
      <c r="O93" s="50" t="s">
        <v>624</v>
      </c>
    </row>
    <row r="94" customFormat="false" ht="14.25" hidden="false" customHeight="true" outlineLevel="0" collapsed="false">
      <c r="A94" s="43" t="s">
        <v>644</v>
      </c>
      <c r="B94" s="44" t="n">
        <v>46297</v>
      </c>
      <c r="C94" s="43" t="s">
        <v>627</v>
      </c>
      <c r="D94" s="45" t="s">
        <v>409</v>
      </c>
      <c r="E94" s="46" t="str">
        <f aca="false">IFERROR(INDEX('Master Stock'!$B:$B,MATCH(D94,'Master Stock'!$A:$A,0)),"Code not on Master")</f>
        <v>SUEDE PEARL NATURAL</v>
      </c>
      <c r="F94" s="47" t="n">
        <v>46357</v>
      </c>
      <c r="G94" s="45" t="s">
        <v>27</v>
      </c>
      <c r="H94" s="30" t="n">
        <v>100</v>
      </c>
      <c r="I94" s="48" t="n">
        <v>245</v>
      </c>
      <c r="J94" s="49" t="n">
        <f aca="false">IF(I94="","",H94*I94)</f>
        <v>24500</v>
      </c>
      <c r="K94" s="19" t="n">
        <f aca="false">IF(A94="",0,SUMIFS('Stock Received'!$I:$I,'Stock Received'!$C:$C,A94,'Stock Received'!$E:$E,D94))</f>
        <v>0</v>
      </c>
      <c r="L94" s="19" t="n">
        <f aca="false">IF(K94&gt;=H94*Settings!$B$12,0,MAX(0,H94-K94))</f>
        <v>100</v>
      </c>
      <c r="M94" s="49" t="n">
        <f aca="false">IF(I94="","",L94*I94)</f>
        <v>24500</v>
      </c>
      <c r="N94" s="18" t="str">
        <f aca="false">IF(K94=0,"Open",IF(K94&gt;=H94*Settings!$B$12,"Received","Part received"))</f>
        <v>Open</v>
      </c>
      <c r="O94" s="50" t="s">
        <v>624</v>
      </c>
    </row>
    <row r="95" customFormat="false" ht="14.25" hidden="false" customHeight="true" outlineLevel="0" collapsed="false">
      <c r="A95" s="43" t="s">
        <v>644</v>
      </c>
      <c r="B95" s="44" t="n">
        <v>46297</v>
      </c>
      <c r="C95" s="43" t="s">
        <v>627</v>
      </c>
      <c r="D95" s="45" t="s">
        <v>348</v>
      </c>
      <c r="E95" s="46" t="str">
        <f aca="false">IFERROR(INDEX('Master Stock'!$B:$B,MATCH(D95,'Master Stock'!$A:$A,0)),"Code not on Master")</f>
        <v>BEIGE LINING</v>
      </c>
      <c r="F95" s="47" t="n">
        <v>46357</v>
      </c>
      <c r="G95" s="45" t="s">
        <v>27</v>
      </c>
      <c r="H95" s="30" t="n">
        <v>200</v>
      </c>
      <c r="I95" s="48" t="n">
        <v>175</v>
      </c>
      <c r="J95" s="49" t="n">
        <f aca="false">IF(I95="","",H95*I95)</f>
        <v>35000</v>
      </c>
      <c r="K95" s="19" t="n">
        <f aca="false">IF(A95="",0,SUMIFS('Stock Received'!$I:$I,'Stock Received'!$C:$C,A95,'Stock Received'!$E:$E,D95))</f>
        <v>0</v>
      </c>
      <c r="L95" s="19" t="n">
        <f aca="false">IF(K95&gt;=H95*Settings!$B$12,0,MAX(0,H95-K95))</f>
        <v>200</v>
      </c>
      <c r="M95" s="49" t="n">
        <f aca="false">IF(I95="","",L95*I95)</f>
        <v>35000</v>
      </c>
      <c r="N95" s="18" t="str">
        <f aca="false">IF(K95=0,"Open",IF(K95&gt;=H95*Settings!$B$12,"Received","Part received"))</f>
        <v>Open</v>
      </c>
      <c r="O95" s="50" t="s">
        <v>624</v>
      </c>
    </row>
    <row r="96" customFormat="false" ht="14.25" hidden="false" customHeight="true" outlineLevel="0" collapsed="false">
      <c r="A96" s="43" t="s">
        <v>643</v>
      </c>
      <c r="B96" s="44" t="n">
        <v>46297</v>
      </c>
      <c r="C96" s="43" t="s">
        <v>623</v>
      </c>
      <c r="D96" s="45" t="s">
        <v>173</v>
      </c>
      <c r="E96" s="46" t="str">
        <f aca="false">IFERROR(INDEX('Master Stock'!$B:$B,MATCH(D96,'Master Stock'!$A:$A,0)),"Code not on Master")</f>
        <v>DAYTONA BROWN/TAN</v>
      </c>
      <c r="F96" s="47" t="n">
        <v>46357</v>
      </c>
      <c r="G96" s="45" t="s">
        <v>27</v>
      </c>
      <c r="H96" s="30" t="n">
        <v>300</v>
      </c>
      <c r="I96" s="48" t="n">
        <v>291.6</v>
      </c>
      <c r="J96" s="49" t="n">
        <f aca="false">IF(I96="","",H96*I96)</f>
        <v>87480</v>
      </c>
      <c r="K96" s="19" t="n">
        <f aca="false">IF(A96="",0,SUMIFS('Stock Received'!$I:$I,'Stock Received'!$C:$C,A96,'Stock Received'!$E:$E,D96))</f>
        <v>0</v>
      </c>
      <c r="L96" s="19" t="n">
        <f aca="false">IF(K96&gt;=H96*Settings!$B$12,0,MAX(0,H96-K96))</f>
        <v>300</v>
      </c>
      <c r="M96" s="49" t="n">
        <f aca="false">IF(I96="","",L96*I96)</f>
        <v>87480</v>
      </c>
      <c r="N96" s="18" t="str">
        <f aca="false">IF(K96=0,"Open",IF(K96&gt;=H96*Settings!$B$12,"Received","Part received"))</f>
        <v>Open</v>
      </c>
      <c r="O96" s="50" t="s">
        <v>624</v>
      </c>
    </row>
    <row r="97" customFormat="false" ht="14.25" hidden="false" customHeight="true" outlineLevel="0" collapsed="false">
      <c r="A97" s="43" t="s">
        <v>643</v>
      </c>
      <c r="B97" s="44" t="n">
        <v>46297</v>
      </c>
      <c r="C97" s="43" t="s">
        <v>623</v>
      </c>
      <c r="D97" s="45" t="s">
        <v>163</v>
      </c>
      <c r="E97" s="46" t="str">
        <f aca="false">IFERROR(INDEX('Master Stock'!$B:$B,MATCH(D97,'Master Stock'!$A:$A,0)),"Code not on Master")</f>
        <v>DIESEL BROWN</v>
      </c>
      <c r="F97" s="47" t="n">
        <v>46357</v>
      </c>
      <c r="G97" s="45" t="s">
        <v>27</v>
      </c>
      <c r="H97" s="30" t="n">
        <v>500</v>
      </c>
      <c r="I97" s="48" t="n">
        <v>297</v>
      </c>
      <c r="J97" s="49" t="n">
        <f aca="false">IF(I97="","",H97*I97)</f>
        <v>148500</v>
      </c>
      <c r="K97" s="19" t="n">
        <f aca="false">IF(A97="",0,SUMIFS('Stock Received'!$I:$I,'Stock Received'!$C:$C,A97,'Stock Received'!$E:$E,D97))</f>
        <v>0</v>
      </c>
      <c r="L97" s="19" t="n">
        <f aca="false">IF(K97&gt;=H97*Settings!$B$12,0,MAX(0,H97-K97))</f>
        <v>500</v>
      </c>
      <c r="M97" s="49" t="n">
        <f aca="false">IF(I97="","",L97*I97)</f>
        <v>148500</v>
      </c>
      <c r="N97" s="18" t="str">
        <f aca="false">IF(K97=0,"Open",IF(K97&gt;=H97*Settings!$B$12,"Received","Part received"))</f>
        <v>Open</v>
      </c>
      <c r="O97" s="50" t="s">
        <v>624</v>
      </c>
    </row>
    <row r="98" customFormat="false" ht="14.25" hidden="false" customHeight="true" outlineLevel="0" collapsed="false">
      <c r="A98" s="43" t="s">
        <v>643</v>
      </c>
      <c r="B98" s="44" t="n">
        <v>46297</v>
      </c>
      <c r="C98" s="43" t="s">
        <v>623</v>
      </c>
      <c r="D98" s="45" t="s">
        <v>169</v>
      </c>
      <c r="E98" s="46" t="str">
        <f aca="false">IFERROR(INDEX('Master Stock'!$B:$B,MATCH(D98,'Master Stock'!$A:$A,0)),"Code not on Master")</f>
        <v>DIESEL TOBACCO</v>
      </c>
      <c r="F98" s="47" t="n">
        <v>46357</v>
      </c>
      <c r="G98" s="45" t="s">
        <v>27</v>
      </c>
      <c r="H98" s="30" t="n">
        <v>800</v>
      </c>
      <c r="I98" s="48" t="n">
        <v>297</v>
      </c>
      <c r="J98" s="49" t="n">
        <f aca="false">IF(I98="","",H98*I98)</f>
        <v>237600</v>
      </c>
      <c r="K98" s="19" t="n">
        <f aca="false">IF(A98="",0,SUMIFS('Stock Received'!$I:$I,'Stock Received'!$C:$C,A98,'Stock Received'!$E:$E,D98))</f>
        <v>0</v>
      </c>
      <c r="L98" s="19" t="n">
        <f aca="false">IF(K98&gt;=H98*Settings!$B$12,0,MAX(0,H98-K98))</f>
        <v>800</v>
      </c>
      <c r="M98" s="49" t="n">
        <f aca="false">IF(I98="","",L98*I98)</f>
        <v>237600</v>
      </c>
      <c r="N98" s="18" t="str">
        <f aca="false">IF(K98=0,"Open",IF(K98&gt;=H98*Settings!$B$12,"Received","Part received"))</f>
        <v>Open</v>
      </c>
      <c r="O98" s="50" t="s">
        <v>624</v>
      </c>
    </row>
    <row r="99" customFormat="false" ht="14.25" hidden="false" customHeight="true" outlineLevel="0" collapsed="false">
      <c r="A99" s="43" t="s">
        <v>644</v>
      </c>
      <c r="B99" s="44" t="n">
        <v>46297</v>
      </c>
      <c r="C99" s="43" t="s">
        <v>627</v>
      </c>
      <c r="D99" s="45" t="s">
        <v>373</v>
      </c>
      <c r="E99" s="46" t="str">
        <f aca="false">IFERROR(INDEX('Master Stock'!$B:$B,MATCH(D99,'Master Stock'!$A:$A,0)),"Code not on Master")</f>
        <v>ECO TOFFEE</v>
      </c>
      <c r="F99" s="47" t="n">
        <v>46357</v>
      </c>
      <c r="G99" s="45" t="s">
        <v>27</v>
      </c>
      <c r="H99" s="30" t="n">
        <v>300</v>
      </c>
      <c r="I99" s="48" t="n">
        <v>365</v>
      </c>
      <c r="J99" s="49" t="n">
        <f aca="false">IF(I99="","",H99*I99)</f>
        <v>109500</v>
      </c>
      <c r="K99" s="19" t="n">
        <f aca="false">IF(A99="",0,SUMIFS('Stock Received'!$I:$I,'Stock Received'!$C:$C,A99,'Stock Received'!$E:$E,D99))</f>
        <v>0</v>
      </c>
      <c r="L99" s="19" t="n">
        <f aca="false">IF(K99&gt;=H99*Settings!$B$12,0,MAX(0,H99-K99))</f>
        <v>300</v>
      </c>
      <c r="M99" s="49" t="n">
        <f aca="false">IF(I99="","",L99*I99)</f>
        <v>109500</v>
      </c>
      <c r="N99" s="18" t="str">
        <f aca="false">IF(K99=0,"Open",IF(K99&gt;=H99*Settings!$B$12,"Received","Part received"))</f>
        <v>Open</v>
      </c>
      <c r="O99" s="50" t="s">
        <v>624</v>
      </c>
    </row>
    <row r="100" customFormat="false" ht="14.25" hidden="false" customHeight="true" outlineLevel="0" collapsed="false">
      <c r="A100" s="43" t="s">
        <v>644</v>
      </c>
      <c r="B100" s="44" t="n">
        <v>46297</v>
      </c>
      <c r="C100" s="43" t="s">
        <v>627</v>
      </c>
      <c r="D100" s="45" t="s">
        <v>371</v>
      </c>
      <c r="E100" s="46" t="str">
        <f aca="false">IFERROR(INDEX('Master Stock'!$B:$B,MATCH(D100,'Master Stock'!$A:$A,0)),"Code not on Master")</f>
        <v>ECO TAN</v>
      </c>
      <c r="F100" s="47" t="n">
        <v>46357</v>
      </c>
      <c r="G100" s="45" t="s">
        <v>27</v>
      </c>
      <c r="H100" s="30" t="n">
        <v>300</v>
      </c>
      <c r="I100" s="48" t="n">
        <v>365</v>
      </c>
      <c r="J100" s="49" t="n">
        <f aca="false">IF(I100="","",H100*I100)</f>
        <v>109500</v>
      </c>
      <c r="K100" s="19" t="n">
        <f aca="false">IF(A100="",0,SUMIFS('Stock Received'!$I:$I,'Stock Received'!$C:$C,A100,'Stock Received'!$E:$E,D100))</f>
        <v>0</v>
      </c>
      <c r="L100" s="19" t="n">
        <f aca="false">IF(K100&gt;=H100*Settings!$B$12,0,MAX(0,H100-K100))</f>
        <v>300</v>
      </c>
      <c r="M100" s="49" t="n">
        <f aca="false">IF(I100="","",L100*I100)</f>
        <v>109500</v>
      </c>
      <c r="N100" s="18" t="str">
        <f aca="false">IF(K100=0,"Open",IF(K100&gt;=H100*Settings!$B$12,"Received","Part received"))</f>
        <v>Open</v>
      </c>
      <c r="O100" s="50" t="s">
        <v>624</v>
      </c>
    </row>
    <row r="101" customFormat="false" ht="14.25" hidden="false" customHeight="true" outlineLevel="0" collapsed="false">
      <c r="A101" s="43" t="s">
        <v>643</v>
      </c>
      <c r="B101" s="44" t="n">
        <v>46297</v>
      </c>
      <c r="C101" s="43" t="s">
        <v>623</v>
      </c>
      <c r="D101" s="45" t="s">
        <v>200</v>
      </c>
      <c r="E101" s="46" t="str">
        <f aca="false">IFERROR(INDEX('Master Stock'!$B:$B,MATCH(D101,'Master Stock'!$A:$A,0)),"Code not on Master")</f>
        <v>ETOSHA RUST</v>
      </c>
      <c r="F101" s="47" t="n">
        <v>46357</v>
      </c>
      <c r="G101" s="45" t="s">
        <v>27</v>
      </c>
      <c r="H101" s="30" t="n">
        <v>500</v>
      </c>
      <c r="I101" s="48" t="n">
        <v>207.36</v>
      </c>
      <c r="J101" s="49" t="n">
        <f aca="false">IF(I101="","",H101*I101)</f>
        <v>103680</v>
      </c>
      <c r="K101" s="19" t="n">
        <f aca="false">IF(A101="",0,SUMIFS('Stock Received'!$I:$I,'Stock Received'!$C:$C,A101,'Stock Received'!$E:$E,D101))</f>
        <v>0</v>
      </c>
      <c r="L101" s="19" t="n">
        <f aca="false">IF(K101&gt;=H101*Settings!$B$12,0,MAX(0,H101-K101))</f>
        <v>500</v>
      </c>
      <c r="M101" s="49" t="n">
        <f aca="false">IF(I101="","",L101*I101)</f>
        <v>103680</v>
      </c>
      <c r="N101" s="18" t="str">
        <f aca="false">IF(K101=0,"Open",IF(K101&gt;=H101*Settings!$B$12,"Received","Part received"))</f>
        <v>Open</v>
      </c>
      <c r="O101" s="50" t="s">
        <v>624</v>
      </c>
    </row>
    <row r="102" customFormat="false" ht="14.25" hidden="false" customHeight="true" outlineLevel="0" collapsed="false">
      <c r="A102" s="43" t="s">
        <v>643</v>
      </c>
      <c r="B102" s="44" t="n">
        <v>46297</v>
      </c>
      <c r="C102" s="43" t="s">
        <v>623</v>
      </c>
      <c r="D102" s="45" t="s">
        <v>198</v>
      </c>
      <c r="E102" s="46" t="str">
        <f aca="false">IFERROR(INDEX('Master Stock'!$B:$B,MATCH(D102,'Master Stock'!$A:$A,0)),"Code not on Master")</f>
        <v>ETOSHA CHESTNUT</v>
      </c>
      <c r="F102" s="47" t="n">
        <v>46357</v>
      </c>
      <c r="G102" s="45" t="s">
        <v>27</v>
      </c>
      <c r="H102" s="30" t="n">
        <v>500</v>
      </c>
      <c r="I102" s="48" t="n">
        <v>207.36</v>
      </c>
      <c r="J102" s="49" t="n">
        <f aca="false">IF(I102="","",H102*I102)</f>
        <v>103680</v>
      </c>
      <c r="K102" s="19" t="n">
        <f aca="false">IF(A102="",0,SUMIFS('Stock Received'!$I:$I,'Stock Received'!$C:$C,A102,'Stock Received'!$E:$E,D102))</f>
        <v>0</v>
      </c>
      <c r="L102" s="19" t="n">
        <f aca="false">IF(K102&gt;=H102*Settings!$B$12,0,MAX(0,H102-K102))</f>
        <v>500</v>
      </c>
      <c r="M102" s="49" t="n">
        <f aca="false">IF(I102="","",L102*I102)</f>
        <v>103680</v>
      </c>
      <c r="N102" s="18" t="str">
        <f aca="false">IF(K102=0,"Open",IF(K102&gt;=H102*Settings!$B$12,"Received","Part received"))</f>
        <v>Open</v>
      </c>
      <c r="O102" s="50" t="s">
        <v>624</v>
      </c>
    </row>
    <row r="103" customFormat="false" ht="14.25" hidden="false" customHeight="true" outlineLevel="0" collapsed="false">
      <c r="A103" s="43" t="s">
        <v>643</v>
      </c>
      <c r="B103" s="44" t="n">
        <v>46297</v>
      </c>
      <c r="C103" s="43" t="s">
        <v>623</v>
      </c>
      <c r="D103" s="45" t="s">
        <v>194</v>
      </c>
      <c r="E103" s="46" t="str">
        <f aca="false">IFERROR(INDEX('Master Stock'!$B:$B,MATCH(D103,'Master Stock'!$A:$A,0)),"Code not on Master")</f>
        <v>ETOSHA DARK ANTHRACITE</v>
      </c>
      <c r="F103" s="47" t="n">
        <v>46357</v>
      </c>
      <c r="G103" s="45" t="s">
        <v>27</v>
      </c>
      <c r="H103" s="30" t="n">
        <v>300</v>
      </c>
      <c r="I103" s="48" t="n">
        <v>207.36</v>
      </c>
      <c r="J103" s="49" t="n">
        <f aca="false">IF(I103="","",H103*I103)</f>
        <v>62208</v>
      </c>
      <c r="K103" s="19" t="n">
        <f aca="false">IF(A103="",0,SUMIFS('Stock Received'!$I:$I,'Stock Received'!$C:$C,A103,'Stock Received'!$E:$E,D103))</f>
        <v>0</v>
      </c>
      <c r="L103" s="19" t="n">
        <f aca="false">IF(K103&gt;=H103*Settings!$B$12,0,MAX(0,H103-K103))</f>
        <v>300</v>
      </c>
      <c r="M103" s="49" t="n">
        <f aca="false">IF(I103="","",L103*I103)</f>
        <v>62208</v>
      </c>
      <c r="N103" s="18" t="str">
        <f aca="false">IF(K103=0,"Open",IF(K103&gt;=H103*Settings!$B$12,"Received","Part received"))</f>
        <v>Open</v>
      </c>
      <c r="O103" s="50" t="s">
        <v>624</v>
      </c>
    </row>
    <row r="104" customFormat="false" ht="14.25" hidden="false" customHeight="true" outlineLevel="0" collapsed="false">
      <c r="A104" s="43" t="s">
        <v>643</v>
      </c>
      <c r="B104" s="44" t="n">
        <v>46297</v>
      </c>
      <c r="C104" s="43" t="s">
        <v>623</v>
      </c>
      <c r="D104" s="45" t="s">
        <v>202</v>
      </c>
      <c r="E104" s="46" t="str">
        <f aca="false">IFERROR(INDEX('Master Stock'!$B:$B,MATCH(D104,'Master Stock'!$A:$A,0)),"Code not on Master")</f>
        <v>ETOSHA EMERALD</v>
      </c>
      <c r="F104" s="47" t="n">
        <v>46357</v>
      </c>
      <c r="G104" s="45" t="s">
        <v>27</v>
      </c>
      <c r="H104" s="30" t="n">
        <v>300</v>
      </c>
      <c r="I104" s="48" t="n">
        <v>207.36</v>
      </c>
      <c r="J104" s="49" t="n">
        <f aca="false">IF(I104="","",H104*I104)</f>
        <v>62208</v>
      </c>
      <c r="K104" s="19" t="n">
        <f aca="false">IF(A104="",0,SUMIFS('Stock Received'!$I:$I,'Stock Received'!$C:$C,A104,'Stock Received'!$E:$E,D104))</f>
        <v>0</v>
      </c>
      <c r="L104" s="19" t="n">
        <f aca="false">IF(K104&gt;=H104*Settings!$B$12,0,MAX(0,H104-K104))</f>
        <v>300</v>
      </c>
      <c r="M104" s="49" t="n">
        <f aca="false">IF(I104="","",L104*I104)</f>
        <v>62208</v>
      </c>
      <c r="N104" s="18" t="str">
        <f aca="false">IF(K104=0,"Open",IF(K104&gt;=H104*Settings!$B$12,"Received","Part received"))</f>
        <v>Open</v>
      </c>
      <c r="O104" s="50" t="s">
        <v>624</v>
      </c>
    </row>
    <row r="105" customFormat="false" ht="14.25" hidden="false" customHeight="true" outlineLevel="0" collapsed="false">
      <c r="A105" s="43" t="s">
        <v>643</v>
      </c>
      <c r="B105" s="44" t="n">
        <v>46297</v>
      </c>
      <c r="C105" s="43" t="s">
        <v>623</v>
      </c>
      <c r="D105" s="45" t="s">
        <v>83</v>
      </c>
      <c r="E105" s="46" t="str">
        <f aca="false">IFERROR(INDEX('Master Stock'!$B:$B,MATCH(D105,'Master Stock'!$A:$A,0)),"Code not on Master")</f>
        <v>GAZELLE BLACK</v>
      </c>
      <c r="F105" s="47" t="n">
        <v>46357</v>
      </c>
      <c r="G105" s="45" t="s">
        <v>27</v>
      </c>
      <c r="H105" s="30" t="n">
        <v>500</v>
      </c>
      <c r="I105" s="48" t="n">
        <v>264.6</v>
      </c>
      <c r="J105" s="49" t="n">
        <f aca="false">IF(I105="","",H105*I105)</f>
        <v>132300</v>
      </c>
      <c r="K105" s="19" t="n">
        <f aca="false">IF(A105="",0,SUMIFS('Stock Received'!$I:$I,'Stock Received'!$C:$C,A105,'Stock Received'!$E:$E,D105))</f>
        <v>0</v>
      </c>
      <c r="L105" s="19" t="n">
        <f aca="false">IF(K105&gt;=H105*Settings!$B$12,0,MAX(0,H105-K105))</f>
        <v>500</v>
      </c>
      <c r="M105" s="49" t="n">
        <f aca="false">IF(I105="","",L105*I105)</f>
        <v>132300</v>
      </c>
      <c r="N105" s="18" t="str">
        <f aca="false">IF(K105=0,"Open",IF(K105&gt;=H105*Settings!$B$12,"Received","Part received"))</f>
        <v>Open</v>
      </c>
      <c r="O105" s="50" t="s">
        <v>624</v>
      </c>
    </row>
    <row r="106" customFormat="false" ht="14.25" hidden="false" customHeight="true" outlineLevel="0" collapsed="false">
      <c r="A106" s="43" t="s">
        <v>644</v>
      </c>
      <c r="B106" s="44" t="n">
        <v>46297</v>
      </c>
      <c r="C106" s="43" t="s">
        <v>627</v>
      </c>
      <c r="D106" s="45" t="s">
        <v>378</v>
      </c>
      <c r="E106" s="46" t="str">
        <f aca="false">IFERROR(INDEX('Master Stock'!$B:$B,MATCH(D106,'Master Stock'!$A:$A,0)),"Code not on Master")</f>
        <v>HAVANNA PLUS PLUS BIANCA</v>
      </c>
      <c r="F106" s="47" t="n">
        <v>46357</v>
      </c>
      <c r="G106" s="45" t="s">
        <v>27</v>
      </c>
      <c r="H106" s="30" t="n">
        <v>300</v>
      </c>
      <c r="I106" s="48" t="n">
        <v>365</v>
      </c>
      <c r="J106" s="49" t="n">
        <f aca="false">IF(I106="","",H106*I106)</f>
        <v>109500</v>
      </c>
      <c r="K106" s="19" t="n">
        <f aca="false">IF(A106="",0,SUMIFS('Stock Received'!$I:$I,'Stock Received'!$C:$C,A106,'Stock Received'!$E:$E,D106))</f>
        <v>0</v>
      </c>
      <c r="L106" s="19" t="n">
        <f aca="false">IF(K106&gt;=H106*Settings!$B$12,0,MAX(0,H106-K106))</f>
        <v>300</v>
      </c>
      <c r="M106" s="49" t="n">
        <f aca="false">IF(I106="","",L106*I106)</f>
        <v>109500</v>
      </c>
      <c r="N106" s="18" t="str">
        <f aca="false">IF(K106=0,"Open",IF(K106&gt;=H106*Settings!$B$12,"Received","Part received"))</f>
        <v>Open</v>
      </c>
      <c r="O106" s="50" t="s">
        <v>624</v>
      </c>
    </row>
    <row r="107" customFormat="false" ht="14.25" hidden="false" customHeight="true" outlineLevel="0" collapsed="false">
      <c r="A107" s="43" t="s">
        <v>643</v>
      </c>
      <c r="B107" s="44" t="n">
        <v>46297</v>
      </c>
      <c r="C107" s="43" t="s">
        <v>623</v>
      </c>
      <c r="D107" s="45" t="s">
        <v>101</v>
      </c>
      <c r="E107" s="46" t="str">
        <f aca="false">IFERROR(INDEX('Master Stock'!$B:$B,MATCH(D107,'Master Stock'!$A:$A,0)),"Code not on Master")</f>
        <v>MOROCCO CHOCOLATE</v>
      </c>
      <c r="F107" s="47" t="n">
        <v>46357</v>
      </c>
      <c r="G107" s="45" t="s">
        <v>27</v>
      </c>
      <c r="H107" s="30" t="n">
        <v>300</v>
      </c>
      <c r="I107" s="48" t="n">
        <v>291.6</v>
      </c>
      <c r="J107" s="49" t="n">
        <f aca="false">IF(I107="","",H107*I107)</f>
        <v>87480</v>
      </c>
      <c r="K107" s="19" t="n">
        <f aca="false">IF(A107="",0,SUMIFS('Stock Received'!$I:$I,'Stock Received'!$C:$C,A107,'Stock Received'!$E:$E,D107))</f>
        <v>0</v>
      </c>
      <c r="L107" s="19" t="n">
        <f aca="false">IF(K107&gt;=H107*Settings!$B$12,0,MAX(0,H107-K107))</f>
        <v>300</v>
      </c>
      <c r="M107" s="49" t="n">
        <f aca="false">IF(I107="","",L107*I107)</f>
        <v>87480</v>
      </c>
      <c r="N107" s="18" t="str">
        <f aca="false">IF(K107=0,"Open",IF(K107&gt;=H107*Settings!$B$12,"Received","Part received"))</f>
        <v>Open</v>
      </c>
      <c r="O107" s="50" t="s">
        <v>624</v>
      </c>
    </row>
    <row r="108" customFormat="false" ht="14.25" hidden="false" customHeight="true" outlineLevel="0" collapsed="false">
      <c r="A108" s="43" t="s">
        <v>643</v>
      </c>
      <c r="B108" s="44" t="n">
        <v>46297</v>
      </c>
      <c r="C108" s="43" t="s">
        <v>623</v>
      </c>
      <c r="D108" s="45" t="s">
        <v>99</v>
      </c>
      <c r="E108" s="46" t="str">
        <f aca="false">IFERROR(INDEX('Master Stock'!$B:$B,MATCH(D108,'Master Stock'!$A:$A,0)),"Code not on Master")</f>
        <v>MOROCCO STRAW</v>
      </c>
      <c r="F108" s="47" t="n">
        <v>46357</v>
      </c>
      <c r="G108" s="45" t="s">
        <v>27</v>
      </c>
      <c r="H108" s="30" t="n">
        <v>300</v>
      </c>
      <c r="I108" s="48" t="n">
        <v>291.6</v>
      </c>
      <c r="J108" s="49" t="n">
        <f aca="false">IF(I108="","",H108*I108)</f>
        <v>87480</v>
      </c>
      <c r="K108" s="19" t="n">
        <f aca="false">IF(A108="",0,SUMIFS('Stock Received'!$I:$I,'Stock Received'!$C:$C,A108,'Stock Received'!$E:$E,D108))</f>
        <v>0</v>
      </c>
      <c r="L108" s="19" t="n">
        <f aca="false">IF(K108&gt;=H108*Settings!$B$12,0,MAX(0,H108-K108))</f>
        <v>300</v>
      </c>
      <c r="M108" s="49" t="n">
        <f aca="false">IF(I108="","",L108*I108)</f>
        <v>87480</v>
      </c>
      <c r="N108" s="18" t="str">
        <f aca="false">IF(K108=0,"Open",IF(K108&gt;=H108*Settings!$B$12,"Received","Part received"))</f>
        <v>Open</v>
      </c>
      <c r="O108" s="50" t="s">
        <v>624</v>
      </c>
    </row>
    <row r="109" customFormat="false" ht="14.25" hidden="false" customHeight="true" outlineLevel="0" collapsed="false">
      <c r="A109" s="43" t="s">
        <v>643</v>
      </c>
      <c r="B109" s="44" t="n">
        <v>46297</v>
      </c>
      <c r="C109" s="43" t="s">
        <v>623</v>
      </c>
      <c r="D109" s="45" t="s">
        <v>186</v>
      </c>
      <c r="E109" s="46" t="str">
        <f aca="false">IFERROR(INDEX('Master Stock'!$B:$B,MATCH(D109,'Master Stock'!$A:$A,0)),"Code not on Master")</f>
        <v>NAVADA BLACK</v>
      </c>
      <c r="F109" s="47" t="n">
        <v>46357</v>
      </c>
      <c r="G109" s="45" t="s">
        <v>27</v>
      </c>
      <c r="H109" s="30" t="n">
        <v>300</v>
      </c>
      <c r="I109" s="48" t="n">
        <v>329.4</v>
      </c>
      <c r="J109" s="49" t="n">
        <f aca="false">IF(I109="","",H109*I109)</f>
        <v>98820</v>
      </c>
      <c r="K109" s="19" t="n">
        <f aca="false">IF(A109="",0,SUMIFS('Stock Received'!$I:$I,'Stock Received'!$C:$C,A109,'Stock Received'!$E:$E,D109))</f>
        <v>0</v>
      </c>
      <c r="L109" s="19" t="n">
        <f aca="false">IF(K109&gt;=H109*Settings!$B$12,0,MAX(0,H109-K109))</f>
        <v>300</v>
      </c>
      <c r="M109" s="49" t="n">
        <f aca="false">IF(I109="","",L109*I109)</f>
        <v>98820</v>
      </c>
      <c r="N109" s="18" t="str">
        <f aca="false">IF(K109=0,"Open",IF(K109&gt;=H109*Settings!$B$12,"Received","Part received"))</f>
        <v>Open</v>
      </c>
      <c r="O109" s="50" t="s">
        <v>624</v>
      </c>
    </row>
    <row r="110" customFormat="false" ht="14.25" hidden="false" customHeight="true" outlineLevel="0" collapsed="false">
      <c r="A110" s="43" t="s">
        <v>643</v>
      </c>
      <c r="B110" s="44" t="n">
        <v>46297</v>
      </c>
      <c r="C110" s="43" t="s">
        <v>623</v>
      </c>
      <c r="D110" s="45" t="s">
        <v>188</v>
      </c>
      <c r="E110" s="46" t="str">
        <f aca="false">IFERROR(INDEX('Master Stock'!$B:$B,MATCH(D110,'Master Stock'!$A:$A,0)),"Code not on Master")</f>
        <v>NAVADA TAN</v>
      </c>
      <c r="F110" s="47" t="n">
        <v>46357</v>
      </c>
      <c r="G110" s="45" t="s">
        <v>27</v>
      </c>
      <c r="H110" s="30" t="n">
        <v>200</v>
      </c>
      <c r="I110" s="48" t="n">
        <v>329.4</v>
      </c>
      <c r="J110" s="49" t="n">
        <f aca="false">IF(I110="","",H110*I110)</f>
        <v>65880</v>
      </c>
      <c r="K110" s="19" t="n">
        <f aca="false">IF(A110="",0,SUMIFS('Stock Received'!$I:$I,'Stock Received'!$C:$C,A110,'Stock Received'!$E:$E,D110))</f>
        <v>0</v>
      </c>
      <c r="L110" s="19" t="n">
        <f aca="false">IF(K110&gt;=H110*Settings!$B$12,0,MAX(0,H110-K110))</f>
        <v>200</v>
      </c>
      <c r="M110" s="49" t="n">
        <f aca="false">IF(I110="","",L110*I110)</f>
        <v>65880</v>
      </c>
      <c r="N110" s="18" t="str">
        <f aca="false">IF(K110=0,"Open",IF(K110&gt;=H110*Settings!$B$12,"Received","Part received"))</f>
        <v>Open</v>
      </c>
      <c r="O110" s="50" t="s">
        <v>624</v>
      </c>
    </row>
    <row r="111" customFormat="false" ht="14.25" hidden="false" customHeight="true" outlineLevel="0" collapsed="false">
      <c r="A111" s="43" t="s">
        <v>644</v>
      </c>
      <c r="B111" s="44" t="n">
        <v>46297</v>
      </c>
      <c r="C111" s="43" t="s">
        <v>627</v>
      </c>
      <c r="D111" s="45" t="s">
        <v>386</v>
      </c>
      <c r="E111" s="46" t="str">
        <f aca="false">IFERROR(INDEX('Master Stock'!$B:$B,MATCH(D111,'Master Stock'!$A:$A,0)),"Code not on Master")</f>
        <v>PITSTOP CIGAR</v>
      </c>
      <c r="F111" s="47" t="n">
        <v>46357</v>
      </c>
      <c r="G111" s="45" t="s">
        <v>27</v>
      </c>
      <c r="H111" s="30" t="n">
        <v>300</v>
      </c>
      <c r="I111" s="48" t="n">
        <v>365</v>
      </c>
      <c r="J111" s="49" t="n">
        <f aca="false">IF(I111="","",H111*I111)</f>
        <v>109500</v>
      </c>
      <c r="K111" s="19" t="n">
        <f aca="false">IF(A111="",0,SUMIFS('Stock Received'!$I:$I,'Stock Received'!$C:$C,A111,'Stock Received'!$E:$E,D111))</f>
        <v>0</v>
      </c>
      <c r="L111" s="19" t="n">
        <f aca="false">IF(K111&gt;=H111*Settings!$B$12,0,MAX(0,H111-K111))</f>
        <v>300</v>
      </c>
      <c r="M111" s="49" t="n">
        <f aca="false">IF(I111="","",L111*I111)</f>
        <v>109500</v>
      </c>
      <c r="N111" s="18" t="str">
        <f aca="false">IF(K111=0,"Open",IF(K111&gt;=H111*Settings!$B$12,"Received","Part received"))</f>
        <v>Open</v>
      </c>
      <c r="O111" s="50" t="s">
        <v>624</v>
      </c>
    </row>
    <row r="112" customFormat="false" ht="14.25" hidden="false" customHeight="true" outlineLevel="0" collapsed="false">
      <c r="A112" s="43" t="s">
        <v>644</v>
      </c>
      <c r="B112" s="44" t="n">
        <v>46297</v>
      </c>
      <c r="C112" s="43" t="s">
        <v>627</v>
      </c>
      <c r="D112" s="45" t="s">
        <v>390</v>
      </c>
      <c r="E112" s="46" t="str">
        <f aca="false">IFERROR(INDEX('Master Stock'!$B:$B,MATCH(D112,'Master Stock'!$A:$A,0)),"Code not on Master")</f>
        <v>ROSY NAPPY BLACK</v>
      </c>
      <c r="F112" s="47" t="n">
        <v>46357</v>
      </c>
      <c r="G112" s="45" t="s">
        <v>27</v>
      </c>
      <c r="H112" s="30" t="n">
        <v>300</v>
      </c>
      <c r="I112" s="48" t="n">
        <v>310</v>
      </c>
      <c r="J112" s="49" t="n">
        <f aca="false">IF(I112="","",H112*I112)</f>
        <v>93000</v>
      </c>
      <c r="K112" s="19" t="n">
        <f aca="false">IF(A112="",0,SUMIFS('Stock Received'!$I:$I,'Stock Received'!$C:$C,A112,'Stock Received'!$E:$E,D112))</f>
        <v>0</v>
      </c>
      <c r="L112" s="19" t="n">
        <f aca="false">IF(K112&gt;=H112*Settings!$B$12,0,MAX(0,H112-K112))</f>
        <v>300</v>
      </c>
      <c r="M112" s="49" t="n">
        <f aca="false">IF(I112="","",L112*I112)</f>
        <v>93000</v>
      </c>
      <c r="N112" s="18" t="str">
        <f aca="false">IF(K112=0,"Open",IF(K112&gt;=H112*Settings!$B$12,"Received","Part received"))</f>
        <v>Open</v>
      </c>
      <c r="O112" s="50" t="s">
        <v>624</v>
      </c>
    </row>
    <row r="113" customFormat="false" ht="14.25" hidden="false" customHeight="true" outlineLevel="0" collapsed="false">
      <c r="A113" s="43" t="s">
        <v>644</v>
      </c>
      <c r="B113" s="44" t="n">
        <v>46297</v>
      </c>
      <c r="C113" s="43" t="s">
        <v>627</v>
      </c>
      <c r="D113" s="45" t="s">
        <v>400</v>
      </c>
      <c r="E113" s="46" t="str">
        <f aca="false">IFERROR(INDEX('Master Stock'!$B:$B,MATCH(D113,'Master Stock'!$A:$A,0)),"Code not on Master")</f>
        <v>SALVADOR DARK CHOC</v>
      </c>
      <c r="F113" s="47" t="n">
        <v>46357</v>
      </c>
      <c r="G113" s="45" t="s">
        <v>27</v>
      </c>
      <c r="H113" s="30" t="n">
        <v>300</v>
      </c>
      <c r="I113" s="48" t="n">
        <v>365</v>
      </c>
      <c r="J113" s="49" t="n">
        <f aca="false">IF(I113="","",H113*I113)</f>
        <v>109500</v>
      </c>
      <c r="K113" s="19" t="n">
        <f aca="false">IF(A113="",0,SUMIFS('Stock Received'!$I:$I,'Stock Received'!$C:$C,A113,'Stock Received'!$E:$E,D113))</f>
        <v>0</v>
      </c>
      <c r="L113" s="19" t="n">
        <f aca="false">IF(K113&gt;=H113*Settings!$B$12,0,MAX(0,H113-K113))</f>
        <v>300</v>
      </c>
      <c r="M113" s="49" t="n">
        <f aca="false">IF(I113="","",L113*I113)</f>
        <v>109500</v>
      </c>
      <c r="N113" s="18" t="str">
        <f aca="false">IF(K113=0,"Open",IF(K113&gt;=H113*Settings!$B$12,"Received","Part received"))</f>
        <v>Open</v>
      </c>
      <c r="O113" s="50" t="s">
        <v>624</v>
      </c>
    </row>
    <row r="114" customFormat="false" ht="14.25" hidden="false" customHeight="true" outlineLevel="0" collapsed="false">
      <c r="A114" s="43" t="s">
        <v>643</v>
      </c>
      <c r="B114" s="44" t="n">
        <v>46297</v>
      </c>
      <c r="C114" s="43" t="s">
        <v>623</v>
      </c>
      <c r="D114" s="45" t="s">
        <v>123</v>
      </c>
      <c r="E114" s="46" t="str">
        <f aca="false">IFERROR(INDEX('Master Stock'!$B:$B,MATCH(D114,'Master Stock'!$A:$A,0)),"Code not on Master")</f>
        <v>SANTOS GREEN/BASIL</v>
      </c>
      <c r="F114" s="47" t="n">
        <v>46357</v>
      </c>
      <c r="G114" s="45" t="s">
        <v>27</v>
      </c>
      <c r="H114" s="30" t="n">
        <v>200</v>
      </c>
      <c r="I114" s="48" t="n">
        <v>217.08</v>
      </c>
      <c r="J114" s="49" t="n">
        <f aca="false">IF(I114="","",H114*I114)</f>
        <v>43416</v>
      </c>
      <c r="K114" s="19" t="n">
        <f aca="false">IF(A114="",0,SUMIFS('Stock Received'!$I:$I,'Stock Received'!$C:$C,A114,'Stock Received'!$E:$E,D114))</f>
        <v>0</v>
      </c>
      <c r="L114" s="19" t="n">
        <f aca="false">IF(K114&gt;=H114*Settings!$B$12,0,MAX(0,H114-K114))</f>
        <v>200</v>
      </c>
      <c r="M114" s="49" t="n">
        <f aca="false">IF(I114="","",L114*I114)</f>
        <v>43416</v>
      </c>
      <c r="N114" s="18" t="str">
        <f aca="false">IF(K114=0,"Open",IF(K114&gt;=H114*Settings!$B$12,"Received","Part received"))</f>
        <v>Open</v>
      </c>
      <c r="O114" s="50" t="s">
        <v>624</v>
      </c>
    </row>
    <row r="115" customFormat="false" ht="14.25" hidden="false" customHeight="true" outlineLevel="0" collapsed="false">
      <c r="A115" s="43" t="s">
        <v>645</v>
      </c>
      <c r="B115" s="44" t="n">
        <v>46300</v>
      </c>
      <c r="C115" s="43" t="s">
        <v>623</v>
      </c>
      <c r="D115" s="45" t="s">
        <v>200</v>
      </c>
      <c r="E115" s="46" t="str">
        <f aca="false">IFERROR(INDEX('Master Stock'!$B:$B,MATCH(D115,'Master Stock'!$A:$A,0)),"Code not on Master")</f>
        <v>ETOSHA RUST</v>
      </c>
      <c r="F115" s="47" t="n">
        <v>46352</v>
      </c>
      <c r="G115" s="45" t="s">
        <v>27</v>
      </c>
      <c r="H115" s="30" t="n">
        <v>500</v>
      </c>
      <c r="I115" s="48" t="n">
        <v>207</v>
      </c>
      <c r="J115" s="49" t="n">
        <f aca="false">IF(I115="","",H115*I115)</f>
        <v>103500</v>
      </c>
      <c r="K115" s="19" t="n">
        <f aca="false">IF(A115="",0,SUMIFS('Stock Received'!$I:$I,'Stock Received'!$C:$C,A115,'Stock Received'!$E:$E,D115))</f>
        <v>0</v>
      </c>
      <c r="L115" s="19" t="n">
        <f aca="false">IF(K115&gt;=H115*Settings!$B$12,0,MAX(0,H115-K115))</f>
        <v>500</v>
      </c>
      <c r="M115" s="49" t="n">
        <f aca="false">IF(I115="","",L115*I115)</f>
        <v>103500</v>
      </c>
      <c r="N115" s="18" t="str">
        <f aca="false">IF(K115=0,"Open",IF(K115&gt;=H115*Settings!$B$12,"Received","Part received"))</f>
        <v>Open</v>
      </c>
      <c r="O115" s="50" t="s">
        <v>624</v>
      </c>
    </row>
    <row r="116" customFormat="false" ht="14.25" hidden="false" customHeight="true" outlineLevel="0" collapsed="false">
      <c r="A116" s="43" t="s">
        <v>645</v>
      </c>
      <c r="B116" s="44" t="n">
        <v>46300</v>
      </c>
      <c r="C116" s="43" t="s">
        <v>623</v>
      </c>
      <c r="D116" s="45" t="s">
        <v>208</v>
      </c>
      <c r="E116" s="46" t="str">
        <f aca="false">IFERROR(INDEX('Master Stock'!$B:$B,MATCH(D116,'Master Stock'!$A:$A,0)),"Code not on Master")</f>
        <v>VINTAGE BLACK</v>
      </c>
      <c r="F116" s="47" t="n">
        <v>46352</v>
      </c>
      <c r="G116" s="45" t="s">
        <v>27</v>
      </c>
      <c r="H116" s="30" t="n">
        <v>500</v>
      </c>
      <c r="I116" s="48" t="n">
        <v>207</v>
      </c>
      <c r="J116" s="49" t="n">
        <f aca="false">IF(I116="","",H116*I116)</f>
        <v>103500</v>
      </c>
      <c r="K116" s="19" t="n">
        <f aca="false">IF(A116="",0,SUMIFS('Stock Received'!$I:$I,'Stock Received'!$C:$C,A116,'Stock Received'!$E:$E,D116))</f>
        <v>0</v>
      </c>
      <c r="L116" s="19" t="n">
        <f aca="false">IF(K116&gt;=H116*Settings!$B$12,0,MAX(0,H116-K116))</f>
        <v>500</v>
      </c>
      <c r="M116" s="49" t="n">
        <f aca="false">IF(I116="","",L116*I116)</f>
        <v>103500</v>
      </c>
      <c r="N116" s="18" t="str">
        <f aca="false">IF(K116=0,"Open",IF(K116&gt;=H116*Settings!$B$12,"Received","Part received"))</f>
        <v>Open</v>
      </c>
      <c r="O116" s="50" t="s">
        <v>624</v>
      </c>
    </row>
    <row r="117" customFormat="false" ht="14.25" hidden="false" customHeight="true" outlineLevel="0" collapsed="false">
      <c r="A117" s="43" t="s">
        <v>644</v>
      </c>
      <c r="B117" s="44" t="n">
        <v>46297</v>
      </c>
      <c r="C117" s="43" t="s">
        <v>627</v>
      </c>
      <c r="D117" s="45" t="s">
        <v>413</v>
      </c>
      <c r="E117" s="46" t="str">
        <f aca="false">IFERROR(INDEX('Master Stock'!$B:$B,MATCH(D117,'Master Stock'!$A:$A,0)),"Code not on Master")</f>
        <v>TEXAS BLACK</v>
      </c>
      <c r="F117" s="47" t="n">
        <v>46357</v>
      </c>
      <c r="G117" s="45" t="s">
        <v>27</v>
      </c>
      <c r="H117" s="30" t="n">
        <v>300</v>
      </c>
      <c r="I117" s="48" t="n">
        <v>365</v>
      </c>
      <c r="J117" s="49" t="n">
        <f aca="false">IF(I117="","",H117*I117)</f>
        <v>109500</v>
      </c>
      <c r="K117" s="19" t="n">
        <f aca="false">IF(A117="",0,SUMIFS('Stock Received'!$I:$I,'Stock Received'!$C:$C,A117,'Stock Received'!$E:$E,D117))</f>
        <v>0</v>
      </c>
      <c r="L117" s="19" t="n">
        <f aca="false">IF(K117&gt;=H117*Settings!$B$12,0,MAX(0,H117-K117))</f>
        <v>300</v>
      </c>
      <c r="M117" s="49" t="n">
        <f aca="false">IF(I117="","",L117*I117)</f>
        <v>109500</v>
      </c>
      <c r="N117" s="18" t="str">
        <f aca="false">IF(K117=0,"Open",IF(K117&gt;=H117*Settings!$B$12,"Received","Part received"))</f>
        <v>Open</v>
      </c>
      <c r="O117" s="50" t="s">
        <v>624</v>
      </c>
    </row>
    <row r="118" customFormat="false" ht="14.25" hidden="false" customHeight="true" outlineLevel="0" collapsed="false">
      <c r="A118" s="43" t="s">
        <v>644</v>
      </c>
      <c r="B118" s="44" t="n">
        <v>46297</v>
      </c>
      <c r="C118" s="43" t="s">
        <v>627</v>
      </c>
      <c r="D118" s="45" t="s">
        <v>417</v>
      </c>
      <c r="E118" s="46" t="str">
        <f aca="false">IFERROR(INDEX('Master Stock'!$B:$B,MATCH(D118,'Master Stock'!$A:$A,0)),"Code not on Master")</f>
        <v>TEXAS CHOC</v>
      </c>
      <c r="F118" s="47" t="n">
        <v>46357</v>
      </c>
      <c r="G118" s="45" t="s">
        <v>27</v>
      </c>
      <c r="H118" s="30" t="n">
        <v>300</v>
      </c>
      <c r="I118" s="48" t="n">
        <v>365</v>
      </c>
      <c r="J118" s="49" t="n">
        <f aca="false">IF(I118="","",H118*I118)</f>
        <v>109500</v>
      </c>
      <c r="K118" s="19" t="n">
        <f aca="false">IF(A118="",0,SUMIFS('Stock Received'!$I:$I,'Stock Received'!$C:$C,A118,'Stock Received'!$E:$E,D118))</f>
        <v>0</v>
      </c>
      <c r="L118" s="19" t="n">
        <f aca="false">IF(K118&gt;=H118*Settings!$B$12,0,MAX(0,H118-K118))</f>
        <v>300</v>
      </c>
      <c r="M118" s="49" t="n">
        <f aca="false">IF(I118="","",L118*I118)</f>
        <v>109500</v>
      </c>
      <c r="N118" s="18" t="str">
        <f aca="false">IF(K118=0,"Open",IF(K118&gt;=H118*Settings!$B$12,"Received","Part received"))</f>
        <v>Open</v>
      </c>
      <c r="O118" s="50" t="s">
        <v>624</v>
      </c>
    </row>
    <row r="119" customFormat="false" ht="14.25" hidden="false" customHeight="true" outlineLevel="0" collapsed="false">
      <c r="A119" s="43" t="s">
        <v>644</v>
      </c>
      <c r="B119" s="44" t="n">
        <v>46297</v>
      </c>
      <c r="C119" s="43" t="s">
        <v>627</v>
      </c>
      <c r="D119" s="45" t="s">
        <v>431</v>
      </c>
      <c r="E119" s="46" t="str">
        <f aca="false">IFERROR(INDEX('Master Stock'!$B:$B,MATCH(D119,'Master Stock'!$A:$A,0)),"Code not on Master")</f>
        <v>TEXAS PLUS BLACK</v>
      </c>
      <c r="F119" s="47" t="n">
        <v>46357</v>
      </c>
      <c r="G119" s="45" t="s">
        <v>27</v>
      </c>
      <c r="H119" s="30" t="n">
        <v>300</v>
      </c>
      <c r="I119" s="48" t="n">
        <v>365</v>
      </c>
      <c r="J119" s="49" t="n">
        <f aca="false">IF(I119="","",H119*I119)</f>
        <v>109500</v>
      </c>
      <c r="K119" s="19" t="n">
        <f aca="false">IF(A119="",0,SUMIFS('Stock Received'!$I:$I,'Stock Received'!$C:$C,A119,'Stock Received'!$E:$E,D119))</f>
        <v>0</v>
      </c>
      <c r="L119" s="19" t="n">
        <f aca="false">IF(K119&gt;=H119*Settings!$B$12,0,MAX(0,H119-K119))</f>
        <v>300</v>
      </c>
      <c r="M119" s="49" t="n">
        <f aca="false">IF(I119="","",L119*I119)</f>
        <v>109500</v>
      </c>
      <c r="N119" s="18" t="str">
        <f aca="false">IF(K119=0,"Open",IF(K119&gt;=H119*Settings!$B$12,"Received","Part received"))</f>
        <v>Open</v>
      </c>
      <c r="O119" s="50" t="s">
        <v>624</v>
      </c>
    </row>
    <row r="120" customFormat="false" ht="14.25" hidden="false" customHeight="true" outlineLevel="0" collapsed="false">
      <c r="A120" s="43" t="s">
        <v>644</v>
      </c>
      <c r="B120" s="44" t="n">
        <v>46297</v>
      </c>
      <c r="C120" s="43" t="s">
        <v>627</v>
      </c>
      <c r="D120" s="45" t="s">
        <v>329</v>
      </c>
      <c r="E120" s="46" t="str">
        <f aca="false">IFERROR(INDEX('Master Stock'!$B:$B,MATCH(D120,'Master Stock'!$A:$A,0)),"Code not on Master")</f>
        <v>BARCELONA AMBER</v>
      </c>
      <c r="F120" s="47" t="n">
        <v>46357</v>
      </c>
      <c r="G120" s="45" t="s">
        <v>27</v>
      </c>
      <c r="H120" s="30" t="n">
        <v>300</v>
      </c>
      <c r="I120" s="48" t="n">
        <v>365</v>
      </c>
      <c r="J120" s="49" t="n">
        <f aca="false">IF(I120="","",H120*I120)</f>
        <v>109500</v>
      </c>
      <c r="K120" s="19" t="n">
        <f aca="false">IF(A120="",0,SUMIFS('Stock Received'!$I:$I,'Stock Received'!$C:$C,A120,'Stock Received'!$E:$E,D120))</f>
        <v>0</v>
      </c>
      <c r="L120" s="19" t="n">
        <f aca="false">IF(K120&gt;=H120*Settings!$B$12,0,MAX(0,H120-K120))</f>
        <v>300</v>
      </c>
      <c r="M120" s="49" t="n">
        <f aca="false">IF(I120="","",L120*I120)</f>
        <v>109500</v>
      </c>
      <c r="N120" s="18" t="str">
        <f aca="false">IF(K120=0,"Open",IF(K120&gt;=H120*Settings!$B$12,"Received","Part received"))</f>
        <v>Open</v>
      </c>
      <c r="O120" s="50" t="s">
        <v>624</v>
      </c>
    </row>
    <row r="121" customFormat="false" ht="14.25" hidden="false" customHeight="true" outlineLevel="0" collapsed="false">
      <c r="A121" s="43" t="s">
        <v>644</v>
      </c>
      <c r="B121" s="44" t="n">
        <v>46297</v>
      </c>
      <c r="C121" s="43" t="s">
        <v>627</v>
      </c>
      <c r="D121" s="45" t="s">
        <v>344</v>
      </c>
      <c r="E121" s="46" t="str">
        <f aca="false">IFERROR(INDEX('Master Stock'!$B:$B,MATCH(D121,'Master Stock'!$A:$A,0)),"Code not on Master")</f>
        <v>BARCELONA TAN</v>
      </c>
      <c r="F121" s="47" t="n">
        <v>46357</v>
      </c>
      <c r="G121" s="45" t="s">
        <v>27</v>
      </c>
      <c r="H121" s="30" t="n">
        <v>300</v>
      </c>
      <c r="I121" s="48" t="n">
        <v>365</v>
      </c>
      <c r="J121" s="49" t="n">
        <f aca="false">IF(I121="","",H121*I121)</f>
        <v>109500</v>
      </c>
      <c r="K121" s="19" t="n">
        <f aca="false">IF(A121="",0,SUMIFS('Stock Received'!$I:$I,'Stock Received'!$C:$C,A121,'Stock Received'!$E:$E,D121))</f>
        <v>0</v>
      </c>
      <c r="L121" s="19" t="n">
        <f aca="false">IF(K121&gt;=H121*Settings!$B$12,0,MAX(0,H121-K121))</f>
        <v>300</v>
      </c>
      <c r="M121" s="49" t="n">
        <f aca="false">IF(I121="","",L121*I121)</f>
        <v>109500</v>
      </c>
      <c r="N121" s="18" t="str">
        <f aca="false">IF(K121=0,"Open",IF(K121&gt;=H121*Settings!$B$12,"Received","Part received"))</f>
        <v>Open</v>
      </c>
      <c r="O121" s="50" t="s">
        <v>624</v>
      </c>
    </row>
    <row r="122" customFormat="false" ht="14.25" hidden="false" customHeight="true" outlineLevel="0" collapsed="false">
      <c r="A122" s="43" t="s">
        <v>644</v>
      </c>
      <c r="B122" s="44" t="n">
        <v>46297</v>
      </c>
      <c r="C122" s="43" t="s">
        <v>627</v>
      </c>
      <c r="D122" s="45" t="s">
        <v>334</v>
      </c>
      <c r="E122" s="46" t="str">
        <f aca="false">IFERROR(INDEX('Master Stock'!$B:$B,MATCH(D122,'Master Stock'!$A:$A,0)),"Code not on Master")</f>
        <v>BARCELONA BROWN</v>
      </c>
      <c r="F122" s="47" t="n">
        <v>46357</v>
      </c>
      <c r="G122" s="45" t="s">
        <v>27</v>
      </c>
      <c r="H122" s="30" t="n">
        <v>300</v>
      </c>
      <c r="I122" s="48" t="n">
        <v>365</v>
      </c>
      <c r="J122" s="49" t="n">
        <f aca="false">IF(I122="","",H122*I122)</f>
        <v>109500</v>
      </c>
      <c r="K122" s="19" t="n">
        <f aca="false">IF(A122="",0,SUMIFS('Stock Received'!$I:$I,'Stock Received'!$C:$C,A122,'Stock Received'!$E:$E,D122))</f>
        <v>0</v>
      </c>
      <c r="L122" s="19" t="n">
        <f aca="false">IF(K122&gt;=H122*Settings!$B$12,0,MAX(0,H122-K122))</f>
        <v>300</v>
      </c>
      <c r="M122" s="49" t="n">
        <f aca="false">IF(I122="","",L122*I122)</f>
        <v>109500</v>
      </c>
      <c r="N122" s="18" t="str">
        <f aca="false">IF(K122=0,"Open",IF(K122&gt;=H122*Settings!$B$12,"Received","Part received"))</f>
        <v>Open</v>
      </c>
      <c r="O122" s="50" t="s">
        <v>624</v>
      </c>
    </row>
    <row r="123" customFormat="false" ht="14.25" hidden="false" customHeight="true" outlineLevel="0" collapsed="false">
      <c r="A123" s="43" t="s">
        <v>644</v>
      </c>
      <c r="B123" s="44" t="n">
        <v>46297</v>
      </c>
      <c r="C123" s="43" t="s">
        <v>627</v>
      </c>
      <c r="D123" s="45" t="s">
        <v>332</v>
      </c>
      <c r="E123" s="46" t="str">
        <f aca="false">IFERROR(INDEX('Master Stock'!$B:$B,MATCH(D123,'Master Stock'!$A:$A,0)),"Code not on Master")</f>
        <v>BARCELONA BLACK</v>
      </c>
      <c r="F123" s="47" t="n">
        <v>46357</v>
      </c>
      <c r="G123" s="45" t="s">
        <v>27</v>
      </c>
      <c r="H123" s="30" t="n">
        <v>300</v>
      </c>
      <c r="I123" s="48" t="n">
        <v>365</v>
      </c>
      <c r="J123" s="49" t="n">
        <f aca="false">IF(I123="","",H123*I123)</f>
        <v>109500</v>
      </c>
      <c r="K123" s="19" t="n">
        <f aca="false">IF(A123="",0,SUMIFS('Stock Received'!$I:$I,'Stock Received'!$C:$C,A123,'Stock Received'!$E:$E,D123))</f>
        <v>0</v>
      </c>
      <c r="L123" s="19" t="n">
        <f aca="false">IF(K123&gt;=H123*Settings!$B$12,0,MAX(0,H123-K123))</f>
        <v>300</v>
      </c>
      <c r="M123" s="49" t="n">
        <f aca="false">IF(I123="","",L123*I123)</f>
        <v>109500</v>
      </c>
      <c r="N123" s="18" t="str">
        <f aca="false">IF(K123=0,"Open",IF(K123&gt;=H123*Settings!$B$12,"Received","Part received"))</f>
        <v>Open</v>
      </c>
      <c r="O123" s="50" t="s">
        <v>624</v>
      </c>
    </row>
    <row r="124" customFormat="false" ht="14.25" hidden="false" customHeight="true" outlineLevel="0" collapsed="false">
      <c r="A124" s="43" t="s">
        <v>644</v>
      </c>
      <c r="B124" s="44" t="n">
        <v>46297</v>
      </c>
      <c r="C124" s="43" t="s">
        <v>627</v>
      </c>
      <c r="D124" s="45" t="s">
        <v>346</v>
      </c>
      <c r="E124" s="46" t="str">
        <f aca="false">IFERROR(INDEX('Master Stock'!$B:$B,MATCH(D124,'Master Stock'!$A:$A,0)),"Code not on Master")</f>
        <v>BARCELONA TOFFEE</v>
      </c>
      <c r="F124" s="47" t="n">
        <v>46357</v>
      </c>
      <c r="G124" s="45" t="s">
        <v>27</v>
      </c>
      <c r="H124" s="30" t="n">
        <v>300</v>
      </c>
      <c r="I124" s="48" t="n">
        <v>365</v>
      </c>
      <c r="J124" s="49" t="n">
        <f aca="false">IF(I124="","",H124*I124)</f>
        <v>109500</v>
      </c>
      <c r="K124" s="19" t="n">
        <f aca="false">IF(A124="",0,SUMIFS('Stock Received'!$I:$I,'Stock Received'!$C:$C,A124,'Stock Received'!$E:$E,D124))</f>
        <v>0</v>
      </c>
      <c r="L124" s="19" t="n">
        <f aca="false">IF(K124&gt;=H124*Settings!$B$12,0,MAX(0,H124-K124))</f>
        <v>300</v>
      </c>
      <c r="M124" s="49" t="n">
        <f aca="false">IF(I124="","",L124*I124)</f>
        <v>109500</v>
      </c>
      <c r="N124" s="18" t="str">
        <f aca="false">IF(K124=0,"Open",IF(K124&gt;=H124*Settings!$B$12,"Received","Part received"))</f>
        <v>Open</v>
      </c>
      <c r="O124" s="50" t="s">
        <v>624</v>
      </c>
    </row>
    <row r="125" customFormat="false" ht="14.25" hidden="false" customHeight="true" outlineLevel="0" collapsed="false">
      <c r="A125" s="43" t="s">
        <v>646</v>
      </c>
      <c r="B125" s="44" t="n">
        <v>38963</v>
      </c>
      <c r="C125" s="43" t="s">
        <v>623</v>
      </c>
      <c r="D125" s="45" t="s">
        <v>264</v>
      </c>
      <c r="E125" s="46" t="str">
        <f aca="false">IFERROR(INDEX('Master Stock'!$B:$B,MATCH(D125,'Master Stock'!$A:$A,0)),"Code not on Master")</f>
        <v>AMANI BORDEAUX</v>
      </c>
      <c r="F125" s="47" t="n">
        <v>46296</v>
      </c>
      <c r="G125" s="45" t="s">
        <v>27</v>
      </c>
      <c r="H125" s="30" t="n">
        <v>40</v>
      </c>
      <c r="I125" s="48" t="n">
        <v>254</v>
      </c>
      <c r="J125" s="49" t="n">
        <f aca="false">IF(I125="","",H125*I125)</f>
        <v>10160</v>
      </c>
      <c r="K125" s="19" t="n">
        <f aca="false">IF(A125="",0,SUMIFS('Stock Received'!$I:$I,'Stock Received'!$C:$C,A125,'Stock Received'!$E:$E,D125))</f>
        <v>0</v>
      </c>
      <c r="L125" s="19" t="n">
        <f aca="false">IF(K125&gt;=H125*Settings!$B$12,0,MAX(0,H125-K125))</f>
        <v>40</v>
      </c>
      <c r="M125" s="49" t="n">
        <f aca="false">IF(I125="","",L125*I125)</f>
        <v>10160</v>
      </c>
      <c r="N125" s="18" t="str">
        <f aca="false">IF(K125=0,"Open",IF(K125&gt;=H125*Settings!$B$12,"Received","Part received"))</f>
        <v>Open</v>
      </c>
      <c r="O125" s="50" t="s">
        <v>624</v>
      </c>
    </row>
    <row r="126" customFormat="false" ht="14.25" hidden="false" customHeight="true" outlineLevel="0" collapsed="false">
      <c r="A126" s="43" t="s">
        <v>646</v>
      </c>
      <c r="B126" s="44" t="n">
        <v>38963</v>
      </c>
      <c r="C126" s="43" t="s">
        <v>623</v>
      </c>
      <c r="D126" s="45" t="s">
        <v>266</v>
      </c>
      <c r="E126" s="46" t="str">
        <f aca="false">IFERROR(INDEX('Master Stock'!$B:$B,MATCH(D126,'Master Stock'!$A:$A,0)),"Code not on Master")</f>
        <v>AMANI JUNIPER</v>
      </c>
      <c r="F126" s="47" t="n">
        <v>46296</v>
      </c>
      <c r="G126" s="45" t="s">
        <v>27</v>
      </c>
      <c r="H126" s="30" t="n">
        <v>40</v>
      </c>
      <c r="I126" s="48" t="n">
        <v>254</v>
      </c>
      <c r="J126" s="49" t="n">
        <f aca="false">IF(I126="","",H126*I126)</f>
        <v>10160</v>
      </c>
      <c r="K126" s="19" t="n">
        <f aca="false">IF(A126="",0,SUMIFS('Stock Received'!$I:$I,'Stock Received'!$C:$C,A126,'Stock Received'!$E:$E,D126))</f>
        <v>0</v>
      </c>
      <c r="L126" s="19" t="n">
        <f aca="false">IF(K126&gt;=H126*Settings!$B$12,0,MAX(0,H126-K126))</f>
        <v>40</v>
      </c>
      <c r="M126" s="49" t="n">
        <f aca="false">IF(I126="","",L126*I126)</f>
        <v>10160</v>
      </c>
      <c r="N126" s="18" t="str">
        <f aca="false">IF(K126=0,"Open",IF(K126&gt;=H126*Settings!$B$12,"Received","Part received"))</f>
        <v>Open</v>
      </c>
      <c r="O126" s="50" t="s">
        <v>624</v>
      </c>
    </row>
    <row r="127" customFormat="false" ht="14.25" hidden="false" customHeight="true" outlineLevel="0" collapsed="false">
      <c r="A127" s="43" t="s">
        <v>643</v>
      </c>
      <c r="B127" s="44" t="n">
        <v>46297</v>
      </c>
      <c r="C127" s="43" t="s">
        <v>623</v>
      </c>
      <c r="D127" s="45" t="s">
        <v>171</v>
      </c>
      <c r="E127" s="46" t="str">
        <f aca="false">IFERROR(INDEX('Master Stock'!$B:$B,MATCH(D127,'Master Stock'!$A:$A,0)),"Code not on Master")</f>
        <v>URBAN HAZELNUT</v>
      </c>
      <c r="F127" s="47" t="n">
        <v>46357</v>
      </c>
      <c r="G127" s="45" t="s">
        <v>27</v>
      </c>
      <c r="H127" s="30" t="n">
        <v>300</v>
      </c>
      <c r="I127" s="48" t="n">
        <v>291.6</v>
      </c>
      <c r="J127" s="49" t="n">
        <f aca="false">IF(I127="","",H127*I127)</f>
        <v>87480</v>
      </c>
      <c r="K127" s="19" t="n">
        <f aca="false">IF(A127="",0,SUMIFS('Stock Received'!$I:$I,'Stock Received'!$C:$C,A127,'Stock Received'!$E:$E,D127))</f>
        <v>0</v>
      </c>
      <c r="L127" s="19" t="n">
        <f aca="false">IF(K127&gt;=H127*Settings!$B$12,0,MAX(0,H127-K127))</f>
        <v>300</v>
      </c>
      <c r="M127" s="49" t="n">
        <f aca="false">IF(I127="","",L127*I127)</f>
        <v>87480</v>
      </c>
      <c r="N127" s="18" t="str">
        <f aca="false">IF(K127=0,"Open",IF(K127&gt;=H127*Settings!$B$12,"Received","Part received"))</f>
        <v>Open</v>
      </c>
      <c r="O127" s="50" t="s">
        <v>624</v>
      </c>
    </row>
    <row r="128" customFormat="false" ht="14.25" hidden="false" customHeight="true" outlineLevel="0" collapsed="false">
      <c r="A128" s="43" t="s">
        <v>643</v>
      </c>
      <c r="B128" s="44" t="n">
        <v>46297</v>
      </c>
      <c r="C128" s="43" t="s">
        <v>623</v>
      </c>
      <c r="D128" s="45" t="s">
        <v>206</v>
      </c>
      <c r="E128" s="46" t="str">
        <f aca="false">IFERROR(INDEX('Master Stock'!$B:$B,MATCH(D128,'Master Stock'!$A:$A,0)),"Code not on Master")</f>
        <v>VINTAGE PECAN</v>
      </c>
      <c r="F128" s="47" t="n">
        <v>46357</v>
      </c>
      <c r="G128" s="45" t="s">
        <v>27</v>
      </c>
      <c r="H128" s="30" t="n">
        <v>300</v>
      </c>
      <c r="I128" s="48" t="n">
        <v>207.36</v>
      </c>
      <c r="J128" s="49" t="n">
        <f aca="false">IF(I128="","",H128*I128)</f>
        <v>62208</v>
      </c>
      <c r="K128" s="19" t="n">
        <f aca="false">IF(A128="",0,SUMIFS('Stock Received'!$I:$I,'Stock Received'!$C:$C,A128,'Stock Received'!$E:$E,D128))</f>
        <v>0</v>
      </c>
      <c r="L128" s="19" t="n">
        <f aca="false">IF(K128&gt;=H128*Settings!$B$12,0,MAX(0,H128-K128))</f>
        <v>300</v>
      </c>
      <c r="M128" s="49" t="n">
        <f aca="false">IF(I128="","",L128*I128)</f>
        <v>62208</v>
      </c>
      <c r="N128" s="18" t="str">
        <f aca="false">IF(K128=0,"Open",IF(K128&gt;=H128*Settings!$B$12,"Received","Part received"))</f>
        <v>Open</v>
      </c>
      <c r="O128" s="50" t="s">
        <v>624</v>
      </c>
    </row>
    <row r="129" customFormat="false" ht="14.25" hidden="false" customHeight="true" outlineLevel="0" collapsed="false">
      <c r="A129" s="43" t="s">
        <v>643</v>
      </c>
      <c r="B129" s="44" t="n">
        <v>46297</v>
      </c>
      <c r="C129" s="43" t="s">
        <v>623</v>
      </c>
      <c r="D129" s="45" t="s">
        <v>208</v>
      </c>
      <c r="E129" s="46" t="str">
        <f aca="false">IFERROR(INDEX('Master Stock'!$B:$B,MATCH(D129,'Master Stock'!$A:$A,0)),"Code not on Master")</f>
        <v>VINTAGE BLACK</v>
      </c>
      <c r="F129" s="47" t="n">
        <v>46357</v>
      </c>
      <c r="G129" s="45" t="s">
        <v>27</v>
      </c>
      <c r="H129" s="30" t="n">
        <v>500</v>
      </c>
      <c r="I129" s="48" t="n">
        <v>207.36</v>
      </c>
      <c r="J129" s="49" t="n">
        <f aca="false">IF(I129="","",H129*I129)</f>
        <v>103680</v>
      </c>
      <c r="K129" s="19" t="n">
        <f aca="false">IF(A129="",0,SUMIFS('Stock Received'!$I:$I,'Stock Received'!$C:$C,A129,'Stock Received'!$E:$E,D129))</f>
        <v>0</v>
      </c>
      <c r="L129" s="19" t="n">
        <f aca="false">IF(K129&gt;=H129*Settings!$B$12,0,MAX(0,H129-K129))</f>
        <v>500</v>
      </c>
      <c r="M129" s="49" t="n">
        <f aca="false">IF(I129="","",L129*I129)</f>
        <v>103680</v>
      </c>
      <c r="N129" s="18" t="str">
        <f aca="false">IF(K129=0,"Open",IF(K129&gt;=H129*Settings!$B$12,"Received","Part received"))</f>
        <v>Open</v>
      </c>
      <c r="O129" s="50" t="s">
        <v>624</v>
      </c>
    </row>
    <row r="130" customFormat="false" ht="14.25" hidden="false" customHeight="true" outlineLevel="0" collapsed="false">
      <c r="A130" s="45" t="s">
        <v>629</v>
      </c>
      <c r="B130" s="44" t="n">
        <v>46255</v>
      </c>
      <c r="C130" s="45" t="s">
        <v>623</v>
      </c>
      <c r="D130" s="45" t="s">
        <v>125</v>
      </c>
      <c r="E130" s="46" t="str">
        <f aca="false">IFERROR(INDEX('Master Stock'!$B:$B,MATCH(D130,'Master Stock'!$A:$A,0)),"Code not on Master")</f>
        <v>SANTOS GREY/STEEL</v>
      </c>
      <c r="F130" s="47" t="n">
        <v>46296</v>
      </c>
      <c r="G130" s="45" t="s">
        <v>27</v>
      </c>
      <c r="H130" s="30" t="n">
        <v>200</v>
      </c>
      <c r="I130" s="48" t="n">
        <v>217</v>
      </c>
      <c r="J130" s="49" t="n">
        <f aca="false">IF(I130="","",H130*I130)</f>
        <v>43400</v>
      </c>
      <c r="K130" s="19" t="n">
        <f aca="false">IF(A130="",0,SUMIFS('Stock Received'!$I:$I,'Stock Received'!$C:$C,A130,'Stock Received'!$E:$E,D130))</f>
        <v>299.02</v>
      </c>
      <c r="L130" s="19" t="n">
        <f aca="false">IF(K130&gt;=H130*Settings!$B$12,0,MAX(0,H130-K130))</f>
        <v>0</v>
      </c>
      <c r="M130" s="49" t="n">
        <f aca="false">IF(I130="","",L130*I130)</f>
        <v>0</v>
      </c>
      <c r="N130" s="18" t="str">
        <f aca="false">IF(K130=0,"Open",IF(K130&gt;=H130*Settings!$B$12,"Received","Part received"))</f>
        <v>Received</v>
      </c>
      <c r="O130" s="50" t="s">
        <v>647</v>
      </c>
    </row>
    <row r="131" customFormat="false" ht="14.25" hidden="false" customHeight="true" outlineLevel="0" collapsed="false">
      <c r="A131" s="45" t="s">
        <v>629</v>
      </c>
      <c r="B131" s="44" t="n">
        <v>46255</v>
      </c>
      <c r="C131" s="45" t="s">
        <v>623</v>
      </c>
      <c r="D131" s="45" t="s">
        <v>115</v>
      </c>
      <c r="E131" s="46" t="str">
        <f aca="false">IFERROR(INDEX('Master Stock'!$B:$B,MATCH(D131,'Master Stock'!$A:$A,0)),"Code not on Master")</f>
        <v>SANTOS RED/PAPRIKA</v>
      </c>
      <c r="F131" s="47" t="n">
        <v>46296</v>
      </c>
      <c r="G131" s="45" t="s">
        <v>27</v>
      </c>
      <c r="H131" s="30" t="n">
        <v>200</v>
      </c>
      <c r="I131" s="48" t="n">
        <v>217</v>
      </c>
      <c r="J131" s="49" t="n">
        <f aca="false">IF(I131="","",H131*I131)</f>
        <v>43400</v>
      </c>
      <c r="K131" s="19" t="n">
        <f aca="false">IF(A131="",0,SUMIFS('Stock Received'!$I:$I,'Stock Received'!$C:$C,A131,'Stock Received'!$E:$E,D131))</f>
        <v>290.72</v>
      </c>
      <c r="L131" s="19" t="n">
        <f aca="false">IF(K131&gt;=H131*Settings!$B$12,0,MAX(0,H131-K131))</f>
        <v>0</v>
      </c>
      <c r="M131" s="49" t="n">
        <f aca="false">IF(I131="","",L131*I131)</f>
        <v>0</v>
      </c>
      <c r="N131" s="18" t="str">
        <f aca="false">IF(K131=0,"Open",IF(K131&gt;=H131*Settings!$B$12,"Received","Part received"))</f>
        <v>Received</v>
      </c>
      <c r="O131" s="50" t="s">
        <v>647</v>
      </c>
    </row>
    <row r="132" customFormat="false" ht="14.25" hidden="false" customHeight="true" outlineLevel="0" collapsed="false">
      <c r="A132" s="45" t="s">
        <v>648</v>
      </c>
      <c r="B132" s="51" t="n">
        <v>46279</v>
      </c>
      <c r="C132" s="45" t="s">
        <v>623</v>
      </c>
      <c r="D132" s="45" t="s">
        <v>236</v>
      </c>
      <c r="E132" s="46" t="str">
        <f aca="false">IFERROR(INDEX('Master Stock'!$B:$B,MATCH(D132,'Master Stock'!$A:$A,0)),"Code not on Master")</f>
        <v>CAPE BUFFALO COPPER</v>
      </c>
      <c r="F132" s="47" t="n">
        <v>46296</v>
      </c>
      <c r="G132" s="45" t="s">
        <v>27</v>
      </c>
      <c r="H132" s="30" t="n">
        <v>300</v>
      </c>
      <c r="I132" s="48" t="n">
        <v>274</v>
      </c>
      <c r="J132" s="49" t="n">
        <f aca="false">IF(I132="","",H132*I132)</f>
        <v>82200</v>
      </c>
      <c r="K132" s="19" t="n">
        <f aca="false">IF(A132="",0,SUMIFS('Stock Received'!$I:$I,'Stock Received'!$C:$C,A132,'Stock Received'!$E:$E,D132))</f>
        <v>381.67</v>
      </c>
      <c r="L132" s="19" t="n">
        <f aca="false">IF(K132&gt;=H132*Settings!$B$12,0,MAX(0,H132-K132))</f>
        <v>0</v>
      </c>
      <c r="M132" s="49" t="n">
        <f aca="false">IF(I132="","",L132*I132)</f>
        <v>0</v>
      </c>
      <c r="N132" s="18" t="str">
        <f aca="false">IF(K132=0,"Open",IF(K132&gt;=H132*Settings!$B$12,"Received","Part received"))</f>
        <v>Received</v>
      </c>
      <c r="O132" s="50" t="s">
        <v>647</v>
      </c>
    </row>
    <row r="133" customFormat="false" ht="14.25" hidden="false" customHeight="true" outlineLevel="0" collapsed="false">
      <c r="A133" s="45" t="s">
        <v>649</v>
      </c>
      <c r="B133" s="44" t="n">
        <v>46282</v>
      </c>
      <c r="C133" s="45" t="s">
        <v>623</v>
      </c>
      <c r="D133" s="45" t="s">
        <v>204</v>
      </c>
      <c r="E133" s="46" t="str">
        <f aca="false">IFERROR(INDEX('Master Stock'!$B:$B,MATCH(D133,'Master Stock'!$A:$A,0)),"Code not on Master")</f>
        <v>ETOSHA CIGAR</v>
      </c>
      <c r="F133" s="47" t="n">
        <v>46296</v>
      </c>
      <c r="G133" s="45" t="s">
        <v>27</v>
      </c>
      <c r="H133" s="30" t="n">
        <v>1000</v>
      </c>
      <c r="I133" s="48" t="n">
        <v>207</v>
      </c>
      <c r="J133" s="49" t="n">
        <f aca="false">IF(I133="","",H133*I133)</f>
        <v>207000</v>
      </c>
      <c r="K133" s="19" t="n">
        <f aca="false">IF(A133="",0,SUMIFS('Stock Received'!$I:$I,'Stock Received'!$C:$C,A133,'Stock Received'!$E:$E,D133))</f>
        <v>1095.85</v>
      </c>
      <c r="L133" s="19" t="n">
        <f aca="false">IF(K133&gt;=H133*Settings!$B$12,0,MAX(0,H133-K133))</f>
        <v>0</v>
      </c>
      <c r="M133" s="49" t="n">
        <f aca="false">IF(I133="","",L133*I133)</f>
        <v>0</v>
      </c>
      <c r="N133" s="18" t="str">
        <f aca="false">IF(K133=0,"Open",IF(K133&gt;=H133*Settings!$B$12,"Received","Part received"))</f>
        <v>Received</v>
      </c>
      <c r="O133" s="50" t="s">
        <v>647</v>
      </c>
    </row>
    <row r="134" customFormat="false" ht="14.25" hidden="false" customHeight="true" outlineLevel="0" collapsed="false">
      <c r="E134" s="12" t="s">
        <v>496</v>
      </c>
      <c r="H134" s="13" t="n">
        <f aca="false">SUM(H5:H133)</f>
        <v>48980</v>
      </c>
      <c r="J134" s="52" t="n">
        <f aca="false">SUM(J5:J133)</f>
        <v>13456284</v>
      </c>
      <c r="K134" s="13" t="n">
        <f aca="false">SUM(K5:K133)</f>
        <v>2946.83</v>
      </c>
      <c r="L134" s="13" t="n">
        <f aca="false">SUM(L5:L133)</f>
        <v>46380</v>
      </c>
      <c r="M134" s="52" t="n">
        <f aca="false">SUM(M5:M133)</f>
        <v>12751784</v>
      </c>
    </row>
  </sheetData>
  <autoFilter ref="A4:O134"/>
  <conditionalFormatting sqref="N5:N133">
    <cfRule type="expression" priority="2" aboveAverage="0" equalAverage="0" bottom="0" percent="0" rank="0" text="" dxfId="29">
      <formula>ISNUMBER(SEARCH("Received",N5))</formula>
    </cfRule>
    <cfRule type="expression" priority="3" aboveAverage="0" equalAverage="0" bottom="0" percent="0" rank="0" text="" dxfId="1">
      <formula>ISNUMBER(SEARCH("Part",N5))</formula>
    </cfRule>
    <cfRule type="expression" priority="4" aboveAverage="0" equalAverage="0" bottom="0" percent="0" rank="0" text="" dxfId="30">
      <formula>ISNUMBER(SEARCH("Open",N5))</formula>
    </cfRule>
  </conditionalFormatting>
  <conditionalFormatting sqref="A5:M133">
    <cfRule type="expression" priority="5" aboveAverage="0" equalAverage="0" bottom="0" percent="0" rank="0" text="" dxfId="31">
      <formula>$N5="Received"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1" activeCellId="0" sqref="A1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1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28"/>
    <col collapsed="false" customWidth="true" hidden="false" outlineLevel="0" max="7" min="7" style="1" width="32"/>
    <col collapsed="false" customWidth="true" hidden="false" outlineLevel="0" max="8" min="8" style="1" width="10"/>
    <col collapsed="false" customWidth="true" hidden="false" outlineLevel="0" max="10" min="9" style="1" width="11"/>
    <col collapsed="false" customWidth="true" hidden="false" outlineLevel="0" max="11" min="11" style="1" width="14"/>
    <col collapsed="false" customWidth="true" hidden="false" outlineLevel="0" max="12" min="12" style="1" width="10"/>
  </cols>
  <sheetData>
    <row r="1" customFormat="false" ht="18" hidden="false" customHeight="true" outlineLevel="0" collapsed="false">
      <c r="A1" s="2" t="s">
        <v>650</v>
      </c>
    </row>
    <row r="2" customFormat="false" ht="14.25" hidden="false" customHeight="true" outlineLevel="0" collapsed="false">
      <c r="A2" s="37" t="s">
        <v>651</v>
      </c>
    </row>
    <row r="4" customFormat="false" ht="42" hidden="false" customHeight="true" outlineLevel="0" collapsed="false">
      <c r="A4" s="23" t="s">
        <v>652</v>
      </c>
      <c r="B4" s="23" t="s">
        <v>653</v>
      </c>
      <c r="C4" s="23" t="s">
        <v>611</v>
      </c>
      <c r="D4" s="23" t="s">
        <v>613</v>
      </c>
      <c r="E4" s="23" t="s">
        <v>53</v>
      </c>
      <c r="F4" s="23" t="s">
        <v>54</v>
      </c>
      <c r="G4" s="23" t="s">
        <v>654</v>
      </c>
      <c r="H4" s="23" t="s">
        <v>655</v>
      </c>
      <c r="I4" s="23" t="s">
        <v>619</v>
      </c>
      <c r="J4" s="23" t="s">
        <v>617</v>
      </c>
      <c r="K4" s="23" t="s">
        <v>47</v>
      </c>
      <c r="L4" s="23" t="s">
        <v>656</v>
      </c>
    </row>
    <row r="5" customFormat="false" ht="14.25" hidden="false" customHeight="true" outlineLevel="0" collapsed="false">
      <c r="A5" s="51" t="n">
        <v>46303</v>
      </c>
      <c r="B5" s="45" t="s">
        <v>657</v>
      </c>
      <c r="C5" s="45" t="s">
        <v>629</v>
      </c>
      <c r="D5" s="45" t="s">
        <v>623</v>
      </c>
      <c r="E5" s="45" t="s">
        <v>115</v>
      </c>
      <c r="F5" s="46" t="str">
        <f aca="false">IFERROR(INDEX('Master Stock'!$B:$B,MATCH(E5,'Master Stock'!$A:$A,0)),"Code not on Master")</f>
        <v>SANTOS RED/PAPRIKA</v>
      </c>
      <c r="G5" s="45" t="s">
        <v>658</v>
      </c>
      <c r="H5" s="45" t="n">
        <v>60</v>
      </c>
      <c r="I5" s="30" t="n">
        <v>290.72</v>
      </c>
      <c r="J5" s="53" t="n">
        <v>217</v>
      </c>
      <c r="K5" s="54" t="n">
        <f aca="false">I5*J5</f>
        <v>63086.24</v>
      </c>
      <c r="L5" s="45" t="s">
        <v>27</v>
      </c>
    </row>
    <row r="6" customFormat="false" ht="14.25" hidden="false" customHeight="true" outlineLevel="0" collapsed="false">
      <c r="A6" s="51" t="n">
        <v>46303</v>
      </c>
      <c r="B6" s="45" t="s">
        <v>657</v>
      </c>
      <c r="C6" s="45" t="s">
        <v>629</v>
      </c>
      <c r="D6" s="45" t="s">
        <v>623</v>
      </c>
      <c r="E6" s="45" t="s">
        <v>125</v>
      </c>
      <c r="F6" s="46" t="str">
        <f aca="false">IFERROR(INDEX('Master Stock'!$B:$B,MATCH(E6,'Master Stock'!$A:$A,0)),"Code not on Master")</f>
        <v>SANTOS GREY/STEEL</v>
      </c>
      <c r="G6" s="45" t="s">
        <v>659</v>
      </c>
      <c r="H6" s="45" t="n">
        <v>60</v>
      </c>
      <c r="I6" s="30" t="n">
        <v>299.02</v>
      </c>
      <c r="J6" s="53" t="n">
        <v>217</v>
      </c>
      <c r="K6" s="54" t="n">
        <f aca="false">I6*J6</f>
        <v>64887.34</v>
      </c>
      <c r="L6" s="45" t="s">
        <v>27</v>
      </c>
    </row>
    <row r="7" customFormat="false" ht="14.25" hidden="false" customHeight="true" outlineLevel="0" collapsed="false">
      <c r="A7" s="51" t="n">
        <v>46303</v>
      </c>
      <c r="B7" s="45" t="s">
        <v>657</v>
      </c>
      <c r="C7" s="45" t="s">
        <v>648</v>
      </c>
      <c r="D7" s="45" t="s">
        <v>623</v>
      </c>
      <c r="E7" s="45" t="s">
        <v>236</v>
      </c>
      <c r="F7" s="46" t="str">
        <f aca="false">IFERROR(INDEX('Master Stock'!$B:$B,MATCH(E7,'Master Stock'!$A:$A,0)),"Code not on Master")</f>
        <v>CAPE BUFFALO COPPER</v>
      </c>
      <c r="G7" s="45" t="s">
        <v>660</v>
      </c>
      <c r="H7" s="45" t="n">
        <v>90</v>
      </c>
      <c r="I7" s="30" t="n">
        <v>381.67</v>
      </c>
      <c r="J7" s="53" t="n">
        <v>274</v>
      </c>
      <c r="K7" s="54" t="n">
        <f aca="false">I7*J7</f>
        <v>104577.58</v>
      </c>
      <c r="L7" s="45" t="s">
        <v>27</v>
      </c>
    </row>
    <row r="8" customFormat="false" ht="14.25" hidden="false" customHeight="true" outlineLevel="0" collapsed="false">
      <c r="A8" s="51" t="n">
        <v>46303</v>
      </c>
      <c r="B8" s="45" t="s">
        <v>657</v>
      </c>
      <c r="C8" s="45" t="s">
        <v>649</v>
      </c>
      <c r="D8" s="45" t="s">
        <v>623</v>
      </c>
      <c r="E8" s="45" t="s">
        <v>204</v>
      </c>
      <c r="F8" s="46" t="str">
        <f aca="false">IFERROR(INDEX('Master Stock'!$B:$B,MATCH(E8,'Master Stock'!$A:$A,0)),"Code not on Master")</f>
        <v>ETOSHA CIGAR</v>
      </c>
      <c r="G8" s="45" t="s">
        <v>661</v>
      </c>
      <c r="H8" s="45" t="n">
        <v>260</v>
      </c>
      <c r="I8" s="30" t="n">
        <v>1095.85</v>
      </c>
      <c r="J8" s="53" t="n">
        <v>207</v>
      </c>
      <c r="K8" s="54" t="n">
        <f aca="false">I8*J8</f>
        <v>226840.95</v>
      </c>
      <c r="L8" s="45" t="s">
        <v>27</v>
      </c>
    </row>
    <row r="9" customFormat="false" ht="14.25" hidden="false" customHeight="true" outlineLevel="0" collapsed="false">
      <c r="A9" s="51" t="n">
        <v>46304</v>
      </c>
      <c r="B9" s="45" t="s">
        <v>662</v>
      </c>
      <c r="C9" s="45" t="s">
        <v>626</v>
      </c>
      <c r="D9" s="45" t="s">
        <v>627</v>
      </c>
      <c r="E9" s="45" t="s">
        <v>352</v>
      </c>
      <c r="F9" s="46" t="str">
        <f aca="false">IFERROR(INDEX('Master Stock'!$B:$B,MATCH(E9,'Master Stock'!$A:$A,0)),"Code not on Master")</f>
        <v>CHICAGO TAN</v>
      </c>
      <c r="G9" s="45" t="s">
        <v>663</v>
      </c>
      <c r="H9" s="45" t="n">
        <v>118</v>
      </c>
      <c r="I9" s="30" t="n">
        <v>275.43</v>
      </c>
      <c r="J9" s="53" t="n">
        <v>365</v>
      </c>
      <c r="K9" s="54" t="n">
        <f aca="false">I9*J9</f>
        <v>100531.95</v>
      </c>
      <c r="L9" s="45" t="s">
        <v>27</v>
      </c>
    </row>
    <row r="10" customFormat="false" ht="14.25" hidden="false" customHeight="true" outlineLevel="0" collapsed="false">
      <c r="A10" s="51" t="n">
        <v>46303</v>
      </c>
      <c r="B10" s="45" t="s">
        <v>664</v>
      </c>
      <c r="C10" s="45" t="s">
        <v>626</v>
      </c>
      <c r="D10" s="45" t="s">
        <v>627</v>
      </c>
      <c r="E10" s="45" t="s">
        <v>332</v>
      </c>
      <c r="F10" s="46" t="str">
        <f aca="false">IFERROR(INDEX('Master Stock'!$B:$B,MATCH(E10,'Master Stock'!$A:$A,0)),"Code not on Master")</f>
        <v>BARCELONA BLACK</v>
      </c>
      <c r="G10" s="45" t="s">
        <v>665</v>
      </c>
      <c r="H10" s="45" t="n">
        <v>158</v>
      </c>
      <c r="I10" s="30" t="n">
        <v>304</v>
      </c>
      <c r="J10" s="53" t="n">
        <v>365</v>
      </c>
      <c r="K10" s="54" t="n">
        <f aca="false">I10*J10</f>
        <v>110960</v>
      </c>
      <c r="L10" s="45" t="s">
        <v>27</v>
      </c>
    </row>
    <row r="11" customFormat="false" ht="14.25" hidden="false" customHeight="true" outlineLevel="0" collapsed="false">
      <c r="A11" s="51" t="n">
        <v>46303</v>
      </c>
      <c r="B11" s="45" t="s">
        <v>664</v>
      </c>
      <c r="C11" s="45" t="s">
        <v>626</v>
      </c>
      <c r="D11" s="45" t="s">
        <v>627</v>
      </c>
      <c r="E11" s="45" t="s">
        <v>336</v>
      </c>
      <c r="F11" s="46" t="str">
        <f aca="false">IFERROR(INDEX('Master Stock'!$B:$B,MATCH(E11,'Master Stock'!$A:$A,0)),"Code not on Master")</f>
        <v>BARCELONA NAVY</v>
      </c>
      <c r="G11" s="45" t="s">
        <v>666</v>
      </c>
      <c r="H11" s="45" t="n">
        <v>157</v>
      </c>
      <c r="I11" s="30" t="n">
        <v>300.14</v>
      </c>
      <c r="J11" s="53" t="n">
        <v>365</v>
      </c>
      <c r="K11" s="54" t="n">
        <f aca="false">I11*J11</f>
        <v>109551.1</v>
      </c>
      <c r="L11" s="45" t="s">
        <v>27</v>
      </c>
    </row>
    <row r="12" customFormat="false" ht="14.25" hidden="false" customHeight="true" outlineLevel="0" collapsed="false">
      <c r="A12" s="55"/>
      <c r="B12" s="56"/>
      <c r="C12" s="56"/>
      <c r="D12" s="56"/>
      <c r="E12" s="56"/>
      <c r="F12" s="57"/>
      <c r="G12" s="56"/>
      <c r="H12" s="56"/>
      <c r="I12" s="58"/>
      <c r="J12" s="59"/>
      <c r="K12" s="60"/>
      <c r="L12" s="56"/>
    </row>
    <row r="13" customFormat="false" ht="14.25" hidden="false" customHeight="true" outlineLevel="0" collapsed="false">
      <c r="A13" s="37"/>
    </row>
    <row r="14" customFormat="false" ht="14.25" hidden="false" customHeight="true" outlineLevel="0" collapsed="false">
      <c r="A14" s="61" t="s">
        <v>667</v>
      </c>
    </row>
    <row r="15" customFormat="false" ht="14.25" hidden="false" customHeight="true" outlineLevel="0" collapsed="false">
      <c r="A15" s="61" t="s">
        <v>668</v>
      </c>
    </row>
    <row r="16" customFormat="false" ht="14.25" hidden="false" customHeight="true" outlineLevel="0" collapsed="false">
      <c r="A16" s="6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174" activePane="bottomLeft" state="frozen"/>
      <selection pane="topLeft" activeCell="A1" activeCellId="0" sqref="A1"/>
      <selection pane="bottomLeft" activeCell="F187" activeCellId="0" sqref="F18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8"/>
  </cols>
  <sheetData>
    <row r="1" customFormat="false" ht="18" hidden="false" customHeight="true" outlineLevel="0" collapsed="false">
      <c r="A1" s="2" t="s">
        <v>669</v>
      </c>
    </row>
    <row r="2" customFormat="false" ht="14.25" hidden="false" customHeight="true" outlineLevel="0" collapsed="false">
      <c r="A2" s="37" t="s">
        <v>670</v>
      </c>
    </row>
    <row r="4" customFormat="false" ht="42" hidden="false" customHeight="true" outlineLevel="0" collapsed="false">
      <c r="A4" s="23" t="s">
        <v>671</v>
      </c>
      <c r="B4" s="23" t="s">
        <v>672</v>
      </c>
      <c r="C4" s="23" t="s">
        <v>673</v>
      </c>
      <c r="D4" s="23" t="s">
        <v>54</v>
      </c>
      <c r="E4" s="23" t="s">
        <v>674</v>
      </c>
      <c r="F4" s="23" t="s">
        <v>675</v>
      </c>
      <c r="H4" s="7" t="s">
        <v>676</v>
      </c>
      <c r="I4" s="7" t="s">
        <v>677</v>
      </c>
      <c r="J4" s="7" t="s">
        <v>678</v>
      </c>
    </row>
    <row r="5" customFormat="false" ht="14.25" hidden="false" customHeight="true" outlineLevel="0" collapsed="false">
      <c r="A5" s="62" t="n">
        <v>46311</v>
      </c>
      <c r="B5" s="63" t="s">
        <v>679</v>
      </c>
      <c r="C5" s="63" t="s">
        <v>83</v>
      </c>
      <c r="D5" s="63" t="s">
        <v>84</v>
      </c>
      <c r="E5" s="63"/>
      <c r="F5" s="63" t="n">
        <v>25.5</v>
      </c>
    </row>
    <row r="6" customFormat="false" ht="14.25" hidden="false" customHeight="true" outlineLevel="0" collapsed="false">
      <c r="A6" s="64" t="n">
        <v>46304</v>
      </c>
      <c r="B6" s="1" t="s">
        <v>28</v>
      </c>
      <c r="C6" s="1" t="s">
        <v>680</v>
      </c>
      <c r="D6" s="1" t="s">
        <v>681</v>
      </c>
      <c r="E6" s="63"/>
      <c r="F6" s="1" t="n">
        <v>0</v>
      </c>
      <c r="H6" s="17" t="str">
        <f aca="false">IF(TRIM(C6)="","",IFERROR(INDEX('Code Aliases'!$B:$B,MATCH(TRIM(C6),'Code Aliases'!$A:$A,0)),TRIM(C6)))</f>
        <v>APA001</v>
      </c>
      <c r="I6" s="17" t="str">
        <f aca="false">IF(TRIM(B6)="","",UPPER(TRIM(B6)))</f>
        <v>JHB</v>
      </c>
      <c r="J6" s="17" t="str">
        <f aca="false">IF(H6="","",IF(COUNTIF('Master Stock'!$A$5:$A$206,H6)&gt;0,"Yes","Not on stock sheet"))</f>
        <v>Yes</v>
      </c>
    </row>
    <row r="7" customFormat="false" ht="14.25" hidden="false" customHeight="true" outlineLevel="0" collapsed="false">
      <c r="A7" s="64" t="n">
        <v>46304</v>
      </c>
      <c r="B7" s="1" t="s">
        <v>28</v>
      </c>
      <c r="C7" s="1" t="s">
        <v>682</v>
      </c>
      <c r="D7" s="1" t="s">
        <v>683</v>
      </c>
      <c r="E7" s="63"/>
      <c r="F7" s="1" t="n">
        <v>1.53</v>
      </c>
      <c r="H7" s="17" t="str">
        <f aca="false">IF(TRIM(C7)="","",IFERROR(INDEX('Code Aliases'!$B:$B,MATCH(TRIM(C7),'Code Aliases'!$A:$A,0)),TRIM(C7)))</f>
        <v>ATL005</v>
      </c>
      <c r="I7" s="17" t="str">
        <f aca="false">IF(TRIM(B7)="","",UPPER(TRIM(B7)))</f>
        <v>JHB</v>
      </c>
      <c r="J7" s="17" t="str">
        <f aca="false">IF(H7="","",IF(COUNTIF('Master Stock'!$A$5:$A$206,H7)&gt;0,"Yes","Not on stock sheet"))</f>
        <v>Not on stock sheet</v>
      </c>
    </row>
    <row r="8" customFormat="false" ht="14.25" hidden="false" customHeight="true" outlineLevel="0" collapsed="false">
      <c r="A8" s="64" t="n">
        <v>46304</v>
      </c>
      <c r="B8" s="1" t="s">
        <v>28</v>
      </c>
      <c r="C8" s="1" t="s">
        <v>684</v>
      </c>
      <c r="D8" s="1" t="s">
        <v>685</v>
      </c>
      <c r="E8" s="63"/>
      <c r="F8" s="1" t="n">
        <v>7.9</v>
      </c>
      <c r="H8" s="17" t="str">
        <f aca="false">IF(TRIM(C8)="","",IFERROR(INDEX('Code Aliases'!$B:$B,MATCH(TRIM(C8),'Code Aliases'!$A:$A,0)),TRIM(C8)))</f>
        <v>ATL007</v>
      </c>
      <c r="I8" s="17" t="str">
        <f aca="false">IF(TRIM(B8)="","",UPPER(TRIM(B8)))</f>
        <v>JHB</v>
      </c>
      <c r="J8" s="17" t="str">
        <f aca="false">IF(H8="","",IF(COUNTIF('Master Stock'!$A$5:$A$206,H8)&gt;0,"Yes","Not on stock sheet"))</f>
        <v>Not on stock sheet</v>
      </c>
    </row>
    <row r="9" customFormat="false" ht="14.25" hidden="false" customHeight="true" outlineLevel="0" collapsed="false">
      <c r="A9" s="64" t="n">
        <v>46304</v>
      </c>
      <c r="B9" s="1" t="s">
        <v>28</v>
      </c>
      <c r="C9" s="1" t="s">
        <v>686</v>
      </c>
      <c r="D9" s="1" t="s">
        <v>687</v>
      </c>
      <c r="E9" s="63"/>
      <c r="F9" s="1" t="n">
        <v>1.84</v>
      </c>
      <c r="H9" s="17" t="str">
        <f aca="false">IF(TRIM(C9)="","",IFERROR(INDEX('Code Aliases'!$B:$B,MATCH(TRIM(C9),'Code Aliases'!$A:$A,0)),TRIM(C9)))</f>
        <v>ATL008</v>
      </c>
      <c r="I9" s="17" t="str">
        <f aca="false">IF(TRIM(B9)="","",UPPER(TRIM(B9)))</f>
        <v>JHB</v>
      </c>
      <c r="J9" s="17" t="str">
        <f aca="false">IF(H9="","",IF(COUNTIF('Master Stock'!$A$5:$A$206,H9)&gt;0,"Yes","Not on stock sheet"))</f>
        <v>Not on stock sheet</v>
      </c>
    </row>
    <row r="10" customFormat="false" ht="14.25" hidden="false" customHeight="true" outlineLevel="0" collapsed="false">
      <c r="A10" s="64" t="n">
        <v>46304</v>
      </c>
      <c r="B10" s="1" t="s">
        <v>28</v>
      </c>
      <c r="C10" s="1" t="s">
        <v>688</v>
      </c>
      <c r="D10" s="1" t="s">
        <v>689</v>
      </c>
      <c r="E10" s="63"/>
      <c r="F10" s="1" t="n">
        <v>3.46</v>
      </c>
      <c r="H10" s="17" t="str">
        <f aca="false">IF(TRIM(C10)="","",IFERROR(INDEX('Code Aliases'!$B:$B,MATCH(TRIM(C10),'Code Aliases'!$A:$A,0)),TRIM(C10)))</f>
        <v>AVI001</v>
      </c>
      <c r="I10" s="17" t="str">
        <f aca="false">IF(TRIM(B10)="","",UPPER(TRIM(B10)))</f>
        <v>JHB</v>
      </c>
      <c r="J10" s="17" t="str">
        <f aca="false">IF(H10="","",IF(COUNTIF('Master Stock'!$A$5:$A$206,H10)&gt;0,"Yes","Not on stock sheet"))</f>
        <v>Yes</v>
      </c>
    </row>
    <row r="11" customFormat="false" ht="14.25" hidden="false" customHeight="true" outlineLevel="0" collapsed="false">
      <c r="A11" s="64" t="n">
        <v>46304</v>
      </c>
      <c r="B11" s="1" t="s">
        <v>28</v>
      </c>
      <c r="C11" s="1" t="s">
        <v>690</v>
      </c>
      <c r="D11" s="1" t="s">
        <v>691</v>
      </c>
      <c r="E11" s="63"/>
      <c r="F11" s="1" t="n">
        <v>5.48</v>
      </c>
      <c r="H11" s="17" t="str">
        <f aca="false">IF(TRIM(C11)="","",IFERROR(INDEX('Code Aliases'!$B:$B,MATCH(TRIM(C11),'Code Aliases'!$A:$A,0)),TRIM(C11)))</f>
        <v>BBB001</v>
      </c>
      <c r="I11" s="17" t="str">
        <f aca="false">IF(TRIM(B11)="","",UPPER(TRIM(B11)))</f>
        <v>JHB</v>
      </c>
      <c r="J11" s="17" t="str">
        <f aca="false">IF(H11="","",IF(COUNTIF('Master Stock'!$A$5:$A$206,H11)&gt;0,"Yes","Not on stock sheet"))</f>
        <v>Not on stock sheet</v>
      </c>
    </row>
    <row r="12" customFormat="false" ht="14.25" hidden="false" customHeight="true" outlineLevel="0" collapsed="false">
      <c r="A12" s="64" t="n">
        <v>46304</v>
      </c>
      <c r="B12" s="1" t="s">
        <v>28</v>
      </c>
      <c r="C12" s="1" t="s">
        <v>692</v>
      </c>
      <c r="D12" s="1" t="s">
        <v>693</v>
      </c>
      <c r="E12" s="63"/>
      <c r="F12" s="1" t="n">
        <v>287.02</v>
      </c>
      <c r="H12" s="17" t="str">
        <f aca="false">IF(TRIM(C12)="","",IFERROR(INDEX('Code Aliases'!$B:$B,MATCH(TRIM(C12),'Code Aliases'!$A:$A,0)),TRIM(C12)))</f>
        <v>BWO001</v>
      </c>
      <c r="I12" s="17" t="str">
        <f aca="false">IF(TRIM(B12)="","",UPPER(TRIM(B12)))</f>
        <v>JHB</v>
      </c>
      <c r="J12" s="17" t="str">
        <f aca="false">IF(H12="","",IF(COUNTIF('Master Stock'!$A$5:$A$206,H12)&gt;0,"Yes","Not on stock sheet"))</f>
        <v>Yes</v>
      </c>
    </row>
    <row r="13" customFormat="false" ht="14.25" hidden="false" customHeight="true" outlineLevel="0" collapsed="false">
      <c r="A13" s="64" t="n">
        <v>46304</v>
      </c>
      <c r="B13" s="1" t="s">
        <v>28</v>
      </c>
      <c r="C13" s="1" t="s">
        <v>694</v>
      </c>
      <c r="D13" s="1" t="s">
        <v>695</v>
      </c>
      <c r="E13" s="63"/>
      <c r="F13" s="1" t="n">
        <v>0</v>
      </c>
      <c r="H13" s="17" t="str">
        <f aca="false">IF(TRIM(C13)="","",IFERROR(INDEX('Code Aliases'!$B:$B,MATCH(TRIM(C13),'Code Aliases'!$A:$A,0)),TRIM(C13)))</f>
        <v>BWO002</v>
      </c>
      <c r="I13" s="17" t="str">
        <f aca="false">IF(TRIM(B13)="","",UPPER(TRIM(B13)))</f>
        <v>JHB</v>
      </c>
      <c r="J13" s="17" t="str">
        <f aca="false">IF(H13="","",IF(COUNTIF('Master Stock'!$A$5:$A$206,H13)&gt;0,"Yes","Not on stock sheet"))</f>
        <v>Yes</v>
      </c>
    </row>
    <row r="14" customFormat="false" ht="14.25" hidden="false" customHeight="true" outlineLevel="0" collapsed="false">
      <c r="A14" s="64" t="n">
        <v>46304</v>
      </c>
      <c r="B14" s="1" t="s">
        <v>28</v>
      </c>
      <c r="C14" s="1" t="s">
        <v>696</v>
      </c>
      <c r="D14" s="1" t="s">
        <v>697</v>
      </c>
      <c r="E14" s="63"/>
      <c r="F14" s="1" t="n">
        <v>29.5</v>
      </c>
      <c r="H14" s="17" t="str">
        <f aca="false">IF(TRIM(C14)="","",IFERROR(INDEX('Code Aliases'!$B:$B,MATCH(TRIM(C14),'Code Aliases'!$A:$A,0)),TRIM(C14)))</f>
        <v>BWO005</v>
      </c>
      <c r="I14" s="17" t="str">
        <f aca="false">IF(TRIM(B14)="","",UPPER(TRIM(B14)))</f>
        <v>JHB</v>
      </c>
      <c r="J14" s="17" t="str">
        <f aca="false">IF(H14="","",IF(COUNTIF('Master Stock'!$A$5:$A$206,H14)&gt;0,"Yes","Not on stock sheet"))</f>
        <v>Yes</v>
      </c>
    </row>
    <row r="15" customFormat="false" ht="14.25" hidden="false" customHeight="true" outlineLevel="0" collapsed="false">
      <c r="A15" s="64" t="n">
        <v>46304</v>
      </c>
      <c r="B15" s="1" t="s">
        <v>28</v>
      </c>
      <c r="C15" s="1" t="s">
        <v>698</v>
      </c>
      <c r="D15" s="1" t="s">
        <v>699</v>
      </c>
      <c r="F15" s="1" t="n">
        <v>90.39</v>
      </c>
      <c r="H15" s="17" t="str">
        <f aca="false">IF(TRIM(C15)="","",IFERROR(INDEX('Code Aliases'!$B:$B,MATCH(TRIM(C15),'Code Aliases'!$A:$A,0)),TRIM(C15)))</f>
        <v>BWO006</v>
      </c>
      <c r="I15" s="17" t="str">
        <f aca="false">IF(TRIM(B15)="","",UPPER(TRIM(B15)))</f>
        <v>JHB</v>
      </c>
      <c r="J15" s="17" t="str">
        <f aca="false">IF(H15="","",IF(COUNTIF('Master Stock'!$A$5:$A$206,H15)&gt;0,"Yes","Not on stock sheet"))</f>
        <v>Yes</v>
      </c>
    </row>
    <row r="16" customFormat="false" ht="14.25" hidden="false" customHeight="true" outlineLevel="0" collapsed="false">
      <c r="A16" s="64" t="n">
        <v>46304</v>
      </c>
      <c r="B16" s="1" t="s">
        <v>28</v>
      </c>
      <c r="C16" s="1" t="s">
        <v>700</v>
      </c>
      <c r="D16" s="1" t="s">
        <v>701</v>
      </c>
      <c r="F16" s="1" t="n">
        <v>123.89</v>
      </c>
      <c r="H16" s="17" t="str">
        <f aca="false">IF(TRIM(C16)="","",IFERROR(INDEX('Code Aliases'!$B:$B,MATCH(TRIM(C16),'Code Aliases'!$A:$A,0)),TRIM(C16)))</f>
        <v>BWO007</v>
      </c>
      <c r="I16" s="17" t="str">
        <f aca="false">IF(TRIM(B16)="","",UPPER(TRIM(B16)))</f>
        <v>JHB</v>
      </c>
      <c r="J16" s="17" t="str">
        <f aca="false">IF(H16="","",IF(COUNTIF('Master Stock'!$A$5:$A$206,H16)&gt;0,"Yes","Not on stock sheet"))</f>
        <v>Yes</v>
      </c>
    </row>
    <row r="17" customFormat="false" ht="14.25" hidden="false" customHeight="true" outlineLevel="0" collapsed="false">
      <c r="A17" s="64" t="n">
        <v>46304</v>
      </c>
      <c r="B17" s="1" t="s">
        <v>28</v>
      </c>
      <c r="C17" s="1" t="s">
        <v>702</v>
      </c>
      <c r="D17" s="1" t="s">
        <v>703</v>
      </c>
      <c r="F17" s="1" t="n">
        <v>68.21</v>
      </c>
      <c r="H17" s="17" t="str">
        <f aca="false">IF(TRIM(C17)="","",IFERROR(INDEX('Code Aliases'!$B:$B,MATCH(TRIM(C17),'Code Aliases'!$A:$A,0)),TRIM(C17)))</f>
        <v>CAP003</v>
      </c>
      <c r="I17" s="17" t="str">
        <f aca="false">IF(TRIM(B17)="","",UPPER(TRIM(B17)))</f>
        <v>JHB</v>
      </c>
      <c r="J17" s="17" t="str">
        <f aca="false">IF(H17="","",IF(COUNTIF('Master Stock'!$A$5:$A$206,H17)&gt;0,"Yes","Not on stock sheet"))</f>
        <v>Yes</v>
      </c>
    </row>
    <row r="18" customFormat="false" ht="14.25" hidden="false" customHeight="true" outlineLevel="0" collapsed="false">
      <c r="A18" s="64" t="n">
        <v>46304</v>
      </c>
      <c r="B18" s="1" t="s">
        <v>28</v>
      </c>
      <c r="C18" s="1" t="s">
        <v>704</v>
      </c>
      <c r="D18" s="1" t="s">
        <v>705</v>
      </c>
      <c r="F18" s="1" t="n">
        <v>16.38</v>
      </c>
      <c r="H18" s="17" t="str">
        <f aca="false">IF(TRIM(C18)="","",IFERROR(INDEX('Code Aliases'!$B:$B,MATCH(TRIM(C18),'Code Aliases'!$A:$A,0)),TRIM(C18)))</f>
        <v>CAP009</v>
      </c>
      <c r="I18" s="17" t="str">
        <f aca="false">IF(TRIM(B18)="","",UPPER(TRIM(B18)))</f>
        <v>JHB</v>
      </c>
      <c r="J18" s="17" t="str">
        <f aca="false">IF(H18="","",IF(COUNTIF('Master Stock'!$A$5:$A$206,H18)&gt;0,"Yes","Not on stock sheet"))</f>
        <v>Yes</v>
      </c>
    </row>
    <row r="19" customFormat="false" ht="14.25" hidden="false" customHeight="true" outlineLevel="0" collapsed="false">
      <c r="A19" s="64" t="n">
        <v>46304</v>
      </c>
      <c r="B19" s="1" t="s">
        <v>28</v>
      </c>
      <c r="C19" s="1" t="s">
        <v>706</v>
      </c>
      <c r="D19" s="1" t="s">
        <v>707</v>
      </c>
      <c r="F19" s="1" t="n">
        <v>31.25</v>
      </c>
      <c r="H19" s="17" t="str">
        <f aca="false">IF(TRIM(C19)="","",IFERROR(INDEX('Code Aliases'!$B:$B,MATCH(TRIM(C19),'Code Aliases'!$A:$A,0)),TRIM(C19)))</f>
        <v>CAS001</v>
      </c>
      <c r="I19" s="17" t="str">
        <f aca="false">IF(TRIM(B19)="","",UPPER(TRIM(B19)))</f>
        <v>JHB</v>
      </c>
      <c r="J19" s="17" t="str">
        <f aca="false">IF(H19="","",IF(COUNTIF('Master Stock'!$A$5:$A$206,H19)&gt;0,"Yes","Not on stock sheet"))</f>
        <v>Yes</v>
      </c>
    </row>
    <row r="20" customFormat="false" ht="14.25" hidden="false" customHeight="true" outlineLevel="0" collapsed="false">
      <c r="A20" s="64" t="n">
        <v>46304</v>
      </c>
      <c r="B20" s="1" t="s">
        <v>28</v>
      </c>
      <c r="C20" s="1" t="s">
        <v>708</v>
      </c>
      <c r="D20" s="1" t="s">
        <v>709</v>
      </c>
      <c r="F20" s="1" t="n">
        <v>27.3</v>
      </c>
      <c r="H20" s="17" t="str">
        <f aca="false">IF(TRIM(C20)="","",IFERROR(INDEX('Code Aliases'!$B:$B,MATCH(TRIM(C20),'Code Aliases'!$A:$A,0)),TRIM(C20)))</f>
        <v>CAS003</v>
      </c>
      <c r="I20" s="17" t="str">
        <f aca="false">IF(TRIM(B20)="","",UPPER(TRIM(B20)))</f>
        <v>JHB</v>
      </c>
      <c r="J20" s="17" t="str">
        <f aca="false">IF(H20="","",IF(COUNTIF('Master Stock'!$A$5:$A$206,H20)&gt;0,"Yes","Not on stock sheet"))</f>
        <v>Yes</v>
      </c>
    </row>
    <row r="21" customFormat="false" ht="14.25" hidden="false" customHeight="true" outlineLevel="0" collapsed="false">
      <c r="A21" s="64" t="n">
        <v>46304</v>
      </c>
      <c r="B21" s="1" t="s">
        <v>28</v>
      </c>
      <c r="C21" s="1" t="s">
        <v>710</v>
      </c>
      <c r="D21" s="1" t="s">
        <v>711</v>
      </c>
      <c r="F21" s="1" t="n">
        <v>0</v>
      </c>
      <c r="H21" s="17" t="str">
        <f aca="false">IF(TRIM(C21)="","",IFERROR(INDEX('Code Aliases'!$B:$B,MATCH(TRIM(C21),'Code Aliases'!$A:$A,0)),TRIM(C21)))</f>
        <v>CAS004</v>
      </c>
      <c r="I21" s="17" t="str">
        <f aca="false">IF(TRIM(B21)="","",UPPER(TRIM(B21)))</f>
        <v>JHB</v>
      </c>
      <c r="J21" s="17" t="str">
        <f aca="false">IF(H21="","",IF(COUNTIF('Master Stock'!$A$5:$A$206,H21)&gt;0,"Yes","Not on stock sheet"))</f>
        <v>Yes</v>
      </c>
    </row>
    <row r="22" customFormat="false" ht="14.25" hidden="false" customHeight="true" outlineLevel="0" collapsed="false">
      <c r="A22" s="64" t="n">
        <v>46304</v>
      </c>
      <c r="B22" s="1" t="s">
        <v>28</v>
      </c>
      <c r="C22" s="1" t="s">
        <v>712</v>
      </c>
      <c r="D22" s="1" t="s">
        <v>713</v>
      </c>
      <c r="F22" s="1" t="n">
        <v>8.71</v>
      </c>
      <c r="H22" s="17" t="str">
        <f aca="false">IF(TRIM(C22)="","",IFERROR(INDEX('Code Aliases'!$B:$B,MATCH(TRIM(C22),'Code Aliases'!$A:$A,0)),TRIM(C22)))</f>
        <v>CAS006</v>
      </c>
      <c r="I22" s="17" t="str">
        <f aca="false">IF(TRIM(B22)="","",UPPER(TRIM(B22)))</f>
        <v>JHB</v>
      </c>
      <c r="J22" s="17" t="str">
        <f aca="false">IF(H22="","",IF(COUNTIF('Master Stock'!$A$5:$A$206,H22)&gt;0,"Yes","Not on stock sheet"))</f>
        <v>Yes</v>
      </c>
    </row>
    <row r="23" customFormat="false" ht="14.25" hidden="false" customHeight="true" outlineLevel="0" collapsed="false">
      <c r="A23" s="64" t="n">
        <v>46304</v>
      </c>
      <c r="B23" s="1" t="s">
        <v>28</v>
      </c>
      <c r="C23" s="1" t="s">
        <v>714</v>
      </c>
      <c r="D23" s="1" t="s">
        <v>715</v>
      </c>
      <c r="F23" s="1" t="n">
        <v>1.26</v>
      </c>
      <c r="H23" s="17" t="str">
        <f aca="false">IF(TRIM(C23)="","",IFERROR(INDEX('Code Aliases'!$B:$B,MATCH(TRIM(C23),'Code Aliases'!$A:$A,0)),TRIM(C23)))</f>
        <v>CHE005</v>
      </c>
      <c r="I23" s="17" t="str">
        <f aca="false">IF(TRIM(B23)="","",UPPER(TRIM(B23)))</f>
        <v>JHB</v>
      </c>
      <c r="J23" s="17" t="str">
        <f aca="false">IF(H23="","",IF(COUNTIF('Master Stock'!$A$5:$A$206,H23)&gt;0,"Yes","Not on stock sheet"))</f>
        <v>Yes</v>
      </c>
    </row>
    <row r="24" customFormat="false" ht="14.25" hidden="false" customHeight="true" outlineLevel="0" collapsed="false">
      <c r="A24" s="64" t="n">
        <v>46304</v>
      </c>
      <c r="B24" s="1" t="s">
        <v>28</v>
      </c>
      <c r="C24" s="1" t="s">
        <v>716</v>
      </c>
      <c r="D24" s="1" t="s">
        <v>717</v>
      </c>
      <c r="F24" s="1" t="n">
        <v>5.35</v>
      </c>
      <c r="H24" s="17" t="str">
        <f aca="false">IF(TRIM(C24)="","",IFERROR(INDEX('Code Aliases'!$B:$B,MATCH(TRIM(C24),'Code Aliases'!$A:$A,0)),TRIM(C24)))</f>
        <v>CHI001</v>
      </c>
      <c r="I24" s="17" t="str">
        <f aca="false">IF(TRIM(B24)="","",UPPER(TRIM(B24)))</f>
        <v>JHB</v>
      </c>
      <c r="J24" s="17" t="str">
        <f aca="false">IF(H24="","",IF(COUNTIF('Master Stock'!$A$5:$A$206,H24)&gt;0,"Yes","Not on stock sheet"))</f>
        <v>Yes</v>
      </c>
    </row>
    <row r="25" customFormat="false" ht="14.25" hidden="false" customHeight="true" outlineLevel="0" collapsed="false">
      <c r="A25" s="64" t="n">
        <v>46304</v>
      </c>
      <c r="B25" s="1" t="s">
        <v>28</v>
      </c>
      <c r="C25" s="1" t="s">
        <v>718</v>
      </c>
      <c r="D25" s="1" t="s">
        <v>719</v>
      </c>
      <c r="F25" s="1" t="n">
        <v>1.93</v>
      </c>
      <c r="H25" s="17" t="str">
        <f aca="false">IF(TRIM(C25)="","",IFERROR(INDEX('Code Aliases'!$B:$B,MATCH(TRIM(C25),'Code Aliases'!$A:$A,0)),TRIM(C25)))</f>
        <v>COS002</v>
      </c>
      <c r="I25" s="17" t="str">
        <f aca="false">IF(TRIM(B25)="","",UPPER(TRIM(B25)))</f>
        <v>JHB</v>
      </c>
      <c r="J25" s="17" t="str">
        <f aca="false">IF(H25="","",IF(COUNTIF('Master Stock'!$A$5:$A$206,H25)&gt;0,"Yes","Not on stock sheet"))</f>
        <v>Yes</v>
      </c>
    </row>
    <row r="26" customFormat="false" ht="14.25" hidden="false" customHeight="true" outlineLevel="0" collapsed="false">
      <c r="A26" s="64" t="n">
        <v>46304</v>
      </c>
      <c r="B26" s="1" t="s">
        <v>28</v>
      </c>
      <c r="C26" s="1" t="s">
        <v>720</v>
      </c>
      <c r="D26" s="1" t="s">
        <v>721</v>
      </c>
      <c r="F26" s="1" t="n">
        <v>1.36</v>
      </c>
      <c r="H26" s="17" t="str">
        <f aca="false">IF(TRIM(C26)="","",IFERROR(INDEX('Code Aliases'!$B:$B,MATCH(TRIM(C26),'Code Aliases'!$A:$A,0)),TRIM(C26)))</f>
        <v>COS003</v>
      </c>
      <c r="I26" s="17" t="str">
        <f aca="false">IF(TRIM(B26)="","",UPPER(TRIM(B26)))</f>
        <v>JHB</v>
      </c>
      <c r="J26" s="17" t="str">
        <f aca="false">IF(H26="","",IF(COUNTIF('Master Stock'!$A$5:$A$206,H26)&gt;0,"Yes","Not on stock sheet"))</f>
        <v>Yes</v>
      </c>
    </row>
    <row r="27" customFormat="false" ht="14.25" hidden="false" customHeight="true" outlineLevel="0" collapsed="false">
      <c r="A27" s="64" t="n">
        <v>46304</v>
      </c>
      <c r="B27" s="1" t="s">
        <v>28</v>
      </c>
      <c r="C27" s="1" t="s">
        <v>722</v>
      </c>
      <c r="D27" s="1" t="s">
        <v>723</v>
      </c>
      <c r="F27" s="1" t="n">
        <v>24.3</v>
      </c>
      <c r="H27" s="17" t="str">
        <f aca="false">IF(TRIM(C27)="","",IFERROR(INDEX('Code Aliases'!$B:$B,MATCH(TRIM(C27),'Code Aliases'!$A:$A,0)),TRIM(C27)))</f>
        <v>COS004</v>
      </c>
      <c r="I27" s="17" t="str">
        <f aca="false">IF(TRIM(B27)="","",UPPER(TRIM(B27)))</f>
        <v>JHB</v>
      </c>
      <c r="J27" s="17" t="str">
        <f aca="false">IF(H27="","",IF(COUNTIF('Master Stock'!$A$5:$A$206,H27)&gt;0,"Yes","Not on stock sheet"))</f>
        <v>Yes</v>
      </c>
    </row>
    <row r="28" customFormat="false" ht="14.25" hidden="false" customHeight="true" outlineLevel="0" collapsed="false">
      <c r="A28" s="64" t="n">
        <v>46304</v>
      </c>
      <c r="B28" s="1" t="s">
        <v>28</v>
      </c>
      <c r="C28" s="1" t="s">
        <v>724</v>
      </c>
      <c r="D28" s="1" t="s">
        <v>725</v>
      </c>
      <c r="F28" s="1" t="n">
        <v>2.32</v>
      </c>
      <c r="H28" s="17" t="str">
        <f aca="false">IF(TRIM(C28)="","",IFERROR(INDEX('Code Aliases'!$B:$B,MATCH(TRIM(C28),'Code Aliases'!$A:$A,0)),TRIM(C28)))</f>
        <v>COW002</v>
      </c>
      <c r="I28" s="17" t="str">
        <f aca="false">IF(TRIM(B28)="","",UPPER(TRIM(B28)))</f>
        <v>JHB</v>
      </c>
      <c r="J28" s="17" t="str">
        <f aca="false">IF(H28="","",IF(COUNTIF('Master Stock'!$A$5:$A$206,H28)&gt;0,"Yes","Not on stock sheet"))</f>
        <v>Yes</v>
      </c>
    </row>
    <row r="29" customFormat="false" ht="14.25" hidden="false" customHeight="true" outlineLevel="0" collapsed="false">
      <c r="A29" s="64" t="n">
        <v>46304</v>
      </c>
      <c r="B29" s="1" t="s">
        <v>28</v>
      </c>
      <c r="C29" s="1" t="s">
        <v>726</v>
      </c>
      <c r="D29" s="1" t="s">
        <v>727</v>
      </c>
      <c r="F29" s="1" t="n">
        <v>5.23</v>
      </c>
      <c r="H29" s="17" t="str">
        <f aca="false">IF(TRIM(C29)="","",IFERROR(INDEX('Code Aliases'!$B:$B,MATCH(TRIM(C29),'Code Aliases'!$A:$A,0)),TRIM(C29)))</f>
        <v>CRU002</v>
      </c>
      <c r="I29" s="17" t="str">
        <f aca="false">IF(TRIM(B29)="","",UPPER(TRIM(B29)))</f>
        <v>JHB</v>
      </c>
      <c r="J29" s="17" t="str">
        <f aca="false">IF(H29="","",IF(COUNTIF('Master Stock'!$A$5:$A$206,H29)&gt;0,"Yes","Not on stock sheet"))</f>
        <v>Not on stock sheet</v>
      </c>
    </row>
    <row r="30" customFormat="false" ht="14.25" hidden="false" customHeight="true" outlineLevel="0" collapsed="false">
      <c r="A30" s="64" t="n">
        <v>46304</v>
      </c>
      <c r="B30" s="1" t="s">
        <v>28</v>
      </c>
      <c r="C30" s="1" t="s">
        <v>728</v>
      </c>
      <c r="D30" s="1" t="s">
        <v>729</v>
      </c>
      <c r="F30" s="1" t="n">
        <v>3.96</v>
      </c>
      <c r="H30" s="17" t="str">
        <f aca="false">IF(TRIM(C30)="","",IFERROR(INDEX('Code Aliases'!$B:$B,MATCH(TRIM(C30),'Code Aliases'!$A:$A,0)),TRIM(C30)))</f>
        <v>CRU003</v>
      </c>
      <c r="I30" s="17" t="str">
        <f aca="false">IF(TRIM(B30)="","",UPPER(TRIM(B30)))</f>
        <v>JHB</v>
      </c>
      <c r="J30" s="17" t="str">
        <f aca="false">IF(H30="","",IF(COUNTIF('Master Stock'!$A$5:$A$206,H30)&gt;0,"Yes","Not on stock sheet"))</f>
        <v>Yes</v>
      </c>
    </row>
    <row r="31" customFormat="false" ht="14.25" hidden="false" customHeight="true" outlineLevel="0" collapsed="false">
      <c r="A31" s="64" t="n">
        <v>46304</v>
      </c>
      <c r="B31" s="1" t="s">
        <v>28</v>
      </c>
      <c r="C31" s="1" t="s">
        <v>730</v>
      </c>
      <c r="D31" s="1" t="s">
        <v>731</v>
      </c>
      <c r="F31" s="1" t="n">
        <v>7.29</v>
      </c>
      <c r="H31" s="17" t="str">
        <f aca="false">IF(TRIM(C31)="","",IFERROR(INDEX('Code Aliases'!$B:$B,MATCH(TRIM(C31),'Code Aliases'!$A:$A,0)),TRIM(C31)))</f>
        <v>CRU004</v>
      </c>
      <c r="I31" s="17" t="str">
        <f aca="false">IF(TRIM(B31)="","",UPPER(TRIM(B31)))</f>
        <v>JHB</v>
      </c>
      <c r="J31" s="17" t="str">
        <f aca="false">IF(H31="","",IF(COUNTIF('Master Stock'!$A$5:$A$206,H31)&gt;0,"Yes","Not on stock sheet"))</f>
        <v>Not on stock sheet</v>
      </c>
    </row>
    <row r="32" customFormat="false" ht="14.25" hidden="false" customHeight="true" outlineLevel="0" collapsed="false">
      <c r="A32" s="64" t="n">
        <v>46304</v>
      </c>
      <c r="B32" s="1" t="s">
        <v>28</v>
      </c>
      <c r="C32" s="1" t="s">
        <v>732</v>
      </c>
      <c r="D32" s="1" t="s">
        <v>733</v>
      </c>
      <c r="F32" s="1" t="n">
        <v>5.54</v>
      </c>
      <c r="H32" s="17" t="str">
        <f aca="false">IF(TRIM(C32)="","",IFERROR(INDEX('Code Aliases'!$B:$B,MATCH(TRIM(C32),'Code Aliases'!$A:$A,0)),TRIM(C32)))</f>
        <v>CRU007</v>
      </c>
      <c r="I32" s="17" t="str">
        <f aca="false">IF(TRIM(B32)="","",UPPER(TRIM(B32)))</f>
        <v>JHB</v>
      </c>
      <c r="J32" s="17" t="str">
        <f aca="false">IF(H32="","",IF(COUNTIF('Master Stock'!$A$5:$A$206,H32)&gt;0,"Yes","Not on stock sheet"))</f>
        <v>Not on stock sheet</v>
      </c>
    </row>
    <row r="33" customFormat="false" ht="14.25" hidden="false" customHeight="true" outlineLevel="0" collapsed="false">
      <c r="A33" s="64" t="n">
        <v>46304</v>
      </c>
      <c r="B33" s="1" t="s">
        <v>28</v>
      </c>
      <c r="C33" s="1" t="s">
        <v>734</v>
      </c>
      <c r="D33" s="1" t="s">
        <v>735</v>
      </c>
      <c r="F33" s="1" t="n">
        <v>10.1</v>
      </c>
      <c r="H33" s="17" t="str">
        <f aca="false">IF(TRIM(C33)="","",IFERROR(INDEX('Code Aliases'!$B:$B,MATCH(TRIM(C33),'Code Aliases'!$A:$A,0)),TRIM(C33)))</f>
        <v>DAL006</v>
      </c>
      <c r="I33" s="17" t="str">
        <f aca="false">IF(TRIM(B33)="","",UPPER(TRIM(B33)))</f>
        <v>JHB</v>
      </c>
      <c r="J33" s="17" t="str">
        <f aca="false">IF(H33="","",IF(COUNTIF('Master Stock'!$A$5:$A$206,H33)&gt;0,"Yes","Not on stock sheet"))</f>
        <v>Not on stock sheet</v>
      </c>
    </row>
    <row r="34" customFormat="false" ht="14.25" hidden="false" customHeight="true" outlineLevel="0" collapsed="false">
      <c r="A34" s="64" t="n">
        <v>46304</v>
      </c>
      <c r="B34" s="1" t="s">
        <v>28</v>
      </c>
      <c r="C34" s="1" t="s">
        <v>736</v>
      </c>
      <c r="D34" s="1" t="s">
        <v>737</v>
      </c>
      <c r="F34" s="1" t="n">
        <v>2.22</v>
      </c>
      <c r="H34" s="17" t="str">
        <f aca="false">IF(TRIM(C34)="","",IFERROR(INDEX('Code Aliases'!$B:$B,MATCH(TRIM(C34),'Code Aliases'!$A:$A,0)),TRIM(C34)))</f>
        <v>DAL007</v>
      </c>
      <c r="I34" s="17" t="str">
        <f aca="false">IF(TRIM(B34)="","",UPPER(TRIM(B34)))</f>
        <v>JHB</v>
      </c>
      <c r="J34" s="17" t="str">
        <f aca="false">IF(H34="","",IF(COUNTIF('Master Stock'!$A$5:$A$206,H34)&gt;0,"Yes","Not on stock sheet"))</f>
        <v>Not on stock sheet</v>
      </c>
    </row>
    <row r="35" customFormat="false" ht="14.25" hidden="false" customHeight="true" outlineLevel="0" collapsed="false">
      <c r="A35" s="64" t="n">
        <v>46304</v>
      </c>
      <c r="B35" s="1" t="s">
        <v>28</v>
      </c>
      <c r="C35" s="1" t="s">
        <v>738</v>
      </c>
      <c r="D35" s="1" t="s">
        <v>739</v>
      </c>
      <c r="F35" s="1" t="n">
        <v>5.9</v>
      </c>
      <c r="H35" s="17" t="str">
        <f aca="false">IF(TRIM(C35)="","",IFERROR(INDEX('Code Aliases'!$B:$B,MATCH(TRIM(C35),'Code Aliases'!$A:$A,0)),TRIM(C35)))</f>
        <v>DAL009</v>
      </c>
      <c r="I35" s="17" t="str">
        <f aca="false">IF(TRIM(B35)="","",UPPER(TRIM(B35)))</f>
        <v>JHB</v>
      </c>
      <c r="J35" s="17" t="str">
        <f aca="false">IF(H35="","",IF(COUNTIF('Master Stock'!$A$5:$A$206,H35)&gt;0,"Yes","Not on stock sheet"))</f>
        <v>Yes</v>
      </c>
    </row>
    <row r="36" customFormat="false" ht="14.25" hidden="false" customHeight="true" outlineLevel="0" collapsed="false">
      <c r="A36" s="64" t="n">
        <v>46304</v>
      </c>
      <c r="B36" s="1" t="s">
        <v>28</v>
      </c>
      <c r="C36" s="1" t="s">
        <v>740</v>
      </c>
      <c r="D36" s="1" t="s">
        <v>741</v>
      </c>
      <c r="F36" s="1" t="n">
        <v>24.28</v>
      </c>
      <c r="H36" s="17" t="str">
        <f aca="false">IF(TRIM(C36)="","",IFERROR(INDEX('Code Aliases'!$B:$B,MATCH(TRIM(C36),'Code Aliases'!$A:$A,0)),TRIM(C36)))</f>
        <v>DAY011</v>
      </c>
      <c r="I36" s="17" t="str">
        <f aca="false">IF(TRIM(B36)="","",UPPER(TRIM(B36)))</f>
        <v>JHB</v>
      </c>
      <c r="J36" s="17" t="str">
        <f aca="false">IF(H36="","",IF(COUNTIF('Master Stock'!$A$5:$A$206,H36)&gt;0,"Yes","Not on stock sheet"))</f>
        <v>Yes</v>
      </c>
    </row>
    <row r="37" customFormat="false" ht="14.25" hidden="false" customHeight="true" outlineLevel="0" collapsed="false">
      <c r="A37" s="64" t="n">
        <v>46304</v>
      </c>
      <c r="B37" s="1" t="s">
        <v>28</v>
      </c>
      <c r="C37" s="1" t="s">
        <v>742</v>
      </c>
      <c r="D37" s="1" t="s">
        <v>743</v>
      </c>
      <c r="F37" s="1" t="n">
        <v>110.11</v>
      </c>
      <c r="H37" s="17" t="str">
        <f aca="false">IF(TRIM(C37)="","",IFERROR(INDEX('Code Aliases'!$B:$B,MATCH(TRIM(C37),'Code Aliases'!$A:$A,0)),TRIM(C37)))</f>
        <v>DIE001</v>
      </c>
      <c r="I37" s="17" t="str">
        <f aca="false">IF(TRIM(B37)="","",UPPER(TRIM(B37)))</f>
        <v>JHB</v>
      </c>
      <c r="J37" s="17" t="str">
        <f aca="false">IF(H37="","",IF(COUNTIF('Master Stock'!$A$5:$A$206,H37)&gt;0,"Yes","Not on stock sheet"))</f>
        <v>Yes</v>
      </c>
    </row>
    <row r="38" customFormat="false" ht="14.25" hidden="false" customHeight="true" outlineLevel="0" collapsed="false">
      <c r="A38" s="64" t="n">
        <v>46304</v>
      </c>
      <c r="B38" s="1" t="s">
        <v>28</v>
      </c>
      <c r="C38" s="1" t="s">
        <v>744</v>
      </c>
      <c r="D38" s="1" t="s">
        <v>745</v>
      </c>
      <c r="F38" s="1" t="n">
        <v>84.65</v>
      </c>
      <c r="H38" s="17" t="str">
        <f aca="false">IF(TRIM(C38)="","",IFERROR(INDEX('Code Aliases'!$B:$B,MATCH(TRIM(C38),'Code Aliases'!$A:$A,0)),TRIM(C38)))</f>
        <v>DIE011</v>
      </c>
      <c r="I38" s="17" t="str">
        <f aca="false">IF(TRIM(B38)="","",UPPER(TRIM(B38)))</f>
        <v>JHB</v>
      </c>
      <c r="J38" s="17" t="str">
        <f aca="false">IF(H38="","",IF(COUNTIF('Master Stock'!$A$5:$A$206,H38)&gt;0,"Yes","Not on stock sheet"))</f>
        <v>Yes</v>
      </c>
    </row>
    <row r="39" customFormat="false" ht="14.25" hidden="false" customHeight="true" outlineLevel="0" collapsed="false">
      <c r="A39" s="64" t="n">
        <v>46304</v>
      </c>
      <c r="B39" s="1" t="s">
        <v>28</v>
      </c>
      <c r="C39" s="1" t="s">
        <v>746</v>
      </c>
      <c r="D39" s="1" t="s">
        <v>747</v>
      </c>
      <c r="F39" s="1" t="n">
        <v>0</v>
      </c>
      <c r="H39" s="17" t="str">
        <f aca="false">IF(TRIM(C39)="","",IFERROR(INDEX('Code Aliases'!$B:$B,MATCH(TRIM(C39),'Code Aliases'!$A:$A,0)),TRIM(C39)))</f>
        <v>DIE012</v>
      </c>
      <c r="I39" s="17" t="str">
        <f aca="false">IF(TRIM(B39)="","",UPPER(TRIM(B39)))</f>
        <v>JHB</v>
      </c>
      <c r="J39" s="17" t="str">
        <f aca="false">IF(H39="","",IF(COUNTIF('Master Stock'!$A$5:$A$206,H39)&gt;0,"Yes","Not on stock sheet"))</f>
        <v>Yes</v>
      </c>
    </row>
    <row r="40" customFormat="false" ht="14.25" hidden="false" customHeight="true" outlineLevel="0" collapsed="false">
      <c r="A40" s="64" t="n">
        <v>46304</v>
      </c>
      <c r="B40" s="1" t="s">
        <v>28</v>
      </c>
      <c r="C40" s="1" t="s">
        <v>748</v>
      </c>
      <c r="D40" s="1" t="s">
        <v>749</v>
      </c>
      <c r="F40" s="1" t="n">
        <v>7.28</v>
      </c>
      <c r="H40" s="17" t="str">
        <f aca="false">IF(TRIM(C40)="","",IFERROR(INDEX('Code Aliases'!$B:$B,MATCH(TRIM(C40),'Code Aliases'!$A:$A,0)),TRIM(C40)))</f>
        <v>DIE013</v>
      </c>
      <c r="I40" s="17" t="str">
        <f aca="false">IF(TRIM(B40)="","",UPPER(TRIM(B40)))</f>
        <v>JHB</v>
      </c>
      <c r="J40" s="17" t="str">
        <f aca="false">IF(H40="","",IF(COUNTIF('Master Stock'!$A$5:$A$206,H40)&gt;0,"Yes","Not on stock sheet"))</f>
        <v>Yes</v>
      </c>
    </row>
    <row r="41" customFormat="false" ht="14.25" hidden="false" customHeight="true" outlineLevel="0" collapsed="false">
      <c r="A41" s="64" t="n">
        <v>46304</v>
      </c>
      <c r="B41" s="1" t="s">
        <v>28</v>
      </c>
      <c r="C41" s="1" t="s">
        <v>750</v>
      </c>
      <c r="D41" s="1" t="s">
        <v>751</v>
      </c>
      <c r="F41" s="1" t="n">
        <v>289.36</v>
      </c>
      <c r="H41" s="17" t="str">
        <f aca="false">IF(TRIM(C41)="","",IFERROR(INDEX('Code Aliases'!$B:$B,MATCH(TRIM(C41),'Code Aliases'!$A:$A,0)),TRIM(C41)))</f>
        <v>DIE018</v>
      </c>
      <c r="I41" s="17" t="str">
        <f aca="false">IF(TRIM(B41)="","",UPPER(TRIM(B41)))</f>
        <v>JHB</v>
      </c>
      <c r="J41" s="17" t="str">
        <f aca="false">IF(H41="","",IF(COUNTIF('Master Stock'!$A$5:$A$206,H41)&gt;0,"Yes","Not on stock sheet"))</f>
        <v>Yes</v>
      </c>
    </row>
    <row r="42" customFormat="false" ht="14.25" hidden="false" customHeight="true" outlineLevel="0" collapsed="false">
      <c r="A42" s="64" t="n">
        <v>46304</v>
      </c>
      <c r="B42" s="1" t="s">
        <v>28</v>
      </c>
      <c r="C42" s="1" t="s">
        <v>752</v>
      </c>
      <c r="D42" s="1" t="s">
        <v>753</v>
      </c>
      <c r="F42" s="1" t="n">
        <v>2</v>
      </c>
      <c r="H42" s="17" t="str">
        <f aca="false">IF(TRIM(C42)="","",IFERROR(INDEX('Code Aliases'!$B:$B,MATCH(TRIM(C42),'Code Aliases'!$A:$A,0)),TRIM(C42)))</f>
        <v>ECO006</v>
      </c>
      <c r="I42" s="17" t="str">
        <f aca="false">IF(TRIM(B42)="","",UPPER(TRIM(B42)))</f>
        <v>JHB</v>
      </c>
      <c r="J42" s="17" t="str">
        <f aca="false">IF(H42="","",IF(COUNTIF('Master Stock'!$A$5:$A$206,H42)&gt;0,"Yes","Not on stock sheet"))</f>
        <v>Yes</v>
      </c>
    </row>
    <row r="43" customFormat="false" ht="14.25" hidden="false" customHeight="true" outlineLevel="0" collapsed="false">
      <c r="A43" s="64" t="n">
        <v>46304</v>
      </c>
      <c r="B43" s="1" t="s">
        <v>28</v>
      </c>
      <c r="C43" s="1" t="s">
        <v>754</v>
      </c>
      <c r="D43" s="1" t="s">
        <v>755</v>
      </c>
      <c r="F43" s="1" t="n">
        <v>3.94</v>
      </c>
      <c r="H43" s="17" t="str">
        <f aca="false">IF(TRIM(C43)="","",IFERROR(INDEX('Code Aliases'!$B:$B,MATCH(TRIM(C43),'Code Aliases'!$A:$A,0)),TRIM(C43)))</f>
        <v>ECO007</v>
      </c>
      <c r="I43" s="17" t="str">
        <f aca="false">IF(TRIM(B43)="","",UPPER(TRIM(B43)))</f>
        <v>JHB</v>
      </c>
      <c r="J43" s="17" t="str">
        <f aca="false">IF(H43="","",IF(COUNTIF('Master Stock'!$A$5:$A$206,H43)&gt;0,"Yes","Not on stock sheet"))</f>
        <v>Yes</v>
      </c>
    </row>
    <row r="44" customFormat="false" ht="14.25" hidden="false" customHeight="true" outlineLevel="0" collapsed="false">
      <c r="A44" s="64" t="n">
        <v>46304</v>
      </c>
      <c r="B44" s="1" t="s">
        <v>28</v>
      </c>
      <c r="C44" s="1" t="s">
        <v>756</v>
      </c>
      <c r="D44" s="1" t="s">
        <v>757</v>
      </c>
      <c r="F44" s="1" t="n">
        <v>5.84</v>
      </c>
      <c r="H44" s="17" t="str">
        <f aca="false">IF(TRIM(C44)="","",IFERROR(INDEX('Code Aliases'!$B:$B,MATCH(TRIM(C44),'Code Aliases'!$A:$A,0)),TRIM(C44)))</f>
        <v>ECO008</v>
      </c>
      <c r="I44" s="17" t="str">
        <f aca="false">IF(TRIM(B44)="","",UPPER(TRIM(B44)))</f>
        <v>JHB</v>
      </c>
      <c r="J44" s="17" t="str">
        <f aca="false">IF(H44="","",IF(COUNTIF('Master Stock'!$A$5:$A$206,H44)&gt;0,"Yes","Not on stock sheet"))</f>
        <v>Yes</v>
      </c>
    </row>
    <row r="45" customFormat="false" ht="14.25" hidden="false" customHeight="true" outlineLevel="0" collapsed="false">
      <c r="A45" s="64" t="n">
        <v>46304</v>
      </c>
      <c r="B45" s="1" t="s">
        <v>28</v>
      </c>
      <c r="C45" s="1" t="s">
        <v>758</v>
      </c>
      <c r="D45" s="1" t="s">
        <v>759</v>
      </c>
      <c r="F45" s="1" t="n">
        <v>5.6</v>
      </c>
      <c r="H45" s="17" t="str">
        <f aca="false">IF(TRIM(C45)="","",IFERROR(INDEX('Code Aliases'!$B:$B,MATCH(TRIM(C45),'Code Aliases'!$A:$A,0)),TRIM(C45)))</f>
        <v>EDB001</v>
      </c>
      <c r="I45" s="17" t="str">
        <f aca="false">IF(TRIM(B45)="","",UPPER(TRIM(B45)))</f>
        <v>JHB</v>
      </c>
      <c r="J45" s="17" t="str">
        <f aca="false">IF(H45="","",IF(COUNTIF('Master Stock'!$A$5:$A$206,H45)&gt;0,"Yes","Not on stock sheet"))</f>
        <v>Not on stock sheet</v>
      </c>
    </row>
    <row r="46" customFormat="false" ht="14.25" hidden="false" customHeight="true" outlineLevel="0" collapsed="false">
      <c r="A46" s="64" t="n">
        <v>46304</v>
      </c>
      <c r="B46" s="1" t="s">
        <v>28</v>
      </c>
      <c r="C46" s="1" t="s">
        <v>760</v>
      </c>
      <c r="D46" s="1" t="s">
        <v>761</v>
      </c>
      <c r="F46" s="1" t="n">
        <v>10.86</v>
      </c>
      <c r="H46" s="17" t="str">
        <f aca="false">IF(TRIM(C46)="","",IFERROR(INDEX('Code Aliases'!$B:$B,MATCH(TRIM(C46),'Code Aliases'!$A:$A,0)),TRIM(C46)))</f>
        <v>END004</v>
      </c>
      <c r="I46" s="17" t="str">
        <f aca="false">IF(TRIM(B46)="","",UPPER(TRIM(B46)))</f>
        <v>JHB</v>
      </c>
      <c r="J46" s="17" t="str">
        <f aca="false">IF(H46="","",IF(COUNTIF('Master Stock'!$A$5:$A$206,H46)&gt;0,"Yes","Not on stock sheet"))</f>
        <v>Not on stock sheet</v>
      </c>
    </row>
    <row r="47" customFormat="false" ht="14.25" hidden="false" customHeight="true" outlineLevel="0" collapsed="false">
      <c r="A47" s="64" t="n">
        <v>46304</v>
      </c>
      <c r="B47" s="1" t="s">
        <v>28</v>
      </c>
      <c r="C47" s="1" t="s">
        <v>762</v>
      </c>
      <c r="D47" s="1" t="s">
        <v>763</v>
      </c>
      <c r="F47" s="1" t="n">
        <v>16.68</v>
      </c>
      <c r="H47" s="17" t="str">
        <f aca="false">IF(TRIM(C47)="","",IFERROR(INDEX('Code Aliases'!$B:$B,MATCH(TRIM(C47),'Code Aliases'!$A:$A,0)),TRIM(C47)))</f>
        <v>ESB001</v>
      </c>
      <c r="I47" s="17" t="str">
        <f aca="false">IF(TRIM(B47)="","",UPPER(TRIM(B47)))</f>
        <v>JHB</v>
      </c>
      <c r="J47" s="17" t="str">
        <f aca="false">IF(H47="","",IF(COUNTIF('Master Stock'!$A$5:$A$206,H47)&gt;0,"Yes","Not on stock sheet"))</f>
        <v>Not on stock sheet</v>
      </c>
    </row>
    <row r="48" customFormat="false" ht="14.25" hidden="false" customHeight="true" outlineLevel="0" collapsed="false">
      <c r="A48" s="64" t="n">
        <v>46304</v>
      </c>
      <c r="B48" s="1" t="s">
        <v>28</v>
      </c>
      <c r="C48" s="1" t="s">
        <v>764</v>
      </c>
      <c r="D48" s="1" t="s">
        <v>765</v>
      </c>
      <c r="F48" s="1" t="n">
        <v>273.06</v>
      </c>
      <c r="H48" s="17" t="str">
        <f aca="false">IF(TRIM(C48)="","",IFERROR(INDEX('Code Aliases'!$B:$B,MATCH(TRIM(C48),'Code Aliases'!$A:$A,0)),TRIM(C48)))</f>
        <v>ETO001</v>
      </c>
      <c r="I48" s="17" t="str">
        <f aca="false">IF(TRIM(B48)="","",UPPER(TRIM(B48)))</f>
        <v>JHB</v>
      </c>
      <c r="J48" s="17" t="str">
        <f aca="false">IF(H48="","",IF(COUNTIF('Master Stock'!$A$5:$A$206,H48)&gt;0,"Yes","Not on stock sheet"))</f>
        <v>Yes</v>
      </c>
    </row>
    <row r="49" customFormat="false" ht="14.25" hidden="false" customHeight="true" outlineLevel="0" collapsed="false">
      <c r="A49" s="64" t="n">
        <v>46304</v>
      </c>
      <c r="B49" s="1" t="s">
        <v>28</v>
      </c>
      <c r="C49" s="1" t="s">
        <v>766</v>
      </c>
      <c r="D49" s="1" t="s">
        <v>767</v>
      </c>
      <c r="F49" s="1" t="n">
        <v>100.96</v>
      </c>
      <c r="H49" s="17" t="str">
        <f aca="false">IF(TRIM(C49)="","",IFERROR(INDEX('Code Aliases'!$B:$B,MATCH(TRIM(C49),'Code Aliases'!$A:$A,0)),TRIM(C49)))</f>
        <v>ETO002</v>
      </c>
      <c r="I49" s="17" t="str">
        <f aca="false">IF(TRIM(B49)="","",UPPER(TRIM(B49)))</f>
        <v>JHB</v>
      </c>
      <c r="J49" s="17" t="str">
        <f aca="false">IF(H49="","",IF(COUNTIF('Master Stock'!$A$5:$A$206,H49)&gt;0,"Yes","Not on stock sheet"))</f>
        <v>Yes</v>
      </c>
    </row>
    <row r="50" customFormat="false" ht="14.25" hidden="false" customHeight="true" outlineLevel="0" collapsed="false">
      <c r="A50" s="64" t="n">
        <v>46304</v>
      </c>
      <c r="B50" s="1" t="s">
        <v>28</v>
      </c>
      <c r="C50" s="1" t="s">
        <v>768</v>
      </c>
      <c r="D50" s="1" t="s">
        <v>769</v>
      </c>
      <c r="F50" s="1" t="n">
        <v>109.89</v>
      </c>
      <c r="H50" s="17" t="str">
        <f aca="false">IF(TRIM(C50)="","",IFERROR(INDEX('Code Aliases'!$B:$B,MATCH(TRIM(C50),'Code Aliases'!$A:$A,0)),TRIM(C50)))</f>
        <v>ETO007</v>
      </c>
      <c r="I50" s="17" t="str">
        <f aca="false">IF(TRIM(B50)="","",UPPER(TRIM(B50)))</f>
        <v>JHB</v>
      </c>
      <c r="J50" s="17" t="str">
        <f aca="false">IF(H50="","",IF(COUNTIF('Master Stock'!$A$5:$A$206,H50)&gt;0,"Yes","Not on stock sheet"))</f>
        <v>Yes</v>
      </c>
    </row>
    <row r="51" customFormat="false" ht="14.25" hidden="false" customHeight="true" outlineLevel="0" collapsed="false">
      <c r="A51" s="64" t="n">
        <v>46304</v>
      </c>
      <c r="B51" s="1" t="s">
        <v>28</v>
      </c>
      <c r="C51" s="1" t="s">
        <v>770</v>
      </c>
      <c r="D51" s="1" t="s">
        <v>771</v>
      </c>
      <c r="F51" s="1" t="n">
        <v>24.95</v>
      </c>
      <c r="H51" s="17" t="str">
        <f aca="false">IF(TRIM(C51)="","",IFERROR(INDEX('Code Aliases'!$B:$B,MATCH(TRIM(C51),'Code Aliases'!$A:$A,0)),TRIM(C51)))</f>
        <v>GAZ006</v>
      </c>
      <c r="I51" s="17" t="str">
        <f aca="false">IF(TRIM(B51)="","",UPPER(TRIM(B51)))</f>
        <v>JHB</v>
      </c>
      <c r="J51" s="17" t="str">
        <f aca="false">IF(H51="","",IF(COUNTIF('Master Stock'!$A$5:$A$206,H51)&gt;0,"Yes","Not on stock sheet"))</f>
        <v>Yes</v>
      </c>
    </row>
    <row r="52" customFormat="false" ht="14.25" hidden="false" customHeight="true" outlineLevel="0" collapsed="false">
      <c r="A52" s="64" t="n">
        <v>46304</v>
      </c>
      <c r="B52" s="1" t="s">
        <v>28</v>
      </c>
      <c r="C52" s="1" t="s">
        <v>772</v>
      </c>
      <c r="D52" s="1" t="s">
        <v>773</v>
      </c>
      <c r="F52" s="1" t="n">
        <v>4.82</v>
      </c>
      <c r="H52" s="17" t="str">
        <f aca="false">IF(TRIM(C52)="","",IFERROR(INDEX('Code Aliases'!$B:$B,MATCH(TRIM(C52),'Code Aliases'!$A:$A,0)),TRIM(C52)))</f>
        <v>GAZ015</v>
      </c>
      <c r="I52" s="17" t="str">
        <f aca="false">IF(TRIM(B52)="","",UPPER(TRIM(B52)))</f>
        <v>JHB</v>
      </c>
      <c r="J52" s="17" t="str">
        <f aca="false">IF(H52="","",IF(COUNTIF('Master Stock'!$A$5:$A$206,H52)&gt;0,"Yes","Not on stock sheet"))</f>
        <v>Yes</v>
      </c>
    </row>
    <row r="53" customFormat="false" ht="14.25" hidden="false" customHeight="true" outlineLevel="0" collapsed="false">
      <c r="A53" s="64" t="n">
        <v>46304</v>
      </c>
      <c r="B53" s="1" t="s">
        <v>28</v>
      </c>
      <c r="C53" s="1" t="s">
        <v>774</v>
      </c>
      <c r="D53" s="1" t="s">
        <v>775</v>
      </c>
      <c r="F53" s="1" t="n">
        <v>0</v>
      </c>
      <c r="H53" s="17" t="str">
        <f aca="false">IF(TRIM(C53)="","",IFERROR(INDEX('Code Aliases'!$B:$B,MATCH(TRIM(C53),'Code Aliases'!$A:$A,0)),TRIM(C53)))</f>
        <v>HAV001</v>
      </c>
      <c r="I53" s="17" t="str">
        <f aca="false">IF(TRIM(B53)="","",UPPER(TRIM(B53)))</f>
        <v>JHB</v>
      </c>
      <c r="J53" s="17" t="str">
        <f aca="false">IF(H53="","",IF(COUNTIF('Master Stock'!$A$5:$A$206,H53)&gt;0,"Yes","Not on stock sheet"))</f>
        <v>Yes</v>
      </c>
    </row>
    <row r="54" customFormat="false" ht="14.25" hidden="false" customHeight="true" outlineLevel="0" collapsed="false">
      <c r="A54" s="64" t="n">
        <v>46304</v>
      </c>
      <c r="B54" s="1" t="s">
        <v>28</v>
      </c>
      <c r="C54" s="1" t="s">
        <v>776</v>
      </c>
      <c r="D54" s="1" t="s">
        <v>777</v>
      </c>
      <c r="F54" s="1" t="n">
        <v>4.06</v>
      </c>
      <c r="H54" s="17" t="str">
        <f aca="false">IF(TRIM(C54)="","",IFERROR(INDEX('Code Aliases'!$B:$B,MATCH(TRIM(C54),'Code Aliases'!$A:$A,0)),TRIM(C54)))</f>
        <v>HAV002</v>
      </c>
      <c r="I54" s="17" t="str">
        <f aca="false">IF(TRIM(B54)="","",UPPER(TRIM(B54)))</f>
        <v>JHB</v>
      </c>
      <c r="J54" s="17" t="str">
        <f aca="false">IF(H54="","",IF(COUNTIF('Master Stock'!$A$5:$A$206,H54)&gt;0,"Yes","Not on stock sheet"))</f>
        <v>Yes</v>
      </c>
    </row>
    <row r="55" customFormat="false" ht="14.25" hidden="false" customHeight="true" outlineLevel="0" collapsed="false">
      <c r="A55" s="64" t="n">
        <v>46304</v>
      </c>
      <c r="B55" s="1" t="s">
        <v>28</v>
      </c>
      <c r="C55" s="1" t="s">
        <v>778</v>
      </c>
      <c r="D55" s="1" t="s">
        <v>779</v>
      </c>
      <c r="F55" s="1" t="n">
        <v>1.7</v>
      </c>
      <c r="H55" s="17" t="str">
        <f aca="false">IF(TRIM(C55)="","",IFERROR(INDEX('Code Aliases'!$B:$B,MATCH(TRIM(C55),'Code Aliases'!$A:$A,0)),TRIM(C55)))</f>
        <v>HAV003</v>
      </c>
      <c r="I55" s="17" t="str">
        <f aca="false">IF(TRIM(B55)="","",UPPER(TRIM(B55)))</f>
        <v>JHB</v>
      </c>
      <c r="J55" s="17" t="str">
        <f aca="false">IF(H55="","",IF(COUNTIF('Master Stock'!$A$5:$A$206,H55)&gt;0,"Yes","Not on stock sheet"))</f>
        <v>Yes</v>
      </c>
    </row>
    <row r="56" customFormat="false" ht="14.25" hidden="false" customHeight="true" outlineLevel="0" collapsed="false">
      <c r="A56" s="64" t="n">
        <v>46304</v>
      </c>
      <c r="B56" s="1" t="s">
        <v>28</v>
      </c>
      <c r="C56" s="1" t="s">
        <v>780</v>
      </c>
      <c r="D56" s="1" t="s">
        <v>781</v>
      </c>
      <c r="F56" s="1" t="n">
        <v>7.72</v>
      </c>
      <c r="H56" s="17" t="str">
        <f aca="false">IF(TRIM(C56)="","",IFERROR(INDEX('Code Aliases'!$B:$B,MATCH(TRIM(C56),'Code Aliases'!$A:$A,0)),TRIM(C56)))</f>
        <v>HOUS002</v>
      </c>
      <c r="I56" s="17" t="str">
        <f aca="false">IF(TRIM(B56)="","",UPPER(TRIM(B56)))</f>
        <v>JHB</v>
      </c>
      <c r="J56" s="17" t="str">
        <f aca="false">IF(H56="","",IF(COUNTIF('Master Stock'!$A$5:$A$206,H56)&gt;0,"Yes","Not on stock sheet"))</f>
        <v>Not on stock sheet</v>
      </c>
    </row>
    <row r="57" customFormat="false" ht="14.25" hidden="false" customHeight="true" outlineLevel="0" collapsed="false">
      <c r="A57" s="64" t="n">
        <v>46304</v>
      </c>
      <c r="B57" s="1" t="s">
        <v>28</v>
      </c>
      <c r="C57" s="1" t="s">
        <v>782</v>
      </c>
      <c r="D57" s="1" t="s">
        <v>783</v>
      </c>
      <c r="F57" s="1" t="n">
        <v>34.18</v>
      </c>
      <c r="H57" s="17" t="str">
        <f aca="false">IF(TRIM(C57)="","",IFERROR(INDEX('Code Aliases'!$B:$B,MATCH(TRIM(C57),'Code Aliases'!$A:$A,0)),TRIM(C57)))</f>
        <v>IMP004</v>
      </c>
      <c r="I57" s="17" t="str">
        <f aca="false">IF(TRIM(B57)="","",UPPER(TRIM(B57)))</f>
        <v>JHB</v>
      </c>
      <c r="J57" s="17" t="str">
        <f aca="false">IF(H57="","",IF(COUNTIF('Master Stock'!$A$5:$A$206,H57)&gt;0,"Yes","Not on stock sheet"))</f>
        <v>Yes</v>
      </c>
    </row>
    <row r="58" customFormat="false" ht="14.25" hidden="false" customHeight="true" outlineLevel="0" collapsed="false">
      <c r="A58" s="64" t="n">
        <v>46304</v>
      </c>
      <c r="B58" s="1" t="s">
        <v>28</v>
      </c>
      <c r="C58" s="1" t="s">
        <v>784</v>
      </c>
      <c r="D58" s="1" t="s">
        <v>785</v>
      </c>
      <c r="F58" s="1" t="n">
        <v>13.73</v>
      </c>
      <c r="H58" s="17" t="str">
        <f aca="false">IF(TRIM(C58)="","",IFERROR(INDEX('Code Aliases'!$B:$B,MATCH(TRIM(C58),'Code Aliases'!$A:$A,0)),TRIM(C58)))</f>
        <v>JHB002</v>
      </c>
      <c r="I58" s="17" t="str">
        <f aca="false">IF(TRIM(B58)="","",UPPER(TRIM(B58)))</f>
        <v>JHB</v>
      </c>
      <c r="J58" s="17" t="str">
        <f aca="false">IF(H58="","",IF(COUNTIF('Master Stock'!$A$5:$A$206,H58)&gt;0,"Yes","Not on stock sheet"))</f>
        <v>Not on stock sheet</v>
      </c>
    </row>
    <row r="59" customFormat="false" ht="14.25" hidden="false" customHeight="true" outlineLevel="0" collapsed="false">
      <c r="A59" s="64" t="n">
        <v>46304</v>
      </c>
      <c r="B59" s="1" t="s">
        <v>28</v>
      </c>
      <c r="C59" s="1" t="s">
        <v>786</v>
      </c>
      <c r="D59" s="1" t="s">
        <v>787</v>
      </c>
      <c r="F59" s="1" t="n">
        <v>1.95</v>
      </c>
      <c r="H59" s="17" t="str">
        <f aca="false">IF(TRIM(C59)="","",IFERROR(INDEX('Code Aliases'!$B:$B,MATCH(TRIM(C59),'Code Aliases'!$A:$A,0)),TRIM(C59)))</f>
        <v>MAD002</v>
      </c>
      <c r="I59" s="17" t="str">
        <f aca="false">IF(TRIM(B59)="","",UPPER(TRIM(B59)))</f>
        <v>JHB</v>
      </c>
      <c r="J59" s="17" t="str">
        <f aca="false">IF(H59="","",IF(COUNTIF('Master Stock'!$A$5:$A$206,H59)&gt;0,"Yes","Not on stock sheet"))</f>
        <v>Not on stock sheet</v>
      </c>
    </row>
    <row r="60" customFormat="false" ht="14.25" hidden="false" customHeight="true" outlineLevel="0" collapsed="false">
      <c r="A60" s="64" t="n">
        <v>46304</v>
      </c>
      <c r="B60" s="1" t="s">
        <v>28</v>
      </c>
      <c r="C60" s="1" t="s">
        <v>788</v>
      </c>
      <c r="D60" s="1" t="s">
        <v>789</v>
      </c>
      <c r="F60" s="1" t="n">
        <v>12.72</v>
      </c>
      <c r="H60" s="17" t="str">
        <f aca="false">IF(TRIM(C60)="","",IFERROR(INDEX('Code Aliases'!$B:$B,MATCH(TRIM(C60),'Code Aliases'!$A:$A,0)),TRIM(C60)))</f>
        <v>MET002</v>
      </c>
      <c r="I60" s="17" t="str">
        <f aca="false">IF(TRIM(B60)="","",UPPER(TRIM(B60)))</f>
        <v>JHB</v>
      </c>
      <c r="J60" s="17" t="str">
        <f aca="false">IF(H60="","",IF(COUNTIF('Master Stock'!$A$5:$A$206,H60)&gt;0,"Yes","Not on stock sheet"))</f>
        <v>Yes</v>
      </c>
    </row>
    <row r="61" customFormat="false" ht="14.25" hidden="false" customHeight="true" outlineLevel="0" collapsed="false">
      <c r="A61" s="64" t="n">
        <v>46304</v>
      </c>
      <c r="B61" s="1" t="s">
        <v>28</v>
      </c>
      <c r="C61" s="1" t="s">
        <v>790</v>
      </c>
      <c r="D61" s="1" t="s">
        <v>791</v>
      </c>
      <c r="F61" s="1" t="n">
        <v>4.43</v>
      </c>
      <c r="H61" s="17" t="str">
        <f aca="false">IF(TRIM(C61)="","",IFERROR(INDEX('Code Aliases'!$B:$B,MATCH(TRIM(C61),'Code Aliases'!$A:$A,0)),TRIM(C61)))</f>
        <v>MET003</v>
      </c>
      <c r="I61" s="17" t="str">
        <f aca="false">IF(TRIM(B61)="","",UPPER(TRIM(B61)))</f>
        <v>JHB</v>
      </c>
      <c r="J61" s="17" t="str">
        <f aca="false">IF(H61="","",IF(COUNTIF('Master Stock'!$A$5:$A$206,H61)&gt;0,"Yes","Not on stock sheet"))</f>
        <v>Yes</v>
      </c>
    </row>
    <row r="62" customFormat="false" ht="14.25" hidden="false" customHeight="true" outlineLevel="0" collapsed="false">
      <c r="A62" s="64" t="n">
        <v>46304</v>
      </c>
      <c r="B62" s="1" t="s">
        <v>28</v>
      </c>
      <c r="C62" s="1" t="s">
        <v>792</v>
      </c>
      <c r="D62" s="1" t="s">
        <v>793</v>
      </c>
      <c r="F62" s="1" t="n">
        <v>4.86</v>
      </c>
      <c r="H62" s="17" t="str">
        <f aca="false">IF(TRIM(C62)="","",IFERROR(INDEX('Code Aliases'!$B:$B,MATCH(TRIM(C62),'Code Aliases'!$A:$A,0)),TRIM(C62)))</f>
        <v>MET004</v>
      </c>
      <c r="I62" s="17" t="str">
        <f aca="false">IF(TRIM(B62)="","",UPPER(TRIM(B62)))</f>
        <v>JHB</v>
      </c>
      <c r="J62" s="17" t="str">
        <f aca="false">IF(H62="","",IF(COUNTIF('Master Stock'!$A$5:$A$206,H62)&gt;0,"Yes","Not on stock sheet"))</f>
        <v>Yes</v>
      </c>
    </row>
    <row r="63" customFormat="false" ht="14.25" hidden="false" customHeight="true" outlineLevel="0" collapsed="false">
      <c r="A63" s="64" t="n">
        <v>46304</v>
      </c>
      <c r="B63" s="1" t="s">
        <v>28</v>
      </c>
      <c r="C63" s="1" t="s">
        <v>794</v>
      </c>
      <c r="D63" s="1" t="s">
        <v>795</v>
      </c>
      <c r="F63" s="1" t="n">
        <v>7.98</v>
      </c>
      <c r="H63" s="17" t="str">
        <f aca="false">IF(TRIM(C63)="","",IFERROR(INDEX('Code Aliases'!$B:$B,MATCH(TRIM(C63),'Code Aliases'!$A:$A,0)),TRIM(C63)))</f>
        <v>MET005</v>
      </c>
      <c r="I63" s="17" t="str">
        <f aca="false">IF(TRIM(B63)="","",UPPER(TRIM(B63)))</f>
        <v>JHB</v>
      </c>
      <c r="J63" s="17" t="str">
        <f aca="false">IF(H63="","",IF(COUNTIF('Master Stock'!$A$5:$A$206,H63)&gt;0,"Yes","Not on stock sheet"))</f>
        <v>Yes</v>
      </c>
    </row>
    <row r="64" customFormat="false" ht="14.25" hidden="false" customHeight="true" outlineLevel="0" collapsed="false">
      <c r="A64" s="64" t="n">
        <v>46304</v>
      </c>
      <c r="B64" s="1" t="s">
        <v>28</v>
      </c>
      <c r="C64" s="1" t="s">
        <v>796</v>
      </c>
      <c r="D64" s="1" t="s">
        <v>797</v>
      </c>
      <c r="F64" s="1" t="n">
        <v>10</v>
      </c>
      <c r="H64" s="17" t="str">
        <f aca="false">IF(TRIM(C64)="","",IFERROR(INDEX('Code Aliases'!$B:$B,MATCH(TRIM(C64),'Code Aliases'!$A:$A,0)),TRIM(C64)))</f>
        <v>MIS001</v>
      </c>
      <c r="I64" s="17" t="str">
        <f aca="false">IF(TRIM(B64)="","",UPPER(TRIM(B64)))</f>
        <v>JHB</v>
      </c>
      <c r="J64" s="17" t="str">
        <f aca="false">IF(H64="","",IF(COUNTIF('Master Stock'!$A$5:$A$206,H64)&gt;0,"Yes","Not on stock sheet"))</f>
        <v>Not on stock sheet</v>
      </c>
    </row>
    <row r="65" customFormat="false" ht="14.25" hidden="false" customHeight="true" outlineLevel="0" collapsed="false">
      <c r="A65" s="64" t="n">
        <v>46304</v>
      </c>
      <c r="B65" s="1" t="s">
        <v>28</v>
      </c>
      <c r="C65" s="1" t="s">
        <v>798</v>
      </c>
      <c r="D65" s="1" t="s">
        <v>799</v>
      </c>
      <c r="F65" s="1" t="n">
        <v>3.67</v>
      </c>
      <c r="H65" s="17" t="str">
        <f aca="false">IF(TRIM(C65)="","",IFERROR(INDEX('Code Aliases'!$B:$B,MATCH(TRIM(C65),'Code Aliases'!$A:$A,0)),TRIM(C65)))</f>
        <v>MOR003</v>
      </c>
      <c r="I65" s="17" t="str">
        <f aca="false">IF(TRIM(B65)="","",UPPER(TRIM(B65)))</f>
        <v>JHB</v>
      </c>
      <c r="J65" s="17" t="str">
        <f aca="false">IF(H65="","",IF(COUNTIF('Master Stock'!$A$5:$A$206,H65)&gt;0,"Yes","Not on stock sheet"))</f>
        <v>Yes</v>
      </c>
    </row>
    <row r="66" customFormat="false" ht="14.25" hidden="false" customHeight="true" outlineLevel="0" collapsed="false">
      <c r="A66" s="64" t="n">
        <v>46304</v>
      </c>
      <c r="B66" s="1" t="s">
        <v>28</v>
      </c>
      <c r="C66" s="1" t="s">
        <v>800</v>
      </c>
      <c r="D66" s="1" t="s">
        <v>801</v>
      </c>
      <c r="F66" s="1" t="n">
        <v>16.12</v>
      </c>
      <c r="H66" s="17" t="str">
        <f aca="false">IF(TRIM(C66)="","",IFERROR(INDEX('Code Aliases'!$B:$B,MATCH(TRIM(C66),'Code Aliases'!$A:$A,0)),TRIM(C66)))</f>
        <v>MOR004</v>
      </c>
      <c r="I66" s="17" t="str">
        <f aca="false">IF(TRIM(B66)="","",UPPER(TRIM(B66)))</f>
        <v>JHB</v>
      </c>
      <c r="J66" s="17" t="str">
        <f aca="false">IF(H66="","",IF(COUNTIF('Master Stock'!$A$5:$A$206,H66)&gt;0,"Yes","Not on stock sheet"))</f>
        <v>Yes</v>
      </c>
    </row>
    <row r="67" customFormat="false" ht="14.25" hidden="false" customHeight="true" outlineLevel="0" collapsed="false">
      <c r="A67" s="64" t="n">
        <v>46304</v>
      </c>
      <c r="B67" s="1" t="s">
        <v>28</v>
      </c>
      <c r="C67" s="1" t="s">
        <v>802</v>
      </c>
      <c r="D67" s="1" t="s">
        <v>803</v>
      </c>
      <c r="F67" s="1" t="n">
        <v>15.14</v>
      </c>
      <c r="H67" s="17" t="str">
        <f aca="false">IF(TRIM(C67)="","",IFERROR(INDEX('Code Aliases'!$B:$B,MATCH(TRIM(C67),'Code Aliases'!$A:$A,0)),TRIM(C67)))</f>
        <v>MOR010</v>
      </c>
      <c r="I67" s="17" t="str">
        <f aca="false">IF(TRIM(B67)="","",UPPER(TRIM(B67)))</f>
        <v>JHB</v>
      </c>
      <c r="J67" s="17" t="str">
        <f aca="false">IF(H67="","",IF(COUNTIF('Master Stock'!$A$5:$A$206,H67)&gt;0,"Yes","Not on stock sheet"))</f>
        <v>Yes</v>
      </c>
    </row>
    <row r="68" customFormat="false" ht="14.25" hidden="false" customHeight="true" outlineLevel="0" collapsed="false">
      <c r="A68" s="64" t="n">
        <v>46304</v>
      </c>
      <c r="B68" s="1" t="s">
        <v>28</v>
      </c>
      <c r="C68" s="1" t="s">
        <v>804</v>
      </c>
      <c r="D68" s="1" t="s">
        <v>805</v>
      </c>
      <c r="F68" s="1" t="n">
        <v>4.13</v>
      </c>
      <c r="H68" s="17" t="str">
        <f aca="false">IF(TRIM(C68)="","",IFERROR(INDEX('Code Aliases'!$B:$B,MATCH(TRIM(C68),'Code Aliases'!$A:$A,0)),TRIM(C68)))</f>
        <v>ETO007</v>
      </c>
      <c r="I68" s="17" t="str">
        <f aca="false">IF(TRIM(B68)="","",UPPER(TRIM(B68)))</f>
        <v>JHB</v>
      </c>
      <c r="J68" s="17" t="str">
        <f aca="false">IF(H68="","",IF(COUNTIF('Master Stock'!$A$5:$A$206,H68)&gt;0,"Yes","Not on stock sheet"))</f>
        <v>Yes</v>
      </c>
    </row>
    <row r="69" customFormat="false" ht="14.25" hidden="false" customHeight="true" outlineLevel="0" collapsed="false">
      <c r="A69" s="64" t="n">
        <v>46304</v>
      </c>
      <c r="B69" s="1" t="s">
        <v>28</v>
      </c>
      <c r="C69" s="1" t="s">
        <v>806</v>
      </c>
      <c r="D69" s="1" t="s">
        <v>807</v>
      </c>
      <c r="F69" s="1" t="n">
        <v>3.73</v>
      </c>
      <c r="H69" s="17" t="str">
        <f aca="false">IF(TRIM(C69)="","",IFERROR(INDEX('Code Aliases'!$B:$B,MATCH(TRIM(C69),'Code Aliases'!$A:$A,0)),TRIM(C69)))</f>
        <v>NAV001</v>
      </c>
      <c r="I69" s="17" t="str">
        <f aca="false">IF(TRIM(B69)="","",UPPER(TRIM(B69)))</f>
        <v>JHB</v>
      </c>
      <c r="J69" s="17" t="str">
        <f aca="false">IF(H69="","",IF(COUNTIF('Master Stock'!$A$5:$A$206,H69)&gt;0,"Yes","Not on stock sheet"))</f>
        <v>Yes</v>
      </c>
    </row>
    <row r="70" customFormat="false" ht="14.25" hidden="false" customHeight="true" outlineLevel="0" collapsed="false">
      <c r="A70" s="64" t="n">
        <v>46304</v>
      </c>
      <c r="B70" s="1" t="s">
        <v>28</v>
      </c>
      <c r="C70" s="1" t="s">
        <v>808</v>
      </c>
      <c r="D70" s="1" t="s">
        <v>809</v>
      </c>
      <c r="F70" s="1" t="n">
        <v>58.83</v>
      </c>
      <c r="H70" s="17" t="str">
        <f aca="false">IF(TRIM(C70)="","",IFERROR(INDEX('Code Aliases'!$B:$B,MATCH(TRIM(C70),'Code Aliases'!$A:$A,0)),TRIM(C70)))</f>
        <v>NAV004</v>
      </c>
      <c r="I70" s="17" t="str">
        <f aca="false">IF(TRIM(B70)="","",UPPER(TRIM(B70)))</f>
        <v>JHB</v>
      </c>
      <c r="J70" s="17" t="str">
        <f aca="false">IF(H70="","",IF(COUNTIF('Master Stock'!$A$5:$A$206,H70)&gt;0,"Yes","Not on stock sheet"))</f>
        <v>Yes</v>
      </c>
    </row>
    <row r="71" customFormat="false" ht="14.25" hidden="false" customHeight="true" outlineLevel="0" collapsed="false">
      <c r="A71" s="64" t="n">
        <v>46304</v>
      </c>
      <c r="B71" s="1" t="s">
        <v>28</v>
      </c>
      <c r="C71" s="1" t="s">
        <v>810</v>
      </c>
      <c r="D71" s="1" t="s">
        <v>811</v>
      </c>
      <c r="F71" s="1" t="n">
        <v>30.97</v>
      </c>
      <c r="H71" s="17" t="str">
        <f aca="false">IF(TRIM(C71)="","",IFERROR(INDEX('Code Aliases'!$B:$B,MATCH(TRIM(C71),'Code Aliases'!$A:$A,0)),TRIM(C71)))</f>
        <v>NAV005</v>
      </c>
      <c r="I71" s="17" t="str">
        <f aca="false">IF(TRIM(B71)="","",UPPER(TRIM(B71)))</f>
        <v>JHB</v>
      </c>
      <c r="J71" s="17" t="str">
        <f aca="false">IF(H71="","",IF(COUNTIF('Master Stock'!$A$5:$A$206,H71)&gt;0,"Yes","Not on stock sheet"))</f>
        <v>Yes</v>
      </c>
    </row>
    <row r="72" customFormat="false" ht="14.25" hidden="false" customHeight="true" outlineLevel="0" collapsed="false">
      <c r="A72" s="64" t="n">
        <v>46304</v>
      </c>
      <c r="B72" s="1" t="s">
        <v>28</v>
      </c>
      <c r="C72" s="1" t="s">
        <v>812</v>
      </c>
      <c r="D72" s="1" t="s">
        <v>813</v>
      </c>
      <c r="F72" s="1" t="n">
        <v>3.76</v>
      </c>
      <c r="H72" s="17" t="str">
        <f aca="false">IF(TRIM(C72)="","",IFERROR(INDEX('Code Aliases'!$B:$B,MATCH(TRIM(C72),'Code Aliases'!$A:$A,0)),TRIM(C72)))</f>
        <v>NAV006</v>
      </c>
      <c r="I72" s="17" t="str">
        <f aca="false">IF(TRIM(B72)="","",UPPER(TRIM(B72)))</f>
        <v>JHB</v>
      </c>
      <c r="J72" s="17" t="str">
        <f aca="false">IF(H72="","",IF(COUNTIF('Master Stock'!$A$5:$A$206,H72)&gt;0,"Yes","Not on stock sheet"))</f>
        <v>Yes</v>
      </c>
    </row>
    <row r="73" customFormat="false" ht="14.25" hidden="false" customHeight="true" outlineLevel="0" collapsed="false">
      <c r="A73" s="64" t="n">
        <v>46304</v>
      </c>
      <c r="B73" s="1" t="s">
        <v>28</v>
      </c>
      <c r="C73" s="1" t="s">
        <v>814</v>
      </c>
      <c r="D73" s="1" t="s">
        <v>815</v>
      </c>
      <c r="F73" s="1" t="n">
        <v>23.34</v>
      </c>
      <c r="H73" s="17" t="str">
        <f aca="false">IF(TRIM(C73)="","",IFERROR(INDEX('Code Aliases'!$B:$B,MATCH(TRIM(C73),'Code Aliases'!$A:$A,0)),TRIM(C73)))</f>
        <v>NOV001</v>
      </c>
      <c r="I73" s="17" t="str">
        <f aca="false">IF(TRIM(B73)="","",UPPER(TRIM(B73)))</f>
        <v>JHB</v>
      </c>
      <c r="J73" s="17" t="str">
        <f aca="false">IF(H73="","",IF(COUNTIF('Master Stock'!$A$5:$A$206,H73)&gt;0,"Yes","Not on stock sheet"))</f>
        <v>Yes</v>
      </c>
    </row>
    <row r="74" customFormat="false" ht="14.25" hidden="false" customHeight="true" outlineLevel="0" collapsed="false">
      <c r="A74" s="64" t="n">
        <v>46304</v>
      </c>
      <c r="B74" s="1" t="s">
        <v>28</v>
      </c>
      <c r="C74" s="1" t="s">
        <v>816</v>
      </c>
      <c r="D74" s="1" t="s">
        <v>817</v>
      </c>
      <c r="F74" s="1" t="n">
        <v>3.96</v>
      </c>
      <c r="H74" s="17" t="str">
        <f aca="false">IF(TRIM(C74)="","",IFERROR(INDEX('Code Aliases'!$B:$B,MATCH(TRIM(C74),'Code Aliases'!$A:$A,0)),TRIM(C74)))</f>
        <v>NOV006</v>
      </c>
      <c r="I74" s="17" t="str">
        <f aca="false">IF(TRIM(B74)="","",UPPER(TRIM(B74)))</f>
        <v>JHB</v>
      </c>
      <c r="J74" s="17" t="str">
        <f aca="false">IF(H74="","",IF(COUNTIF('Master Stock'!$A$5:$A$206,H74)&gt;0,"Yes","Not on stock sheet"))</f>
        <v>Yes</v>
      </c>
    </row>
    <row r="75" customFormat="false" ht="14.25" hidden="false" customHeight="true" outlineLevel="0" collapsed="false">
      <c r="A75" s="64" t="n">
        <v>46304</v>
      </c>
      <c r="B75" s="1" t="s">
        <v>28</v>
      </c>
      <c r="C75" s="1" t="s">
        <v>818</v>
      </c>
      <c r="D75" s="1" t="s">
        <v>819</v>
      </c>
      <c r="F75" s="1" t="n">
        <v>6.77</v>
      </c>
      <c r="H75" s="17" t="str">
        <f aca="false">IF(TRIM(C75)="","",IFERROR(INDEX('Code Aliases'!$B:$B,MATCH(TRIM(C75),'Code Aliases'!$A:$A,0)),TRIM(C75)))</f>
        <v>PIT001</v>
      </c>
      <c r="I75" s="17" t="str">
        <f aca="false">IF(TRIM(B75)="","",UPPER(TRIM(B75)))</f>
        <v>JHB</v>
      </c>
      <c r="J75" s="17" t="str">
        <f aca="false">IF(H75="","",IF(COUNTIF('Master Stock'!$A$5:$A$206,H75)&gt;0,"Yes","Not on stock sheet"))</f>
        <v>Yes</v>
      </c>
    </row>
    <row r="76" customFormat="false" ht="14.25" hidden="false" customHeight="true" outlineLevel="0" collapsed="false">
      <c r="A76" s="64" t="n">
        <v>46304</v>
      </c>
      <c r="B76" s="1" t="s">
        <v>28</v>
      </c>
      <c r="C76" s="1" t="s">
        <v>820</v>
      </c>
      <c r="D76" s="1" t="s">
        <v>821</v>
      </c>
      <c r="F76" s="1" t="n">
        <v>28.2</v>
      </c>
      <c r="H76" s="17" t="str">
        <f aca="false">IF(TRIM(C76)="","",IFERROR(INDEX('Code Aliases'!$B:$B,MATCH(TRIM(C76),'Code Aliases'!$A:$A,0)),TRIM(C76)))</f>
        <v>PRE001</v>
      </c>
      <c r="I76" s="17" t="str">
        <f aca="false">IF(TRIM(B76)="","",UPPER(TRIM(B76)))</f>
        <v>JHB</v>
      </c>
      <c r="J76" s="17" t="str">
        <f aca="false">IF(H76="","",IF(COUNTIF('Master Stock'!$A$5:$A$206,H76)&gt;0,"Yes","Not on stock sheet"))</f>
        <v>Yes</v>
      </c>
    </row>
    <row r="77" customFormat="false" ht="14.25" hidden="false" customHeight="true" outlineLevel="0" collapsed="false">
      <c r="A77" s="64" t="n">
        <v>46304</v>
      </c>
      <c r="B77" s="1" t="s">
        <v>28</v>
      </c>
      <c r="C77" s="1" t="s">
        <v>822</v>
      </c>
      <c r="D77" s="1" t="s">
        <v>823</v>
      </c>
      <c r="F77" s="1" t="n">
        <v>18.15</v>
      </c>
      <c r="H77" s="17" t="str">
        <f aca="false">IF(TRIM(C77)="","",IFERROR(INDEX('Code Aliases'!$B:$B,MATCH(TRIM(C77),'Code Aliases'!$A:$A,0)),TRIM(C77)))</f>
        <v>SAL007</v>
      </c>
      <c r="I77" s="17" t="str">
        <f aca="false">IF(TRIM(B77)="","",UPPER(TRIM(B77)))</f>
        <v>JHB</v>
      </c>
      <c r="J77" s="17" t="str">
        <f aca="false">IF(H77="","",IF(COUNTIF('Master Stock'!$A$5:$A$206,H77)&gt;0,"Yes","Not on stock sheet"))</f>
        <v>Yes</v>
      </c>
    </row>
    <row r="78" customFormat="false" ht="14.25" hidden="false" customHeight="true" outlineLevel="0" collapsed="false">
      <c r="A78" s="64" t="n">
        <v>46304</v>
      </c>
      <c r="B78" s="1" t="s">
        <v>28</v>
      </c>
      <c r="C78" s="1" t="s">
        <v>824</v>
      </c>
      <c r="D78" s="1" t="s">
        <v>825</v>
      </c>
      <c r="F78" s="1" t="n">
        <v>0</v>
      </c>
      <c r="H78" s="17" t="str">
        <f aca="false">IF(TRIM(C78)="","",IFERROR(INDEX('Code Aliases'!$B:$B,MATCH(TRIM(C78),'Code Aliases'!$A:$A,0)),TRIM(C78)))</f>
        <v>SAL008</v>
      </c>
      <c r="I78" s="17" t="str">
        <f aca="false">IF(TRIM(B78)="","",UPPER(TRIM(B78)))</f>
        <v>JHB</v>
      </c>
      <c r="J78" s="17" t="str">
        <f aca="false">IF(H78="","",IF(COUNTIF('Master Stock'!$A$5:$A$206,H78)&gt;0,"Yes","Not on stock sheet"))</f>
        <v>Yes</v>
      </c>
    </row>
    <row r="79" customFormat="false" ht="14.25" hidden="false" customHeight="true" outlineLevel="0" collapsed="false">
      <c r="A79" s="64" t="n">
        <v>46304</v>
      </c>
      <c r="B79" s="1" t="s">
        <v>28</v>
      </c>
      <c r="C79" s="1" t="s">
        <v>826</v>
      </c>
      <c r="D79" s="1" t="s">
        <v>827</v>
      </c>
      <c r="F79" s="1" t="n">
        <v>9.2</v>
      </c>
      <c r="H79" s="17" t="str">
        <f aca="false">IF(TRIM(C79)="","",IFERROR(INDEX('Code Aliases'!$B:$B,MATCH(TRIM(C79),'Code Aliases'!$A:$A,0)),TRIM(C79)))</f>
        <v>SAN009</v>
      </c>
      <c r="I79" s="17" t="str">
        <f aca="false">IF(TRIM(B79)="","",UPPER(TRIM(B79)))</f>
        <v>JHB</v>
      </c>
      <c r="J79" s="17" t="str">
        <f aca="false">IF(H79="","",IF(COUNTIF('Master Stock'!$A$5:$A$206,H79)&gt;0,"Yes","Not on stock sheet"))</f>
        <v>Yes</v>
      </c>
    </row>
    <row r="80" customFormat="false" ht="14.25" hidden="false" customHeight="true" outlineLevel="0" collapsed="false">
      <c r="A80" s="64" t="n">
        <v>46304</v>
      </c>
      <c r="B80" s="1" t="s">
        <v>28</v>
      </c>
      <c r="C80" s="1" t="s">
        <v>828</v>
      </c>
      <c r="D80" s="1" t="s">
        <v>829</v>
      </c>
      <c r="F80" s="1" t="n">
        <v>26.48</v>
      </c>
      <c r="H80" s="17" t="str">
        <f aca="false">IF(TRIM(C80)="","",IFERROR(INDEX('Code Aliases'!$B:$B,MATCH(TRIM(C80),'Code Aliases'!$A:$A,0)),TRIM(C80)))</f>
        <v>SAN011</v>
      </c>
      <c r="I80" s="17" t="str">
        <f aca="false">IF(TRIM(B80)="","",UPPER(TRIM(B80)))</f>
        <v>JHB</v>
      </c>
      <c r="J80" s="17" t="str">
        <f aca="false">IF(H80="","",IF(COUNTIF('Master Stock'!$A$5:$A$206,H80)&gt;0,"Yes","Not on stock sheet"))</f>
        <v>Yes</v>
      </c>
    </row>
    <row r="81" customFormat="false" ht="14.25" hidden="false" customHeight="true" outlineLevel="0" collapsed="false">
      <c r="A81" s="64" t="n">
        <v>46304</v>
      </c>
      <c r="B81" s="1" t="s">
        <v>28</v>
      </c>
      <c r="C81" s="1" t="s">
        <v>830</v>
      </c>
      <c r="D81" s="1" t="s">
        <v>831</v>
      </c>
      <c r="F81" s="1" t="n">
        <v>4.21</v>
      </c>
      <c r="H81" s="17" t="str">
        <f aca="false">IF(TRIM(C81)="","",IFERROR(INDEX('Code Aliases'!$B:$B,MATCH(TRIM(C81),'Code Aliases'!$A:$A,0)),TRIM(C81)))</f>
        <v>SAN017</v>
      </c>
      <c r="I81" s="17" t="str">
        <f aca="false">IF(TRIM(B81)="","",UPPER(TRIM(B81)))</f>
        <v>JHB</v>
      </c>
      <c r="J81" s="17" t="str">
        <f aca="false">IF(H81="","",IF(COUNTIF('Master Stock'!$A$5:$A$206,H81)&gt;0,"Yes","Not on stock sheet"))</f>
        <v>Yes</v>
      </c>
    </row>
    <row r="82" customFormat="false" ht="14.25" hidden="false" customHeight="true" outlineLevel="0" collapsed="false">
      <c r="A82" s="64" t="n">
        <v>46304</v>
      </c>
      <c r="B82" s="1" t="s">
        <v>28</v>
      </c>
      <c r="C82" s="1" t="s">
        <v>832</v>
      </c>
      <c r="D82" s="1" t="s">
        <v>833</v>
      </c>
      <c r="F82" s="1" t="n">
        <v>33.01</v>
      </c>
      <c r="H82" s="17" t="str">
        <f aca="false">IF(TRIM(C82)="","",IFERROR(INDEX('Code Aliases'!$B:$B,MATCH(TRIM(C82),'Code Aliases'!$A:$A,0)),TRIM(C82)))</f>
        <v>SAN018</v>
      </c>
      <c r="I82" s="17" t="str">
        <f aca="false">IF(TRIM(B82)="","",UPPER(TRIM(B82)))</f>
        <v>JHB</v>
      </c>
      <c r="J82" s="17" t="str">
        <f aca="false">IF(H82="","",IF(COUNTIF('Master Stock'!$A$5:$A$206,H82)&gt;0,"Yes","Not on stock sheet"))</f>
        <v>Yes</v>
      </c>
    </row>
    <row r="83" customFormat="false" ht="14.25" hidden="false" customHeight="true" outlineLevel="0" collapsed="false">
      <c r="A83" s="64" t="n">
        <v>46304</v>
      </c>
      <c r="B83" s="1" t="s">
        <v>28</v>
      </c>
      <c r="C83" s="1" t="s">
        <v>834</v>
      </c>
      <c r="D83" s="1" t="s">
        <v>835</v>
      </c>
      <c r="F83" s="1" t="n">
        <v>1.95</v>
      </c>
      <c r="H83" s="17" t="str">
        <f aca="false">IF(TRIM(C83)="","",IFERROR(INDEX('Code Aliases'!$B:$B,MATCH(TRIM(C83),'Code Aliases'!$A:$A,0)),TRIM(C83)))</f>
        <v>SHE021</v>
      </c>
      <c r="I83" s="17" t="str">
        <f aca="false">IF(TRIM(B83)="","",UPPER(TRIM(B83)))</f>
        <v>JHB</v>
      </c>
      <c r="J83" s="17" t="str">
        <f aca="false">IF(H83="","",IF(COUNTIF('Master Stock'!$A$5:$A$206,H83)&gt;0,"Yes","Not on stock sheet"))</f>
        <v>Yes</v>
      </c>
    </row>
    <row r="84" customFormat="false" ht="14.25" hidden="false" customHeight="true" outlineLevel="0" collapsed="false">
      <c r="A84" s="64" t="n">
        <v>46304</v>
      </c>
      <c r="B84" s="1" t="s">
        <v>28</v>
      </c>
      <c r="C84" s="1" t="s">
        <v>836</v>
      </c>
      <c r="D84" s="1" t="s">
        <v>837</v>
      </c>
      <c r="F84" s="1" t="n">
        <v>126.84</v>
      </c>
      <c r="H84" s="17" t="str">
        <f aca="false">IF(TRIM(C84)="","",IFERROR(INDEX('Code Aliases'!$B:$B,MATCH(TRIM(C84),'Code Aliases'!$A:$A,0)),TRIM(C84)))</f>
        <v>SOR001</v>
      </c>
      <c r="I84" s="17" t="str">
        <f aca="false">IF(TRIM(B84)="","",UPPER(TRIM(B84)))</f>
        <v>JHB</v>
      </c>
      <c r="J84" s="17" t="str">
        <f aca="false">IF(H84="","",IF(COUNTIF('Master Stock'!$A$5:$A$206,H84)&gt;0,"Yes","Not on stock sheet"))</f>
        <v>Yes</v>
      </c>
    </row>
    <row r="85" customFormat="false" ht="14.25" hidden="false" customHeight="true" outlineLevel="0" collapsed="false">
      <c r="A85" s="64" t="n">
        <v>46304</v>
      </c>
      <c r="B85" s="1" t="s">
        <v>28</v>
      </c>
      <c r="C85" s="1" t="s">
        <v>838</v>
      </c>
      <c r="D85" s="1" t="s">
        <v>839</v>
      </c>
      <c r="F85" s="1" t="n">
        <v>12.04</v>
      </c>
      <c r="H85" s="17" t="str">
        <f aca="false">IF(TRIM(C85)="","",IFERROR(INDEX('Code Aliases'!$B:$B,MATCH(TRIM(C85),'Code Aliases'!$A:$A,0)),TRIM(C85)))</f>
        <v>SOR002</v>
      </c>
      <c r="I85" s="17" t="str">
        <f aca="false">IF(TRIM(B85)="","",UPPER(TRIM(B85)))</f>
        <v>JHB</v>
      </c>
      <c r="J85" s="17" t="str">
        <f aca="false">IF(H85="","",IF(COUNTIF('Master Stock'!$A$5:$A$206,H85)&gt;0,"Yes","Not on stock sheet"))</f>
        <v>Yes</v>
      </c>
    </row>
    <row r="86" customFormat="false" ht="14.25" hidden="false" customHeight="true" outlineLevel="0" collapsed="false">
      <c r="A86" s="64" t="n">
        <v>46304</v>
      </c>
      <c r="B86" s="1" t="s">
        <v>28</v>
      </c>
      <c r="C86" s="1" t="s">
        <v>840</v>
      </c>
      <c r="D86" s="1" t="s">
        <v>841</v>
      </c>
      <c r="F86" s="1" t="n">
        <v>11.43</v>
      </c>
      <c r="H86" s="17" t="str">
        <f aca="false">IF(TRIM(C86)="","",IFERROR(INDEX('Code Aliases'!$B:$B,MATCH(TRIM(C86),'Code Aliases'!$A:$A,0)),TRIM(C86)))</f>
        <v>SOR004</v>
      </c>
      <c r="I86" s="17" t="str">
        <f aca="false">IF(TRIM(B86)="","",UPPER(TRIM(B86)))</f>
        <v>JHB</v>
      </c>
      <c r="J86" s="17" t="str">
        <f aca="false">IF(H86="","",IF(COUNTIF('Master Stock'!$A$5:$A$206,H86)&gt;0,"Yes","Not on stock sheet"))</f>
        <v>Yes</v>
      </c>
    </row>
    <row r="87" customFormat="false" ht="14.25" hidden="false" customHeight="true" outlineLevel="0" collapsed="false">
      <c r="A87" s="64" t="n">
        <v>46304</v>
      </c>
      <c r="B87" s="1" t="s">
        <v>28</v>
      </c>
      <c r="C87" s="1" t="s">
        <v>842</v>
      </c>
      <c r="D87" s="1" t="s">
        <v>843</v>
      </c>
      <c r="F87" s="1" t="n">
        <v>19.66</v>
      </c>
      <c r="H87" s="17" t="str">
        <f aca="false">IF(TRIM(C87)="","",IFERROR(INDEX('Code Aliases'!$B:$B,MATCH(TRIM(C87),'Code Aliases'!$A:$A,0)),TRIM(C87)))</f>
        <v>SOR007</v>
      </c>
      <c r="I87" s="17" t="str">
        <f aca="false">IF(TRIM(B87)="","",UPPER(TRIM(B87)))</f>
        <v>JHB</v>
      </c>
      <c r="J87" s="17" t="str">
        <f aca="false">IF(H87="","",IF(COUNTIF('Master Stock'!$A$5:$A$206,H87)&gt;0,"Yes","Not on stock sheet"))</f>
        <v>Yes</v>
      </c>
    </row>
    <row r="88" customFormat="false" ht="14.25" hidden="false" customHeight="true" outlineLevel="0" collapsed="false">
      <c r="A88" s="64" t="n">
        <v>46304</v>
      </c>
      <c r="B88" s="1" t="s">
        <v>28</v>
      </c>
      <c r="C88" s="1" t="s">
        <v>844</v>
      </c>
      <c r="D88" s="1" t="s">
        <v>845</v>
      </c>
      <c r="F88" s="1" t="n">
        <v>20.46</v>
      </c>
      <c r="H88" s="17" t="str">
        <f aca="false">IF(TRIM(C88)="","",IFERROR(INDEX('Code Aliases'!$B:$B,MATCH(TRIM(C88),'Code Aliases'!$A:$A,0)),TRIM(C88)))</f>
        <v>SOR009</v>
      </c>
      <c r="I88" s="17" t="str">
        <f aca="false">IF(TRIM(B88)="","",UPPER(TRIM(B88)))</f>
        <v>JHB</v>
      </c>
      <c r="J88" s="17" t="str">
        <f aca="false">IF(H88="","",IF(COUNTIF('Master Stock'!$A$5:$A$206,H88)&gt;0,"Yes","Not on stock sheet"))</f>
        <v>Yes</v>
      </c>
    </row>
    <row r="89" customFormat="false" ht="14.25" hidden="false" customHeight="true" outlineLevel="0" collapsed="false">
      <c r="A89" s="64" t="n">
        <v>46304</v>
      </c>
      <c r="B89" s="1" t="s">
        <v>28</v>
      </c>
      <c r="C89" s="1" t="s">
        <v>846</v>
      </c>
      <c r="D89" s="1" t="s">
        <v>847</v>
      </c>
      <c r="F89" s="1" t="n">
        <v>3.98</v>
      </c>
      <c r="H89" s="17" t="str">
        <f aca="false">IF(TRIM(C89)="","",IFERROR(INDEX('Code Aliases'!$B:$B,MATCH(TRIM(C89),'Code Aliases'!$A:$A,0)),TRIM(C89)))</f>
        <v>SOR010</v>
      </c>
      <c r="I89" s="17" t="str">
        <f aca="false">IF(TRIM(B89)="","",UPPER(TRIM(B89)))</f>
        <v>JHB</v>
      </c>
      <c r="J89" s="17" t="str">
        <f aca="false">IF(H89="","",IF(COUNTIF('Master Stock'!$A$5:$A$206,H89)&gt;0,"Yes","Not on stock sheet"))</f>
        <v>Yes</v>
      </c>
    </row>
    <row r="90" customFormat="false" ht="14.25" hidden="false" customHeight="true" outlineLevel="0" collapsed="false">
      <c r="A90" s="64" t="n">
        <v>46304</v>
      </c>
      <c r="B90" s="1" t="s">
        <v>28</v>
      </c>
      <c r="C90" s="1" t="s">
        <v>848</v>
      </c>
      <c r="D90" s="1" t="s">
        <v>849</v>
      </c>
      <c r="F90" s="1" t="n">
        <v>55.77</v>
      </c>
      <c r="H90" s="17" t="str">
        <f aca="false">IF(TRIM(C90)="","",IFERROR(INDEX('Code Aliases'!$B:$B,MATCH(TRIM(C90),'Code Aliases'!$A:$A,0)),TRIM(C90)))</f>
        <v>SOR011</v>
      </c>
      <c r="I90" s="17" t="str">
        <f aca="false">IF(TRIM(B90)="","",UPPER(TRIM(B90)))</f>
        <v>JHB</v>
      </c>
      <c r="J90" s="17" t="str">
        <f aca="false">IF(H90="","",IF(COUNTIF('Master Stock'!$A$5:$A$206,H90)&gt;0,"Yes","Not on stock sheet"))</f>
        <v>Yes</v>
      </c>
    </row>
    <row r="91" customFormat="false" ht="14.25" hidden="false" customHeight="true" outlineLevel="0" collapsed="false">
      <c r="A91" s="64" t="n">
        <v>46304</v>
      </c>
      <c r="B91" s="1" t="s">
        <v>28</v>
      </c>
      <c r="C91" s="1" t="s">
        <v>850</v>
      </c>
      <c r="D91" s="1" t="s">
        <v>851</v>
      </c>
      <c r="F91" s="1" t="n">
        <v>15.26</v>
      </c>
      <c r="H91" s="17" t="str">
        <f aca="false">IF(TRIM(C91)="","",IFERROR(INDEX('Code Aliases'!$B:$B,MATCH(TRIM(C91),'Code Aliases'!$A:$A,0)),TRIM(C91)))</f>
        <v>TEX005</v>
      </c>
      <c r="I91" s="17" t="str">
        <f aca="false">IF(TRIM(B91)="","",UPPER(TRIM(B91)))</f>
        <v>JHB</v>
      </c>
      <c r="J91" s="17" t="str">
        <f aca="false">IF(H91="","",IF(COUNTIF('Master Stock'!$A$5:$A$206,H91)&gt;0,"Yes","Not on stock sheet"))</f>
        <v>Yes</v>
      </c>
    </row>
    <row r="92" customFormat="false" ht="14.25" hidden="false" customHeight="true" outlineLevel="0" collapsed="false">
      <c r="A92" s="64" t="n">
        <v>46304</v>
      </c>
      <c r="B92" s="1" t="s">
        <v>28</v>
      </c>
      <c r="C92" s="1" t="s">
        <v>852</v>
      </c>
      <c r="D92" s="1" t="s">
        <v>853</v>
      </c>
      <c r="F92" s="1" t="n">
        <v>1.55</v>
      </c>
      <c r="H92" s="17" t="str">
        <f aca="false">IF(TRIM(C92)="","",IFERROR(INDEX('Code Aliases'!$B:$B,MATCH(TRIM(C92),'Code Aliases'!$A:$A,0)),TRIM(C92)))</f>
        <v>TEX007</v>
      </c>
      <c r="I92" s="17" t="str">
        <f aca="false">IF(TRIM(B92)="","",UPPER(TRIM(B92)))</f>
        <v>JHB</v>
      </c>
      <c r="J92" s="17" t="str">
        <f aca="false">IF(H92="","",IF(COUNTIF('Master Stock'!$A$5:$A$206,H92)&gt;0,"Yes","Not on stock sheet"))</f>
        <v>Yes</v>
      </c>
    </row>
    <row r="93" customFormat="false" ht="14.25" hidden="false" customHeight="true" outlineLevel="0" collapsed="false">
      <c r="A93" s="64" t="n">
        <v>46304</v>
      </c>
      <c r="B93" s="1" t="s">
        <v>28</v>
      </c>
      <c r="C93" s="1" t="s">
        <v>854</v>
      </c>
      <c r="D93" s="1" t="s">
        <v>855</v>
      </c>
      <c r="F93" s="1" t="n">
        <v>1.62</v>
      </c>
      <c r="H93" s="17" t="str">
        <f aca="false">IF(TRIM(C93)="","",IFERROR(INDEX('Code Aliases'!$B:$B,MATCH(TRIM(C93),'Code Aliases'!$A:$A,0)),TRIM(C93)))</f>
        <v>TEX016</v>
      </c>
      <c r="I93" s="17" t="str">
        <f aca="false">IF(TRIM(B93)="","",UPPER(TRIM(B93)))</f>
        <v>JHB</v>
      </c>
      <c r="J93" s="17" t="str">
        <f aca="false">IF(H93="","",IF(COUNTIF('Master Stock'!$A$5:$A$206,H93)&gt;0,"Yes","Not on stock sheet"))</f>
        <v>Yes</v>
      </c>
    </row>
    <row r="94" customFormat="false" ht="14.25" hidden="false" customHeight="true" outlineLevel="0" collapsed="false">
      <c r="A94" s="64" t="n">
        <v>46304</v>
      </c>
      <c r="B94" s="1" t="s">
        <v>28</v>
      </c>
      <c r="C94" s="1" t="s">
        <v>856</v>
      </c>
      <c r="D94" s="1" t="s">
        <v>857</v>
      </c>
      <c r="F94" s="1" t="n">
        <v>7.62</v>
      </c>
      <c r="H94" s="17" t="str">
        <f aca="false">IF(TRIM(C94)="","",IFERROR(INDEX('Code Aliases'!$B:$B,MATCH(TRIM(C94),'Code Aliases'!$A:$A,0)),TRIM(C94)))</f>
        <v>TEX020</v>
      </c>
      <c r="I94" s="17" t="str">
        <f aca="false">IF(TRIM(B94)="","",UPPER(TRIM(B94)))</f>
        <v>JHB</v>
      </c>
      <c r="J94" s="17" t="str">
        <f aca="false">IF(H94="","",IF(COUNTIF('Master Stock'!$A$5:$A$206,H94)&gt;0,"Yes","Not on stock sheet"))</f>
        <v>Yes</v>
      </c>
    </row>
    <row r="95" customFormat="false" ht="14.25" hidden="false" customHeight="true" outlineLevel="0" collapsed="false">
      <c r="A95" s="64" t="n">
        <v>46304</v>
      </c>
      <c r="B95" s="1" t="s">
        <v>28</v>
      </c>
      <c r="C95" s="1" t="s">
        <v>858</v>
      </c>
      <c r="D95" s="1" t="s">
        <v>859</v>
      </c>
      <c r="F95" s="1" t="n">
        <v>1.57</v>
      </c>
      <c r="H95" s="17" t="str">
        <f aca="false">IF(TRIM(C95)="","",IFERROR(INDEX('Code Aliases'!$B:$B,MATCH(TRIM(C95),'Code Aliases'!$A:$A,0)),TRIM(C95)))</f>
        <v>TEX021</v>
      </c>
      <c r="I95" s="17" t="str">
        <f aca="false">IF(TRIM(B95)="","",UPPER(TRIM(B95)))</f>
        <v>JHB</v>
      </c>
      <c r="J95" s="17" t="str">
        <f aca="false">IF(H95="","",IF(COUNTIF('Master Stock'!$A$5:$A$206,H95)&gt;0,"Yes","Not on stock sheet"))</f>
        <v>Yes</v>
      </c>
    </row>
    <row r="96" customFormat="false" ht="14.25" hidden="false" customHeight="true" outlineLevel="0" collapsed="false">
      <c r="A96" s="64" t="n">
        <v>46304</v>
      </c>
      <c r="B96" s="1" t="s">
        <v>28</v>
      </c>
      <c r="C96" s="1" t="s">
        <v>860</v>
      </c>
      <c r="D96" s="1" t="s">
        <v>861</v>
      </c>
      <c r="F96" s="1" t="n">
        <v>6.16</v>
      </c>
      <c r="H96" s="17" t="str">
        <f aca="false">IF(TRIM(C96)="","",IFERROR(INDEX('Code Aliases'!$B:$B,MATCH(TRIM(C96),'Code Aliases'!$A:$A,0)),TRIM(C96)))</f>
        <v>TEX022</v>
      </c>
      <c r="I96" s="17" t="str">
        <f aca="false">IF(TRIM(B96)="","",UPPER(TRIM(B96)))</f>
        <v>JHB</v>
      </c>
      <c r="J96" s="17" t="str">
        <f aca="false">IF(H96="","",IF(COUNTIF('Master Stock'!$A$5:$A$206,H96)&gt;0,"Yes","Not on stock sheet"))</f>
        <v>Yes</v>
      </c>
    </row>
    <row r="97" customFormat="false" ht="14.25" hidden="false" customHeight="true" outlineLevel="0" collapsed="false">
      <c r="A97" s="64" t="n">
        <v>46304</v>
      </c>
      <c r="B97" s="1" t="s">
        <v>28</v>
      </c>
      <c r="C97" s="1" t="s">
        <v>862</v>
      </c>
      <c r="D97" s="1" t="s">
        <v>863</v>
      </c>
      <c r="F97" s="1" t="n">
        <v>1.96</v>
      </c>
      <c r="H97" s="17" t="str">
        <f aca="false">IF(TRIM(C97)="","",IFERROR(INDEX('Code Aliases'!$B:$B,MATCH(TRIM(C97),'Code Aliases'!$A:$A,0)),TRIM(C97)))</f>
        <v>TEX027</v>
      </c>
      <c r="I97" s="17" t="str">
        <f aca="false">IF(TRIM(B97)="","",UPPER(TRIM(B97)))</f>
        <v>JHB</v>
      </c>
      <c r="J97" s="17" t="str">
        <f aca="false">IF(H97="","",IF(COUNTIF('Master Stock'!$A$5:$A$206,H97)&gt;0,"Yes","Not on stock sheet"))</f>
        <v>Yes</v>
      </c>
    </row>
    <row r="98" customFormat="false" ht="14.25" hidden="false" customHeight="true" outlineLevel="0" collapsed="false">
      <c r="A98" s="64" t="n">
        <v>46304</v>
      </c>
      <c r="B98" s="1" t="s">
        <v>28</v>
      </c>
      <c r="C98" s="1" t="s">
        <v>864</v>
      </c>
      <c r="D98" s="1" t="s">
        <v>865</v>
      </c>
      <c r="F98" s="1" t="n">
        <v>3.22</v>
      </c>
      <c r="H98" s="17" t="str">
        <f aca="false">IF(TRIM(C98)="","",IFERROR(INDEX('Code Aliases'!$B:$B,MATCH(TRIM(C98),'Code Aliases'!$A:$A,0)),TRIM(C98)))</f>
        <v>TEX029</v>
      </c>
      <c r="I98" s="17" t="str">
        <f aca="false">IF(TRIM(B98)="","",UPPER(TRIM(B98)))</f>
        <v>JHB</v>
      </c>
      <c r="J98" s="17" t="str">
        <f aca="false">IF(H98="","",IF(COUNTIF('Master Stock'!$A$5:$A$206,H98)&gt;0,"Yes","Not on stock sheet"))</f>
        <v>Yes</v>
      </c>
    </row>
    <row r="99" customFormat="false" ht="14.25" hidden="false" customHeight="true" outlineLevel="0" collapsed="false">
      <c r="A99" s="64" t="n">
        <v>46304</v>
      </c>
      <c r="B99" s="1" t="s">
        <v>28</v>
      </c>
      <c r="C99" s="1" t="s">
        <v>866</v>
      </c>
      <c r="D99" s="1" t="s">
        <v>867</v>
      </c>
      <c r="F99" s="1" t="n">
        <v>1.35</v>
      </c>
      <c r="H99" s="17" t="str">
        <f aca="false">IF(TRIM(C99)="","",IFERROR(INDEX('Code Aliases'!$B:$B,MATCH(TRIM(C99),'Code Aliases'!$A:$A,0)),TRIM(C99)))</f>
        <v>TEX031</v>
      </c>
      <c r="I99" s="17" t="str">
        <f aca="false">IF(TRIM(B99)="","",UPPER(TRIM(B99)))</f>
        <v>JHB</v>
      </c>
      <c r="J99" s="17" t="str">
        <f aca="false">IF(H99="","",IF(COUNTIF('Master Stock'!$A$5:$A$206,H99)&gt;0,"Yes","Not on stock sheet"))</f>
        <v>Yes</v>
      </c>
    </row>
    <row r="100" customFormat="false" ht="14.25" hidden="false" customHeight="true" outlineLevel="0" collapsed="false">
      <c r="A100" s="64" t="n">
        <v>46304</v>
      </c>
      <c r="B100" s="1" t="s">
        <v>28</v>
      </c>
      <c r="C100" s="1" t="s">
        <v>868</v>
      </c>
      <c r="D100" s="1" t="s">
        <v>869</v>
      </c>
      <c r="F100" s="1" t="n">
        <v>1.88</v>
      </c>
      <c r="H100" s="17" t="str">
        <f aca="false">IF(TRIM(C100)="","",IFERROR(INDEX('Code Aliases'!$B:$B,MATCH(TRIM(C100),'Code Aliases'!$A:$A,0)),TRIM(C100)))</f>
        <v>TEX032</v>
      </c>
      <c r="I100" s="17" t="str">
        <f aca="false">IF(TRIM(B100)="","",UPPER(TRIM(B100)))</f>
        <v>JHB</v>
      </c>
      <c r="J100" s="17" t="str">
        <f aca="false">IF(H100="","",IF(COUNTIF('Master Stock'!$A$5:$A$206,H100)&gt;0,"Yes","Not on stock sheet"))</f>
        <v>Yes</v>
      </c>
    </row>
    <row r="101" customFormat="false" ht="14.25" hidden="false" customHeight="true" outlineLevel="0" collapsed="false">
      <c r="A101" s="64" t="n">
        <v>46304</v>
      </c>
      <c r="B101" s="1" t="s">
        <v>28</v>
      </c>
      <c r="C101" s="1" t="s">
        <v>870</v>
      </c>
      <c r="D101" s="1" t="s">
        <v>871</v>
      </c>
      <c r="F101" s="1" t="n">
        <v>4</v>
      </c>
      <c r="H101" s="17" t="str">
        <f aca="false">IF(TRIM(C101)="","",IFERROR(INDEX('Code Aliases'!$B:$B,MATCH(TRIM(C101),'Code Aliases'!$A:$A,0)),TRIM(C101)))</f>
        <v>TUS001</v>
      </c>
      <c r="I101" s="17" t="str">
        <f aca="false">IF(TRIM(B101)="","",UPPER(TRIM(B101)))</f>
        <v>JHB</v>
      </c>
      <c r="J101" s="17" t="str">
        <f aca="false">IF(H101="","",IF(COUNTIF('Master Stock'!$A$5:$A$206,H101)&gt;0,"Yes","Not on stock sheet"))</f>
        <v>Yes</v>
      </c>
    </row>
    <row r="102" customFormat="false" ht="14.25" hidden="false" customHeight="true" outlineLevel="0" collapsed="false">
      <c r="A102" s="64" t="n">
        <v>46304</v>
      </c>
      <c r="B102" s="1" t="s">
        <v>28</v>
      </c>
      <c r="C102" s="1" t="s">
        <v>872</v>
      </c>
      <c r="D102" s="1" t="s">
        <v>873</v>
      </c>
      <c r="F102" s="1" t="n">
        <v>2.11</v>
      </c>
      <c r="H102" s="17" t="str">
        <f aca="false">IF(TRIM(C102)="","",IFERROR(INDEX('Code Aliases'!$B:$B,MATCH(TRIM(C102),'Code Aliases'!$A:$A,0)),TRIM(C102)))</f>
        <v>TUS003</v>
      </c>
      <c r="I102" s="17" t="str">
        <f aca="false">IF(TRIM(B102)="","",UPPER(TRIM(B102)))</f>
        <v>JHB</v>
      </c>
      <c r="J102" s="17" t="str">
        <f aca="false">IF(H102="","",IF(COUNTIF('Master Stock'!$A$5:$A$206,H102)&gt;0,"Yes","Not on stock sheet"))</f>
        <v>Yes</v>
      </c>
    </row>
    <row r="103" customFormat="false" ht="14.25" hidden="false" customHeight="true" outlineLevel="0" collapsed="false">
      <c r="A103" s="64" t="n">
        <v>46304</v>
      </c>
      <c r="B103" s="1" t="s">
        <v>28</v>
      </c>
      <c r="C103" s="1" t="s">
        <v>874</v>
      </c>
      <c r="D103" s="1" t="s">
        <v>875</v>
      </c>
      <c r="F103" s="1" t="n">
        <v>2.05</v>
      </c>
      <c r="H103" s="17" t="str">
        <f aca="false">IF(TRIM(C103)="","",IFERROR(INDEX('Code Aliases'!$B:$B,MATCH(TRIM(C103),'Code Aliases'!$A:$A,0)),TRIM(C103)))</f>
        <v>TUS004</v>
      </c>
      <c r="I103" s="17" t="str">
        <f aca="false">IF(TRIM(B103)="","",UPPER(TRIM(B103)))</f>
        <v>JHB</v>
      </c>
      <c r="J103" s="17" t="str">
        <f aca="false">IF(H103="","",IF(COUNTIF('Master Stock'!$A$5:$A$206,H103)&gt;0,"Yes","Not on stock sheet"))</f>
        <v>Yes</v>
      </c>
    </row>
    <row r="104" customFormat="false" ht="14.25" hidden="false" customHeight="true" outlineLevel="0" collapsed="false">
      <c r="A104" s="64" t="n">
        <v>46304</v>
      </c>
      <c r="B104" s="1" t="s">
        <v>28</v>
      </c>
      <c r="C104" s="1" t="s">
        <v>876</v>
      </c>
      <c r="D104" s="1" t="s">
        <v>877</v>
      </c>
      <c r="F104" s="1" t="n">
        <v>1.92</v>
      </c>
      <c r="H104" s="17" t="str">
        <f aca="false">IF(TRIM(C104)="","",IFERROR(INDEX('Code Aliases'!$B:$B,MATCH(TRIM(C104),'Code Aliases'!$A:$A,0)),TRIM(C104)))</f>
        <v>TUS006</v>
      </c>
      <c r="I104" s="17" t="str">
        <f aca="false">IF(TRIM(B104)="","",UPPER(TRIM(B104)))</f>
        <v>JHB</v>
      </c>
      <c r="J104" s="17" t="str">
        <f aca="false">IF(H104="","",IF(COUNTIF('Master Stock'!$A$5:$A$206,H104)&gt;0,"Yes","Not on stock sheet"))</f>
        <v>Yes</v>
      </c>
    </row>
    <row r="105" customFormat="false" ht="14.25" hidden="false" customHeight="true" outlineLevel="0" collapsed="false">
      <c r="A105" s="64" t="n">
        <v>46304</v>
      </c>
      <c r="B105" s="1" t="s">
        <v>28</v>
      </c>
      <c r="C105" s="1" t="s">
        <v>878</v>
      </c>
      <c r="D105" s="1" t="s">
        <v>879</v>
      </c>
      <c r="F105" s="1" t="n">
        <v>10.2</v>
      </c>
      <c r="H105" s="17" t="str">
        <f aca="false">IF(TRIM(C105)="","",IFERROR(INDEX('Code Aliases'!$B:$B,MATCH(TRIM(C105),'Code Aliases'!$A:$A,0)),TRIM(C105)))</f>
        <v>TUS007</v>
      </c>
      <c r="I105" s="17" t="str">
        <f aca="false">IF(TRIM(B105)="","",UPPER(TRIM(B105)))</f>
        <v>JHB</v>
      </c>
      <c r="J105" s="17" t="str">
        <f aca="false">IF(H105="","",IF(COUNTIF('Master Stock'!$A$5:$A$206,H105)&gt;0,"Yes","Not on stock sheet"))</f>
        <v>Yes</v>
      </c>
    </row>
    <row r="106" customFormat="false" ht="14.25" hidden="false" customHeight="true" outlineLevel="0" collapsed="false">
      <c r="A106" s="64" t="n">
        <v>46304</v>
      </c>
      <c r="B106" s="1" t="s">
        <v>28</v>
      </c>
      <c r="C106" s="1" t="s">
        <v>880</v>
      </c>
      <c r="D106" s="1" t="s">
        <v>881</v>
      </c>
      <c r="F106" s="1" t="n">
        <v>4.13</v>
      </c>
      <c r="H106" s="17" t="str">
        <f aca="false">IF(TRIM(C106)="","",IFERROR(INDEX('Code Aliases'!$B:$B,MATCH(TRIM(C106),'Code Aliases'!$A:$A,0)),TRIM(C106)))</f>
        <v>TUS009</v>
      </c>
      <c r="I106" s="17" t="str">
        <f aca="false">IF(TRIM(B106)="","",UPPER(TRIM(B106)))</f>
        <v>JHB</v>
      </c>
      <c r="J106" s="17" t="str">
        <f aca="false">IF(H106="","",IF(COUNTIF('Master Stock'!$A$5:$A$206,H106)&gt;0,"Yes","Not on stock sheet"))</f>
        <v>Yes</v>
      </c>
    </row>
    <row r="107" customFormat="false" ht="14.25" hidden="false" customHeight="true" outlineLevel="0" collapsed="false">
      <c r="A107" s="64" t="n">
        <v>46304</v>
      </c>
      <c r="B107" s="1" t="s">
        <v>28</v>
      </c>
      <c r="C107" s="1" t="s">
        <v>882</v>
      </c>
      <c r="D107" s="1" t="s">
        <v>883</v>
      </c>
      <c r="F107" s="1" t="n">
        <v>27.79</v>
      </c>
      <c r="H107" s="17" t="str">
        <f aca="false">IF(TRIM(C107)="","",IFERROR(INDEX('Code Aliases'!$B:$B,MATCH(TRIM(C107),'Code Aliases'!$A:$A,0)),TRIM(C107)))</f>
        <v>URB010</v>
      </c>
      <c r="I107" s="17" t="str">
        <f aca="false">IF(TRIM(B107)="","",UPPER(TRIM(B107)))</f>
        <v>JHB</v>
      </c>
      <c r="J107" s="17" t="str">
        <f aca="false">IF(H107="","",IF(COUNTIF('Master Stock'!$A$5:$A$206,H107)&gt;0,"Yes","Not on stock sheet"))</f>
        <v>Yes</v>
      </c>
    </row>
    <row r="108" customFormat="false" ht="14.25" hidden="false" customHeight="true" outlineLevel="0" collapsed="false">
      <c r="A108" s="64" t="n">
        <v>46304</v>
      </c>
      <c r="B108" s="1" t="s">
        <v>28</v>
      </c>
      <c r="C108" s="1" t="s">
        <v>884</v>
      </c>
      <c r="D108" s="1" t="s">
        <v>885</v>
      </c>
      <c r="F108" s="1" t="n">
        <v>-2</v>
      </c>
      <c r="H108" s="17" t="str">
        <f aca="false">IF(TRIM(C108)="","",IFERROR(INDEX('Code Aliases'!$B:$B,MATCH(TRIM(C108),'Code Aliases'!$A:$A,0)),TRIM(C108)))</f>
        <v>VEG006</v>
      </c>
      <c r="I108" s="17" t="str">
        <f aca="false">IF(TRIM(B108)="","",UPPER(TRIM(B108)))</f>
        <v>JHB</v>
      </c>
      <c r="J108" s="17" t="str">
        <f aca="false">IF(H108="","",IF(COUNTIF('Master Stock'!$A$5:$A$206,H108)&gt;0,"Yes","Not on stock sheet"))</f>
        <v>Yes</v>
      </c>
    </row>
    <row r="109" customFormat="false" ht="14.25" hidden="false" customHeight="true" outlineLevel="0" collapsed="false">
      <c r="A109" s="64" t="n">
        <v>46304</v>
      </c>
      <c r="B109" s="1" t="s">
        <v>28</v>
      </c>
      <c r="C109" s="1" t="s">
        <v>886</v>
      </c>
      <c r="D109" s="1" t="s">
        <v>887</v>
      </c>
      <c r="F109" s="1" t="n">
        <v>1.99</v>
      </c>
      <c r="H109" s="17" t="str">
        <f aca="false">IF(TRIM(C109)="","",IFERROR(INDEX('Code Aliases'!$B:$B,MATCH(TRIM(C109),'Code Aliases'!$A:$A,0)),TRIM(C109)))</f>
        <v>VEG017</v>
      </c>
      <c r="I109" s="17" t="str">
        <f aca="false">IF(TRIM(B109)="","",UPPER(TRIM(B109)))</f>
        <v>JHB</v>
      </c>
      <c r="J109" s="17" t="str">
        <f aca="false">IF(H109="","",IF(COUNTIF('Master Stock'!$A$5:$A$206,H109)&gt;0,"Yes","Not on stock sheet"))</f>
        <v>Yes</v>
      </c>
    </row>
    <row r="110" customFormat="false" ht="14.25" hidden="false" customHeight="true" outlineLevel="0" collapsed="false">
      <c r="A110" s="64" t="n">
        <v>46304</v>
      </c>
      <c r="B110" s="1" t="s">
        <v>28</v>
      </c>
      <c r="C110" s="1" t="s">
        <v>888</v>
      </c>
      <c r="D110" s="1" t="s">
        <v>889</v>
      </c>
      <c r="F110" s="1" t="n">
        <v>1.67</v>
      </c>
      <c r="H110" s="17" t="str">
        <f aca="false">IF(TRIM(C110)="","",IFERROR(INDEX('Code Aliases'!$B:$B,MATCH(TRIM(C110),'Code Aliases'!$A:$A,0)),TRIM(C110)))</f>
        <v>VEG018</v>
      </c>
      <c r="I110" s="17" t="str">
        <f aca="false">IF(TRIM(B110)="","",UPPER(TRIM(B110)))</f>
        <v>JHB</v>
      </c>
      <c r="J110" s="17" t="str">
        <f aca="false">IF(H110="","",IF(COUNTIF('Master Stock'!$A$5:$A$206,H110)&gt;0,"Yes","Not on stock sheet"))</f>
        <v>Yes</v>
      </c>
    </row>
    <row r="111" customFormat="false" ht="14.25" hidden="false" customHeight="true" outlineLevel="0" collapsed="false">
      <c r="A111" s="64" t="n">
        <v>46304</v>
      </c>
      <c r="B111" s="1" t="s">
        <v>28</v>
      </c>
      <c r="C111" s="1" t="s">
        <v>890</v>
      </c>
      <c r="D111" s="1" t="s">
        <v>891</v>
      </c>
      <c r="F111" s="1" t="n">
        <v>4.28</v>
      </c>
      <c r="H111" s="17" t="str">
        <f aca="false">IF(TRIM(C111)="","",IFERROR(INDEX('Code Aliases'!$B:$B,MATCH(TRIM(C111),'Code Aliases'!$A:$A,0)),TRIM(C111)))</f>
        <v>VIN001</v>
      </c>
      <c r="I111" s="17" t="str">
        <f aca="false">IF(TRIM(B111)="","",UPPER(TRIM(B111)))</f>
        <v>JHB</v>
      </c>
      <c r="J111" s="17" t="str">
        <f aca="false">IF(H111="","",IF(COUNTIF('Master Stock'!$A$5:$A$206,H111)&gt;0,"Yes","Not on stock sheet"))</f>
        <v>Yes</v>
      </c>
    </row>
    <row r="112" customFormat="false" ht="14.25" hidden="false" customHeight="true" outlineLevel="0" collapsed="false">
      <c r="A112" s="64" t="n">
        <v>46304</v>
      </c>
      <c r="B112" s="1" t="s">
        <v>28</v>
      </c>
      <c r="C112" s="1" t="s">
        <v>892</v>
      </c>
      <c r="D112" s="1" t="s">
        <v>893</v>
      </c>
      <c r="F112" s="1" t="n">
        <v>28.75</v>
      </c>
      <c r="H112" s="17" t="str">
        <f aca="false">IF(TRIM(C112)="","",IFERROR(INDEX('Code Aliases'!$B:$B,MATCH(TRIM(C112),'Code Aliases'!$A:$A,0)),TRIM(C112)))</f>
        <v>VIN003</v>
      </c>
      <c r="I112" s="17" t="str">
        <f aca="false">IF(TRIM(B112)="","",UPPER(TRIM(B112)))</f>
        <v>JHB</v>
      </c>
      <c r="J112" s="17" t="str">
        <f aca="false">IF(H112="","",IF(COUNTIF('Master Stock'!$A$5:$A$206,H112)&gt;0,"Yes","Not on stock sheet"))</f>
        <v>Yes</v>
      </c>
    </row>
    <row r="113" customFormat="false" ht="14.25" hidden="false" customHeight="true" outlineLevel="0" collapsed="false">
      <c r="A113" s="64" t="n">
        <v>46304</v>
      </c>
      <c r="B113" s="1" t="s">
        <v>28</v>
      </c>
      <c r="C113" s="1" t="s">
        <v>894</v>
      </c>
      <c r="D113" s="1" t="s">
        <v>895</v>
      </c>
      <c r="F113" s="1" t="n">
        <v>308.17</v>
      </c>
      <c r="H113" s="17" t="str">
        <f aca="false">IF(TRIM(C113)="","",IFERROR(INDEX('Code Aliases'!$B:$B,MATCH(TRIM(C113),'Code Aliases'!$A:$A,0)),TRIM(C113)))</f>
        <v>WLS001</v>
      </c>
      <c r="I113" s="17" t="str">
        <f aca="false">IF(TRIM(B113)="","",UPPER(TRIM(B113)))</f>
        <v>JHB</v>
      </c>
      <c r="J113" s="17" t="str">
        <f aca="false">IF(H113="","",IF(COUNTIF('Master Stock'!$A$5:$A$206,H113)&gt;0,"Yes","Not on stock sheet"))</f>
        <v>Yes</v>
      </c>
    </row>
    <row r="114" customFormat="false" ht="14.25" hidden="false" customHeight="true" outlineLevel="0" collapsed="false">
      <c r="A114" s="64" t="n">
        <v>46304</v>
      </c>
      <c r="B114" s="1" t="s">
        <v>28</v>
      </c>
      <c r="C114" s="1" t="s">
        <v>896</v>
      </c>
      <c r="D114" s="1" t="s">
        <v>897</v>
      </c>
      <c r="F114" s="1" t="n">
        <v>115</v>
      </c>
      <c r="H114" s="17" t="str">
        <f aca="false">IF(TRIM(C114)="","",IFERROR(INDEX('Code Aliases'!$B:$B,MATCH(TRIM(C114),'Code Aliases'!$A:$A,0)),TRIM(C114)))</f>
        <v>WLS002</v>
      </c>
      <c r="I114" s="17" t="str">
        <f aca="false">IF(TRIM(B114)="","",UPPER(TRIM(B114)))</f>
        <v>JHB</v>
      </c>
      <c r="J114" s="17" t="str">
        <f aca="false">IF(H114="","",IF(COUNTIF('Master Stock'!$A$5:$A$206,H114)&gt;0,"Yes","Not on stock sheet"))</f>
        <v>Yes</v>
      </c>
    </row>
    <row r="115" customFormat="false" ht="14.25" hidden="false" customHeight="true" outlineLevel="0" collapsed="false">
      <c r="A115" s="64" t="n">
        <v>46304</v>
      </c>
      <c r="B115" s="1" t="s">
        <v>28</v>
      </c>
      <c r="C115" s="1" t="s">
        <v>898</v>
      </c>
      <c r="D115" s="1" t="s">
        <v>899</v>
      </c>
      <c r="F115" s="1" t="n">
        <v>72.71</v>
      </c>
      <c r="H115" s="17" t="str">
        <f aca="false">IF(TRIM(C115)="","",IFERROR(INDEX('Code Aliases'!$B:$B,MATCH(TRIM(C115),'Code Aliases'!$A:$A,0)),TRIM(C115)))</f>
        <v>WLS003</v>
      </c>
      <c r="I115" s="17" t="str">
        <f aca="false">IF(TRIM(B115)="","",UPPER(TRIM(B115)))</f>
        <v>JHB</v>
      </c>
      <c r="J115" s="17" t="str">
        <f aca="false">IF(H115="","",IF(COUNTIF('Master Stock'!$A$5:$A$206,H115)&gt;0,"Yes","Not on stock sheet"))</f>
        <v>Yes</v>
      </c>
    </row>
    <row r="116" customFormat="false" ht="14.25" hidden="false" customHeight="true" outlineLevel="0" collapsed="false">
      <c r="A116" s="64" t="n">
        <v>46304</v>
      </c>
      <c r="B116" s="1" t="s">
        <v>27</v>
      </c>
      <c r="C116" s="1" t="s">
        <v>692</v>
      </c>
      <c r="F116" s="1" t="n">
        <v>67.15</v>
      </c>
      <c r="H116" s="17" t="str">
        <f aca="false">IF(TRIM(C116)="","",IFERROR(INDEX('Code Aliases'!$B:$B,MATCH(TRIM(C116),'Code Aliases'!$A:$A,0)),TRIM(C116)))</f>
        <v>BWO001</v>
      </c>
      <c r="I116" s="17" t="str">
        <f aca="false">IF(TRIM(B116)="","",UPPER(TRIM(B116)))</f>
        <v>CPT</v>
      </c>
      <c r="J116" s="17" t="str">
        <f aca="false">IF(H116="","",IF(COUNTIF('Master Stock'!$A$5:$A$206,H116)&gt;0,"Yes","Not on stock sheet"))</f>
        <v>Yes</v>
      </c>
    </row>
    <row r="117" customFormat="false" ht="14.25" hidden="false" customHeight="true" outlineLevel="0" collapsed="false">
      <c r="A117" s="64" t="n">
        <v>46304</v>
      </c>
      <c r="B117" s="1" t="s">
        <v>27</v>
      </c>
      <c r="C117" s="1" t="s">
        <v>900</v>
      </c>
      <c r="F117" s="1" t="n">
        <v>7.23</v>
      </c>
      <c r="H117" s="17" t="str">
        <f aca="false">IF(TRIM(C117)="","",IFERROR(INDEX('Code Aliases'!$B:$B,MATCH(TRIM(C117),'Code Aliases'!$A:$A,0)),TRIM(C117)))</f>
        <v>BWO004</v>
      </c>
      <c r="I117" s="17" t="str">
        <f aca="false">IF(TRIM(B117)="","",UPPER(TRIM(B117)))</f>
        <v>CPT</v>
      </c>
      <c r="J117" s="17" t="str">
        <f aca="false">IF(H117="","",IF(COUNTIF('Master Stock'!$A$5:$A$206,H117)&gt;0,"Yes","Not on stock sheet"))</f>
        <v>Yes</v>
      </c>
    </row>
    <row r="118" customFormat="false" ht="14.25" hidden="false" customHeight="true" outlineLevel="0" collapsed="false">
      <c r="A118" s="64" t="n">
        <v>46304</v>
      </c>
      <c r="B118" s="1" t="s">
        <v>27</v>
      </c>
      <c r="C118" s="1" t="s">
        <v>901</v>
      </c>
      <c r="F118" s="1" t="n">
        <v>41.84</v>
      </c>
      <c r="H118" s="17" t="str">
        <f aca="false">IF(TRIM(C118)="","",IFERROR(INDEX('Code Aliases'!$B:$B,MATCH(TRIM(C118),'Code Aliases'!$A:$A,0)),TRIM(C118)))</f>
        <v>CAP001</v>
      </c>
      <c r="I118" s="17" t="str">
        <f aca="false">IF(TRIM(B118)="","",UPPER(TRIM(B118)))</f>
        <v>CPT</v>
      </c>
      <c r="J118" s="17" t="str">
        <f aca="false">IF(H118="","",IF(COUNTIF('Master Stock'!$A$5:$A$206,H118)&gt;0,"Yes","Not on stock sheet"))</f>
        <v>Yes</v>
      </c>
    </row>
    <row r="119" customFormat="false" ht="14.25" hidden="false" customHeight="true" outlineLevel="0" collapsed="false">
      <c r="A119" s="64" t="n">
        <v>46304</v>
      </c>
      <c r="B119" s="1" t="s">
        <v>27</v>
      </c>
      <c r="C119" s="1" t="s">
        <v>702</v>
      </c>
      <c r="F119" s="1" t="n">
        <v>34.15</v>
      </c>
      <c r="H119" s="17" t="str">
        <f aca="false">IF(TRIM(C119)="","",IFERROR(INDEX('Code Aliases'!$B:$B,MATCH(TRIM(C119),'Code Aliases'!$A:$A,0)),TRIM(C119)))</f>
        <v>CAP003</v>
      </c>
      <c r="I119" s="17" t="str">
        <f aca="false">IF(TRIM(B119)="","",UPPER(TRIM(B119)))</f>
        <v>CPT</v>
      </c>
      <c r="J119" s="17" t="str">
        <f aca="false">IF(H119="","",IF(COUNTIF('Master Stock'!$A$5:$A$206,H119)&gt;0,"Yes","Not on stock sheet"))</f>
        <v>Yes</v>
      </c>
    </row>
    <row r="120" customFormat="false" ht="14.25" hidden="false" customHeight="true" outlineLevel="0" collapsed="false">
      <c r="A120" s="64" t="n">
        <v>46304</v>
      </c>
      <c r="B120" s="1" t="s">
        <v>27</v>
      </c>
      <c r="C120" s="1" t="s">
        <v>902</v>
      </c>
      <c r="F120" s="1" t="n">
        <v>23.77</v>
      </c>
      <c r="H120" s="17" t="str">
        <f aca="false">IF(TRIM(C120)="","",IFERROR(INDEX('Code Aliases'!$B:$B,MATCH(TRIM(C120),'Code Aliases'!$A:$A,0)),TRIM(C120)))</f>
        <v>CAP004</v>
      </c>
      <c r="I120" s="17" t="str">
        <f aca="false">IF(TRIM(B120)="","",UPPER(TRIM(B120)))</f>
        <v>CPT</v>
      </c>
      <c r="J120" s="17" t="str">
        <f aca="false">IF(H120="","",IF(COUNTIF('Master Stock'!$A$5:$A$206,H120)&gt;0,"Yes","Not on stock sheet"))</f>
        <v>Yes</v>
      </c>
    </row>
    <row r="121" customFormat="false" ht="14.25" hidden="false" customHeight="true" outlineLevel="0" collapsed="false">
      <c r="A121" s="64" t="n">
        <v>46304</v>
      </c>
      <c r="B121" s="1" t="s">
        <v>27</v>
      </c>
      <c r="C121" s="1" t="s">
        <v>704</v>
      </c>
      <c r="F121" s="1" t="n">
        <v>7.79</v>
      </c>
      <c r="H121" s="17" t="str">
        <f aca="false">IF(TRIM(C121)="","",IFERROR(INDEX('Code Aliases'!$B:$B,MATCH(TRIM(C121),'Code Aliases'!$A:$A,0)),TRIM(C121)))</f>
        <v>CAP009</v>
      </c>
      <c r="I121" s="17" t="str">
        <f aca="false">IF(TRIM(B121)="","",UPPER(TRIM(B121)))</f>
        <v>CPT</v>
      </c>
      <c r="J121" s="17" t="str">
        <f aca="false">IF(H121="","",IF(COUNTIF('Master Stock'!$A$5:$A$206,H121)&gt;0,"Yes","Not on stock sheet"))</f>
        <v>Yes</v>
      </c>
    </row>
    <row r="122" customFormat="false" ht="14.25" hidden="false" customHeight="true" outlineLevel="0" collapsed="false">
      <c r="A122" s="64" t="n">
        <v>46304</v>
      </c>
      <c r="B122" s="1" t="s">
        <v>27</v>
      </c>
      <c r="C122" s="1" t="s">
        <v>706</v>
      </c>
      <c r="F122" s="1" t="n">
        <v>17.18</v>
      </c>
      <c r="H122" s="17" t="str">
        <f aca="false">IF(TRIM(C122)="","",IFERROR(INDEX('Code Aliases'!$B:$B,MATCH(TRIM(C122),'Code Aliases'!$A:$A,0)),TRIM(C122)))</f>
        <v>CAS001</v>
      </c>
      <c r="I122" s="17" t="str">
        <f aca="false">IF(TRIM(B122)="","",UPPER(TRIM(B122)))</f>
        <v>CPT</v>
      </c>
      <c r="J122" s="17" t="str">
        <f aca="false">IF(H122="","",IF(COUNTIF('Master Stock'!$A$5:$A$206,H122)&gt;0,"Yes","Not on stock sheet"))</f>
        <v>Yes</v>
      </c>
    </row>
    <row r="123" customFormat="false" ht="14.25" hidden="false" customHeight="true" outlineLevel="0" collapsed="false">
      <c r="A123" s="64" t="n">
        <v>46304</v>
      </c>
      <c r="B123" s="1" t="s">
        <v>27</v>
      </c>
      <c r="C123" s="1" t="s">
        <v>708</v>
      </c>
      <c r="F123" s="1" t="n">
        <v>11.14</v>
      </c>
      <c r="H123" s="17" t="str">
        <f aca="false">IF(TRIM(C123)="","",IFERROR(INDEX('Code Aliases'!$B:$B,MATCH(TRIM(C123),'Code Aliases'!$A:$A,0)),TRIM(C123)))</f>
        <v>CAS003</v>
      </c>
      <c r="I123" s="17" t="str">
        <f aca="false">IF(TRIM(B123)="","",UPPER(TRIM(B123)))</f>
        <v>CPT</v>
      </c>
      <c r="J123" s="17" t="str">
        <f aca="false">IF(H123="","",IF(COUNTIF('Master Stock'!$A$5:$A$206,H123)&gt;0,"Yes","Not on stock sheet"))</f>
        <v>Yes</v>
      </c>
    </row>
    <row r="124" customFormat="false" ht="14.25" hidden="false" customHeight="true" outlineLevel="0" collapsed="false">
      <c r="A124" s="64" t="n">
        <v>46304</v>
      </c>
      <c r="B124" s="1" t="s">
        <v>27</v>
      </c>
      <c r="C124" s="1" t="s">
        <v>712</v>
      </c>
      <c r="F124" s="1" t="n">
        <v>5.15</v>
      </c>
      <c r="H124" s="17" t="str">
        <f aca="false">IF(TRIM(C124)="","",IFERROR(INDEX('Code Aliases'!$B:$B,MATCH(TRIM(C124),'Code Aliases'!$A:$A,0)),TRIM(C124)))</f>
        <v>CAS006</v>
      </c>
      <c r="I124" s="17" t="str">
        <f aca="false">IF(TRIM(B124)="","",UPPER(TRIM(B124)))</f>
        <v>CPT</v>
      </c>
      <c r="J124" s="17" t="str">
        <f aca="false">IF(H124="","",IF(COUNTIF('Master Stock'!$A$5:$A$206,H124)&gt;0,"Yes","Not on stock sheet"))</f>
        <v>Yes</v>
      </c>
    </row>
    <row r="125" customFormat="false" ht="14.25" hidden="false" customHeight="true" outlineLevel="0" collapsed="false">
      <c r="A125" s="64" t="n">
        <v>46304</v>
      </c>
      <c r="B125" s="1" t="s">
        <v>27</v>
      </c>
      <c r="C125" s="1" t="s">
        <v>903</v>
      </c>
      <c r="F125" s="1" t="n">
        <v>41.58</v>
      </c>
      <c r="H125" s="17" t="str">
        <f aca="false">IF(TRIM(C125)="","",IFERROR(INDEX('Code Aliases'!$B:$B,MATCH(TRIM(C125),'Code Aliases'!$A:$A,0)),TRIM(C125)))</f>
        <v>CAS007</v>
      </c>
      <c r="I125" s="17" t="str">
        <f aca="false">IF(TRIM(B125)="","",UPPER(TRIM(B125)))</f>
        <v>CPT</v>
      </c>
      <c r="J125" s="17" t="str">
        <f aca="false">IF(H125="","",IF(COUNTIF('Master Stock'!$A$5:$A$206,H125)&gt;0,"Yes","Not on stock sheet"))</f>
        <v>Yes</v>
      </c>
    </row>
    <row r="126" customFormat="false" ht="14.25" hidden="false" customHeight="true" outlineLevel="0" collapsed="false">
      <c r="A126" s="64" t="n">
        <v>46304</v>
      </c>
      <c r="B126" s="1" t="s">
        <v>27</v>
      </c>
      <c r="C126" s="1" t="s">
        <v>904</v>
      </c>
      <c r="F126" s="1" t="n">
        <v>5.72</v>
      </c>
      <c r="H126" s="17" t="str">
        <f aca="false">IF(TRIM(C126)="","",IFERROR(INDEX('Code Aliases'!$B:$B,MATCH(TRIM(C126),'Code Aliases'!$A:$A,0)),TRIM(C126)))</f>
        <v>CHE002</v>
      </c>
      <c r="I126" s="17" t="str">
        <f aca="false">IF(TRIM(B126)="","",UPPER(TRIM(B126)))</f>
        <v>CPT</v>
      </c>
      <c r="J126" s="17" t="str">
        <f aca="false">IF(H126="","",IF(COUNTIF('Master Stock'!$A$5:$A$206,H126)&gt;0,"Yes","Not on stock sheet"))</f>
        <v>Yes</v>
      </c>
    </row>
    <row r="127" customFormat="false" ht="14.25" hidden="false" customHeight="true" outlineLevel="0" collapsed="false">
      <c r="A127" s="64" t="n">
        <v>46304</v>
      </c>
      <c r="B127" s="1" t="s">
        <v>27</v>
      </c>
      <c r="C127" s="1" t="s">
        <v>714</v>
      </c>
      <c r="F127" s="1" t="n">
        <v>14.76</v>
      </c>
      <c r="H127" s="17" t="str">
        <f aca="false">IF(TRIM(C127)="","",IFERROR(INDEX('Code Aliases'!$B:$B,MATCH(TRIM(C127),'Code Aliases'!$A:$A,0)),TRIM(C127)))</f>
        <v>CHE005</v>
      </c>
      <c r="I127" s="17" t="str">
        <f aca="false">IF(TRIM(B127)="","",UPPER(TRIM(B127)))</f>
        <v>CPT</v>
      </c>
      <c r="J127" s="17" t="str">
        <f aca="false">IF(H127="","",IF(COUNTIF('Master Stock'!$A$5:$A$206,H127)&gt;0,"Yes","Not on stock sheet"))</f>
        <v>Yes</v>
      </c>
    </row>
    <row r="128" customFormat="false" ht="14.25" hidden="false" customHeight="true" outlineLevel="0" collapsed="false">
      <c r="A128" s="64" t="n">
        <v>46304</v>
      </c>
      <c r="B128" s="1" t="s">
        <v>27</v>
      </c>
      <c r="C128" s="1" t="s">
        <v>716</v>
      </c>
      <c r="F128" s="1" t="n">
        <v>54.13</v>
      </c>
      <c r="H128" s="17" t="str">
        <f aca="false">IF(TRIM(C128)="","",IFERROR(INDEX('Code Aliases'!$B:$B,MATCH(TRIM(C128),'Code Aliases'!$A:$A,0)),TRIM(C128)))</f>
        <v>CHI001</v>
      </c>
      <c r="I128" s="17" t="str">
        <f aca="false">IF(TRIM(B128)="","",UPPER(TRIM(B128)))</f>
        <v>CPT</v>
      </c>
      <c r="J128" s="17" t="str">
        <f aca="false">IF(H128="","",IF(COUNTIF('Master Stock'!$A$5:$A$206,H128)&gt;0,"Yes","Not on stock sheet"))</f>
        <v>Yes</v>
      </c>
    </row>
    <row r="129" customFormat="false" ht="14.25" hidden="false" customHeight="true" outlineLevel="0" collapsed="false">
      <c r="A129" s="64" t="n">
        <v>46304</v>
      </c>
      <c r="B129" s="1" t="s">
        <v>27</v>
      </c>
      <c r="C129" s="1" t="s">
        <v>722</v>
      </c>
      <c r="F129" s="1" t="n">
        <v>4.59</v>
      </c>
      <c r="H129" s="17" t="str">
        <f aca="false">IF(TRIM(C129)="","",IFERROR(INDEX('Code Aliases'!$B:$B,MATCH(TRIM(C129),'Code Aliases'!$A:$A,0)),TRIM(C129)))</f>
        <v>COS004</v>
      </c>
      <c r="I129" s="17" t="str">
        <f aca="false">IF(TRIM(B129)="","",UPPER(TRIM(B129)))</f>
        <v>CPT</v>
      </c>
      <c r="J129" s="17" t="str">
        <f aca="false">IF(H129="","",IF(COUNTIF('Master Stock'!$A$5:$A$206,H129)&gt;0,"Yes","Not on stock sheet"))</f>
        <v>Yes</v>
      </c>
    </row>
    <row r="130" customFormat="false" ht="14.25" hidden="false" customHeight="true" outlineLevel="0" collapsed="false">
      <c r="A130" s="64" t="n">
        <v>46304</v>
      </c>
      <c r="B130" s="1" t="s">
        <v>27</v>
      </c>
      <c r="C130" s="1" t="s">
        <v>905</v>
      </c>
      <c r="F130" s="1" t="n">
        <v>1.87</v>
      </c>
      <c r="H130" s="17" t="str">
        <f aca="false">IF(TRIM(C130)="","",IFERROR(INDEX('Code Aliases'!$B:$B,MATCH(TRIM(C130),'Code Aliases'!$A:$A,0)),TRIM(C130)))</f>
        <v>COS006</v>
      </c>
      <c r="I130" s="17" t="str">
        <f aca="false">IF(TRIM(B130)="","",UPPER(TRIM(B130)))</f>
        <v>CPT</v>
      </c>
      <c r="J130" s="17" t="str">
        <f aca="false">IF(H130="","",IF(COUNTIF('Master Stock'!$A$5:$A$206,H130)&gt;0,"Yes","Not on stock sheet"))</f>
        <v>Yes</v>
      </c>
    </row>
    <row r="131" customFormat="false" ht="14.25" hidden="false" customHeight="true" outlineLevel="0" collapsed="false">
      <c r="A131" s="64" t="n">
        <v>46304</v>
      </c>
      <c r="B131" s="1" t="s">
        <v>27</v>
      </c>
      <c r="C131" s="1" t="s">
        <v>906</v>
      </c>
      <c r="F131" s="1" t="n">
        <v>46.51</v>
      </c>
      <c r="H131" s="17" t="str">
        <f aca="false">IF(TRIM(C131)="","",IFERROR(INDEX('Code Aliases'!$B:$B,MATCH(TRIM(C131),'Code Aliases'!$A:$A,0)),TRIM(C131)))</f>
        <v>COW001</v>
      </c>
      <c r="I131" s="17" t="str">
        <f aca="false">IF(TRIM(B131)="","",UPPER(TRIM(B131)))</f>
        <v>CPT</v>
      </c>
      <c r="J131" s="17" t="str">
        <f aca="false">IF(H131="","",IF(COUNTIF('Master Stock'!$A$5:$A$206,H131)&gt;0,"Yes","Not on stock sheet"))</f>
        <v>Yes</v>
      </c>
    </row>
    <row r="132" customFormat="false" ht="14.25" hidden="false" customHeight="true" outlineLevel="0" collapsed="false">
      <c r="A132" s="64" t="n">
        <v>46304</v>
      </c>
      <c r="B132" s="1" t="s">
        <v>27</v>
      </c>
      <c r="C132" s="1" t="s">
        <v>907</v>
      </c>
      <c r="F132" s="1" t="n">
        <v>26.54</v>
      </c>
      <c r="H132" s="17" t="str">
        <f aca="false">IF(TRIM(C132)="","",IFERROR(INDEX('Code Aliases'!$B:$B,MATCH(TRIM(C132),'Code Aliases'!$A:$A,0)),TRIM(C132)))</f>
        <v>COW003</v>
      </c>
      <c r="I132" s="17" t="str">
        <f aca="false">IF(TRIM(B132)="","",UPPER(TRIM(B132)))</f>
        <v>CPT</v>
      </c>
      <c r="J132" s="17" t="str">
        <f aca="false">IF(H132="","",IF(COUNTIF('Master Stock'!$A$5:$A$206,H132)&gt;0,"Yes","Not on stock sheet"))</f>
        <v>Yes</v>
      </c>
    </row>
    <row r="133" customFormat="false" ht="14.25" hidden="false" customHeight="true" outlineLevel="0" collapsed="false">
      <c r="A133" s="64" t="n">
        <v>46304</v>
      </c>
      <c r="B133" s="1" t="s">
        <v>27</v>
      </c>
      <c r="C133" s="1" t="s">
        <v>908</v>
      </c>
      <c r="F133" s="1" t="n">
        <v>1.99</v>
      </c>
      <c r="H133" s="17" t="str">
        <f aca="false">IF(TRIM(C133)="","",IFERROR(INDEX('Code Aliases'!$B:$B,MATCH(TRIM(C133),'Code Aliases'!$A:$A,0)),TRIM(C133)))</f>
        <v>COW004</v>
      </c>
      <c r="I133" s="17" t="str">
        <f aca="false">IF(TRIM(B133)="","",UPPER(TRIM(B133)))</f>
        <v>CPT</v>
      </c>
      <c r="J133" s="17" t="str">
        <f aca="false">IF(H133="","",IF(COUNTIF('Master Stock'!$A$5:$A$206,H133)&gt;0,"Yes","Not on stock sheet"))</f>
        <v>Yes</v>
      </c>
    </row>
    <row r="134" customFormat="false" ht="14.25" hidden="false" customHeight="true" outlineLevel="0" collapsed="false">
      <c r="A134" s="64" t="n">
        <v>46304</v>
      </c>
      <c r="B134" s="1" t="s">
        <v>27</v>
      </c>
      <c r="C134" s="1" t="s">
        <v>909</v>
      </c>
      <c r="F134" s="1" t="n">
        <v>3.97</v>
      </c>
      <c r="H134" s="17" t="str">
        <f aca="false">IF(TRIM(C134)="","",IFERROR(INDEX('Code Aliases'!$B:$B,MATCH(TRIM(C134),'Code Aliases'!$A:$A,0)),TRIM(C134)))</f>
        <v>DAY002</v>
      </c>
      <c r="I134" s="17" t="str">
        <f aca="false">IF(TRIM(B134)="","",UPPER(TRIM(B134)))</f>
        <v>CPT</v>
      </c>
      <c r="J134" s="17" t="str">
        <f aca="false">IF(H134="","",IF(COUNTIF('Master Stock'!$A$5:$A$206,H134)&gt;0,"Yes","Not on stock sheet"))</f>
        <v>Yes</v>
      </c>
    </row>
    <row r="135" customFormat="false" ht="14.25" hidden="false" customHeight="true" outlineLevel="0" collapsed="false">
      <c r="A135" s="64" t="n">
        <v>46304</v>
      </c>
      <c r="B135" s="1" t="s">
        <v>27</v>
      </c>
      <c r="C135" s="1" t="s">
        <v>740</v>
      </c>
      <c r="F135" s="1" t="n">
        <v>3.63</v>
      </c>
      <c r="H135" s="17" t="str">
        <f aca="false">IF(TRIM(C135)="","",IFERROR(INDEX('Code Aliases'!$B:$B,MATCH(TRIM(C135),'Code Aliases'!$A:$A,0)),TRIM(C135)))</f>
        <v>DAY011</v>
      </c>
      <c r="I135" s="17" t="str">
        <f aca="false">IF(TRIM(B135)="","",UPPER(TRIM(B135)))</f>
        <v>CPT</v>
      </c>
      <c r="J135" s="17" t="str">
        <f aca="false">IF(H135="","",IF(COUNTIF('Master Stock'!$A$5:$A$206,H135)&gt;0,"Yes","Not on stock sheet"))</f>
        <v>Yes</v>
      </c>
    </row>
    <row r="136" customFormat="false" ht="14.25" hidden="false" customHeight="true" outlineLevel="0" collapsed="false">
      <c r="A136" s="64" t="n">
        <v>46304</v>
      </c>
      <c r="B136" s="1" t="s">
        <v>27</v>
      </c>
      <c r="C136" s="1" t="s">
        <v>742</v>
      </c>
      <c r="F136" s="1" t="n">
        <v>39.7</v>
      </c>
      <c r="H136" s="17" t="str">
        <f aca="false">IF(TRIM(C136)="","",IFERROR(INDEX('Code Aliases'!$B:$B,MATCH(TRIM(C136),'Code Aliases'!$A:$A,0)),TRIM(C136)))</f>
        <v>DIE001</v>
      </c>
      <c r="I136" s="17" t="str">
        <f aca="false">IF(TRIM(B136)="","",UPPER(TRIM(B136)))</f>
        <v>CPT</v>
      </c>
      <c r="J136" s="17" t="str">
        <f aca="false">IF(H136="","",IF(COUNTIF('Master Stock'!$A$5:$A$206,H136)&gt;0,"Yes","Not on stock sheet"))</f>
        <v>Yes</v>
      </c>
    </row>
    <row r="137" customFormat="false" ht="14.25" hidden="false" customHeight="true" outlineLevel="0" collapsed="false">
      <c r="A137" s="64" t="n">
        <v>46304</v>
      </c>
      <c r="B137" s="1" t="s">
        <v>27</v>
      </c>
      <c r="C137" s="1" t="s">
        <v>744</v>
      </c>
      <c r="F137" s="1" t="n">
        <v>50.39</v>
      </c>
      <c r="H137" s="17" t="str">
        <f aca="false">IF(TRIM(C137)="","",IFERROR(INDEX('Code Aliases'!$B:$B,MATCH(TRIM(C137),'Code Aliases'!$A:$A,0)),TRIM(C137)))</f>
        <v>DIE011</v>
      </c>
      <c r="I137" s="17" t="str">
        <f aca="false">IF(TRIM(B137)="","",UPPER(TRIM(B137)))</f>
        <v>CPT</v>
      </c>
      <c r="J137" s="17" t="str">
        <f aca="false">IF(H137="","",IF(COUNTIF('Master Stock'!$A$5:$A$206,H137)&gt;0,"Yes","Not on stock sheet"))</f>
        <v>Yes</v>
      </c>
    </row>
    <row r="138" customFormat="false" ht="14.25" hidden="false" customHeight="true" outlineLevel="0" collapsed="false">
      <c r="A138" s="64" t="n">
        <v>46304</v>
      </c>
      <c r="B138" s="1" t="s">
        <v>27</v>
      </c>
      <c r="C138" s="1" t="s">
        <v>750</v>
      </c>
      <c r="F138" s="1" t="n">
        <v>94.54</v>
      </c>
      <c r="H138" s="17" t="str">
        <f aca="false">IF(TRIM(C138)="","",IFERROR(INDEX('Code Aliases'!$B:$B,MATCH(TRIM(C138),'Code Aliases'!$A:$A,0)),TRIM(C138)))</f>
        <v>DIE018</v>
      </c>
      <c r="I138" s="17" t="str">
        <f aca="false">IF(TRIM(B138)="","",UPPER(TRIM(B138)))</f>
        <v>CPT</v>
      </c>
      <c r="J138" s="17" t="str">
        <f aca="false">IF(H138="","",IF(COUNTIF('Master Stock'!$A$5:$A$206,H138)&gt;0,"Yes","Not on stock sheet"))</f>
        <v>Yes</v>
      </c>
    </row>
    <row r="139" customFormat="false" ht="14.25" hidden="false" customHeight="true" outlineLevel="0" collapsed="false">
      <c r="A139" s="64" t="n">
        <v>46304</v>
      </c>
      <c r="B139" s="1" t="s">
        <v>27</v>
      </c>
      <c r="C139" s="1" t="s">
        <v>752</v>
      </c>
      <c r="F139" s="1" t="n">
        <v>10.94</v>
      </c>
      <c r="H139" s="17" t="str">
        <f aca="false">IF(TRIM(C139)="","",IFERROR(INDEX('Code Aliases'!$B:$B,MATCH(TRIM(C139),'Code Aliases'!$A:$A,0)),TRIM(C139)))</f>
        <v>ECO006</v>
      </c>
      <c r="I139" s="17" t="str">
        <f aca="false">IF(TRIM(B139)="","",UPPER(TRIM(B139)))</f>
        <v>CPT</v>
      </c>
      <c r="J139" s="17" t="str">
        <f aca="false">IF(H139="","",IF(COUNTIF('Master Stock'!$A$5:$A$206,H139)&gt;0,"Yes","Not on stock sheet"))</f>
        <v>Yes</v>
      </c>
    </row>
    <row r="140" customFormat="false" ht="14.25" hidden="false" customHeight="true" outlineLevel="0" collapsed="false">
      <c r="A140" s="64" t="n">
        <v>46304</v>
      </c>
      <c r="B140" s="1" t="s">
        <v>27</v>
      </c>
      <c r="C140" s="1" t="s">
        <v>754</v>
      </c>
      <c r="F140" s="1" t="n">
        <v>5.48</v>
      </c>
      <c r="H140" s="17" t="str">
        <f aca="false">IF(TRIM(C140)="","",IFERROR(INDEX('Code Aliases'!$B:$B,MATCH(TRIM(C140),'Code Aliases'!$A:$A,0)),TRIM(C140)))</f>
        <v>ECO007</v>
      </c>
      <c r="I140" s="17" t="str">
        <f aca="false">IF(TRIM(B140)="","",UPPER(TRIM(B140)))</f>
        <v>CPT</v>
      </c>
      <c r="J140" s="17" t="str">
        <f aca="false">IF(H140="","",IF(COUNTIF('Master Stock'!$A$5:$A$206,H140)&gt;0,"Yes","Not on stock sheet"))</f>
        <v>Yes</v>
      </c>
    </row>
    <row r="141" customFormat="false" ht="14.25" hidden="false" customHeight="true" outlineLevel="0" collapsed="false">
      <c r="A141" s="64" t="n">
        <v>46304</v>
      </c>
      <c r="B141" s="1" t="s">
        <v>27</v>
      </c>
      <c r="C141" s="1" t="s">
        <v>756</v>
      </c>
      <c r="F141" s="1" t="n">
        <v>24.54</v>
      </c>
      <c r="H141" s="17" t="str">
        <f aca="false">IF(TRIM(C141)="","",IFERROR(INDEX('Code Aliases'!$B:$B,MATCH(TRIM(C141),'Code Aliases'!$A:$A,0)),TRIM(C141)))</f>
        <v>ECO008</v>
      </c>
      <c r="I141" s="17" t="str">
        <f aca="false">IF(TRIM(B141)="","",UPPER(TRIM(B141)))</f>
        <v>CPT</v>
      </c>
      <c r="J141" s="17" t="str">
        <f aca="false">IF(H141="","",IF(COUNTIF('Master Stock'!$A$5:$A$206,H141)&gt;0,"Yes","Not on stock sheet"))</f>
        <v>Yes</v>
      </c>
    </row>
    <row r="142" customFormat="false" ht="14.25" hidden="false" customHeight="true" outlineLevel="0" collapsed="false">
      <c r="A142" s="64" t="n">
        <v>46304</v>
      </c>
      <c r="B142" s="1" t="s">
        <v>27</v>
      </c>
      <c r="C142" s="1" t="s">
        <v>764</v>
      </c>
      <c r="F142" s="1" t="n">
        <v>34.97</v>
      </c>
      <c r="H142" s="17" t="str">
        <f aca="false">IF(TRIM(C142)="","",IFERROR(INDEX('Code Aliases'!$B:$B,MATCH(TRIM(C142),'Code Aliases'!$A:$A,0)),TRIM(C142)))</f>
        <v>ETO001</v>
      </c>
      <c r="I142" s="17" t="str">
        <f aca="false">IF(TRIM(B142)="","",UPPER(TRIM(B142)))</f>
        <v>CPT</v>
      </c>
      <c r="J142" s="17" t="str">
        <f aca="false">IF(H142="","",IF(COUNTIF('Master Stock'!$A$5:$A$206,H142)&gt;0,"Yes","Not on stock sheet"))</f>
        <v>Yes</v>
      </c>
    </row>
    <row r="143" customFormat="false" ht="14.25" hidden="false" customHeight="true" outlineLevel="0" collapsed="false">
      <c r="A143" s="64" t="n">
        <v>46304</v>
      </c>
      <c r="B143" s="1" t="s">
        <v>27</v>
      </c>
      <c r="C143" s="1" t="s">
        <v>766</v>
      </c>
      <c r="F143" s="1" t="n">
        <v>123.87</v>
      </c>
      <c r="H143" s="17" t="str">
        <f aca="false">IF(TRIM(C143)="","",IFERROR(INDEX('Code Aliases'!$B:$B,MATCH(TRIM(C143),'Code Aliases'!$A:$A,0)),TRIM(C143)))</f>
        <v>ETO002</v>
      </c>
      <c r="I143" s="17" t="str">
        <f aca="false">IF(TRIM(B143)="","",UPPER(TRIM(B143)))</f>
        <v>CPT</v>
      </c>
      <c r="J143" s="17" t="str">
        <f aca="false">IF(H143="","",IF(COUNTIF('Master Stock'!$A$5:$A$206,H143)&gt;0,"Yes","Not on stock sheet"))</f>
        <v>Yes</v>
      </c>
    </row>
    <row r="144" customFormat="false" ht="14.25" hidden="false" customHeight="true" outlineLevel="0" collapsed="false">
      <c r="A144" s="64" t="n">
        <v>46304</v>
      </c>
      <c r="B144" s="1" t="s">
        <v>27</v>
      </c>
      <c r="C144" s="1" t="s">
        <v>910</v>
      </c>
      <c r="F144" s="1" t="n">
        <v>386.67</v>
      </c>
      <c r="H144" s="17" t="str">
        <f aca="false">IF(TRIM(C144)="","",IFERROR(INDEX('Code Aliases'!$B:$B,MATCH(TRIM(C144),'Code Aliases'!$A:$A,0)),TRIM(C144)))</f>
        <v>ETO003</v>
      </c>
      <c r="I144" s="17" t="str">
        <f aca="false">IF(TRIM(B144)="","",UPPER(TRIM(B144)))</f>
        <v>CPT</v>
      </c>
      <c r="J144" s="17" t="str">
        <f aca="false">IF(H144="","",IF(COUNTIF('Master Stock'!$A$5:$A$206,H144)&gt;0,"Yes","Not on stock sheet"))</f>
        <v>Yes</v>
      </c>
    </row>
    <row r="145" customFormat="false" ht="14.25" hidden="false" customHeight="true" outlineLevel="0" collapsed="false">
      <c r="A145" s="64" t="n">
        <v>46304</v>
      </c>
      <c r="B145" s="1" t="s">
        <v>27</v>
      </c>
      <c r="C145" s="1" t="s">
        <v>911</v>
      </c>
      <c r="F145" s="1" t="n">
        <v>11.99</v>
      </c>
      <c r="H145" s="17" t="str">
        <f aca="false">IF(TRIM(C145)="","",IFERROR(INDEX('Code Aliases'!$B:$B,MATCH(TRIM(C145),'Code Aliases'!$A:$A,0)),TRIM(C145)))</f>
        <v>ETO004</v>
      </c>
      <c r="I145" s="17" t="str">
        <f aca="false">IF(TRIM(B145)="","",UPPER(TRIM(B145)))</f>
        <v>CPT</v>
      </c>
      <c r="J145" s="17" t="str">
        <f aca="false">IF(H145="","",IF(COUNTIF('Master Stock'!$A$5:$A$206,H145)&gt;0,"Yes","Not on stock sheet"))</f>
        <v>Yes</v>
      </c>
    </row>
    <row r="146" customFormat="false" ht="14.25" hidden="false" customHeight="true" outlineLevel="0" collapsed="false">
      <c r="A146" s="64" t="n">
        <v>46304</v>
      </c>
      <c r="B146" s="1" t="s">
        <v>27</v>
      </c>
      <c r="C146" s="1" t="s">
        <v>768</v>
      </c>
      <c r="F146" s="1" t="n">
        <v>26.05</v>
      </c>
      <c r="H146" s="17" t="str">
        <f aca="false">IF(TRIM(C146)="","",IFERROR(INDEX('Code Aliases'!$B:$B,MATCH(TRIM(C146),'Code Aliases'!$A:$A,0)),TRIM(C146)))</f>
        <v>ETO007</v>
      </c>
      <c r="I146" s="17" t="str">
        <f aca="false">IF(TRIM(B146)="","",UPPER(TRIM(B146)))</f>
        <v>CPT</v>
      </c>
      <c r="J146" s="17" t="str">
        <f aca="false">IF(H146="","",IF(COUNTIF('Master Stock'!$A$5:$A$206,H146)&gt;0,"Yes","Not on stock sheet"))</f>
        <v>Yes</v>
      </c>
    </row>
    <row r="147" customFormat="false" ht="14.25" hidden="false" customHeight="true" outlineLevel="0" collapsed="false">
      <c r="A147" s="64" t="n">
        <v>46304</v>
      </c>
      <c r="B147" s="1" t="s">
        <v>27</v>
      </c>
      <c r="C147" s="1" t="s">
        <v>912</v>
      </c>
      <c r="E147" s="17"/>
      <c r="F147" s="1" t="n">
        <v>3.68</v>
      </c>
      <c r="H147" s="17" t="str">
        <f aca="false">IF(TRIM(C147)="","",IFERROR(INDEX('Code Aliases'!$B:$B,MATCH(TRIM(C147),'Code Aliases'!$A:$A,0)),TRIM(C147)))</f>
        <v>ETO008</v>
      </c>
      <c r="I147" s="17" t="str">
        <f aca="false">IF(TRIM(B147)="","",UPPER(TRIM(B147)))</f>
        <v>CPT</v>
      </c>
      <c r="J147" s="17" t="str">
        <f aca="false">IF(H147="","",IF(COUNTIF('Master Stock'!$A$5:$A$206,H147)&gt;0,"Yes","Not on stock sheet"))</f>
        <v>Yes</v>
      </c>
    </row>
    <row r="148" customFormat="false" ht="14.25" hidden="false" customHeight="true" outlineLevel="0" collapsed="false">
      <c r="A148" s="64" t="n">
        <v>46304</v>
      </c>
      <c r="B148" s="1" t="s">
        <v>27</v>
      </c>
      <c r="C148" s="1" t="s">
        <v>913</v>
      </c>
      <c r="E148" s="17"/>
      <c r="F148" s="1" t="n">
        <v>5.49</v>
      </c>
      <c r="H148" s="17" t="str">
        <f aca="false">IF(TRIM(C148)="","",IFERROR(INDEX('Code Aliases'!$B:$B,MATCH(TRIM(C148),'Code Aliases'!$A:$A,0)),TRIM(C148)))</f>
        <v>FLW001</v>
      </c>
      <c r="I148" s="17" t="str">
        <f aca="false">IF(TRIM(B148)="","",UPPER(TRIM(B148)))</f>
        <v>CPT</v>
      </c>
      <c r="J148" s="17" t="str">
        <f aca="false">IF(H148="","",IF(COUNTIF('Master Stock'!$A$5:$A$206,H148)&gt;0,"Yes","Not on stock sheet"))</f>
        <v>Not on stock sheet</v>
      </c>
    </row>
    <row r="149" customFormat="false" ht="14.25" hidden="false" customHeight="true" outlineLevel="0" collapsed="false">
      <c r="A149" s="64" t="n">
        <v>46304</v>
      </c>
      <c r="B149" s="1" t="s">
        <v>27</v>
      </c>
      <c r="C149" s="1" t="s">
        <v>914</v>
      </c>
      <c r="E149" s="17"/>
      <c r="F149" s="1" t="n">
        <v>8.16</v>
      </c>
      <c r="H149" s="17" t="str">
        <f aca="false">IF(TRIM(C149)="","",IFERROR(INDEX('Code Aliases'!$B:$B,MATCH(TRIM(C149),'Code Aliases'!$A:$A,0)),TRIM(C149)))</f>
        <v>GAZ001</v>
      </c>
      <c r="I149" s="17" t="str">
        <f aca="false">IF(TRIM(B149)="","",UPPER(TRIM(B149)))</f>
        <v>CPT</v>
      </c>
      <c r="J149" s="17" t="str">
        <f aca="false">IF(H149="","",IF(COUNTIF('Master Stock'!$A$5:$A$206,H149)&gt;0,"Yes","Not on stock sheet"))</f>
        <v>Yes</v>
      </c>
    </row>
    <row r="150" customFormat="false" ht="14.25" hidden="false" customHeight="true" outlineLevel="0" collapsed="false">
      <c r="A150" s="64" t="n">
        <v>46304</v>
      </c>
      <c r="B150" s="1" t="s">
        <v>27</v>
      </c>
      <c r="C150" s="1" t="s">
        <v>915</v>
      </c>
      <c r="E150" s="17"/>
      <c r="F150" s="1" t="n">
        <v>3.65</v>
      </c>
      <c r="H150" s="17" t="str">
        <f aca="false">IF(TRIM(C150)="","",IFERROR(INDEX('Code Aliases'!$B:$B,MATCH(TRIM(C150),'Code Aliases'!$A:$A,0)),TRIM(C150)))</f>
        <v>GAZ005</v>
      </c>
      <c r="I150" s="17" t="str">
        <f aca="false">IF(TRIM(B150)="","",UPPER(TRIM(B150)))</f>
        <v>CPT</v>
      </c>
      <c r="J150" s="17" t="str">
        <f aca="false">IF(H150="","",IF(COUNTIF('Master Stock'!$A$5:$A$206,H150)&gt;0,"Yes","Not on stock sheet"))</f>
        <v>Yes</v>
      </c>
    </row>
    <row r="151" customFormat="false" ht="14.25" hidden="false" customHeight="true" outlineLevel="0" collapsed="false">
      <c r="A151" s="64" t="n">
        <v>46304</v>
      </c>
      <c r="B151" s="1" t="s">
        <v>27</v>
      </c>
      <c r="C151" s="1" t="s">
        <v>770</v>
      </c>
      <c r="E151" s="17"/>
      <c r="F151" s="1" t="n">
        <v>8.48</v>
      </c>
      <c r="H151" s="17" t="str">
        <f aca="false">IF(TRIM(C151)="","",IFERROR(INDEX('Code Aliases'!$B:$B,MATCH(TRIM(C151),'Code Aliases'!$A:$A,0)),TRIM(C151)))</f>
        <v>GAZ006</v>
      </c>
      <c r="I151" s="17" t="str">
        <f aca="false">IF(TRIM(B151)="","",UPPER(TRIM(B151)))</f>
        <v>CPT</v>
      </c>
      <c r="J151" s="17" t="str">
        <f aca="false">IF(H151="","",IF(COUNTIF('Master Stock'!$A$5:$A$206,H151)&gt;0,"Yes","Not on stock sheet"))</f>
        <v>Yes</v>
      </c>
    </row>
    <row r="152" customFormat="false" ht="14.25" hidden="false" customHeight="true" outlineLevel="0" collapsed="false">
      <c r="A152" s="64" t="n">
        <v>46304</v>
      </c>
      <c r="B152" s="1" t="s">
        <v>27</v>
      </c>
      <c r="C152" s="1" t="s">
        <v>916</v>
      </c>
      <c r="E152" s="17"/>
      <c r="F152" s="1" t="n">
        <v>48.01</v>
      </c>
      <c r="H152" s="17" t="str">
        <f aca="false">IF(TRIM(C152)="","",IFERROR(INDEX('Code Aliases'!$B:$B,MATCH(TRIM(C152),'Code Aliases'!$A:$A,0)),TRIM(C152)))</f>
        <v>GAZ010</v>
      </c>
      <c r="I152" s="17" t="str">
        <f aca="false">IF(TRIM(B152)="","",UPPER(TRIM(B152)))</f>
        <v>CPT</v>
      </c>
      <c r="J152" s="17" t="str">
        <f aca="false">IF(H152="","",IF(COUNTIF('Master Stock'!$A$5:$A$206,H152)&gt;0,"Yes","Not on stock sheet"))</f>
        <v>Yes</v>
      </c>
    </row>
    <row r="153" customFormat="false" ht="14.25" hidden="false" customHeight="true" outlineLevel="0" collapsed="false">
      <c r="A153" s="64" t="n">
        <v>46304</v>
      </c>
      <c r="B153" s="1" t="s">
        <v>27</v>
      </c>
      <c r="C153" s="1" t="s">
        <v>772</v>
      </c>
      <c r="E153" s="17"/>
      <c r="F153" s="1" t="n">
        <v>59.94</v>
      </c>
      <c r="H153" s="17" t="str">
        <f aca="false">IF(TRIM(C153)="","",IFERROR(INDEX('Code Aliases'!$B:$B,MATCH(TRIM(C153),'Code Aliases'!$A:$A,0)),TRIM(C153)))</f>
        <v>GAZ015</v>
      </c>
      <c r="I153" s="17" t="str">
        <f aca="false">IF(TRIM(B153)="","",UPPER(TRIM(B153)))</f>
        <v>CPT</v>
      </c>
      <c r="J153" s="17" t="str">
        <f aca="false">IF(H153="","",IF(COUNTIF('Master Stock'!$A$5:$A$206,H153)&gt;0,"Yes","Not on stock sheet"))</f>
        <v>Yes</v>
      </c>
    </row>
    <row r="154" customFormat="false" ht="14.25" hidden="false" customHeight="true" outlineLevel="0" collapsed="false">
      <c r="A154" s="64" t="n">
        <v>46304</v>
      </c>
      <c r="B154" s="1" t="s">
        <v>27</v>
      </c>
      <c r="C154" s="1" t="s">
        <v>774</v>
      </c>
      <c r="E154" s="17"/>
      <c r="F154" s="1" t="n">
        <v>1.57</v>
      </c>
      <c r="H154" s="17" t="str">
        <f aca="false">IF(TRIM(C154)="","",IFERROR(INDEX('Code Aliases'!$B:$B,MATCH(TRIM(C154),'Code Aliases'!$A:$A,0)),TRIM(C154)))</f>
        <v>HAV001</v>
      </c>
      <c r="I154" s="17" t="str">
        <f aca="false">IF(TRIM(B154)="","",UPPER(TRIM(B154)))</f>
        <v>CPT</v>
      </c>
      <c r="J154" s="17" t="str">
        <f aca="false">IF(H154="","",IF(COUNTIF('Master Stock'!$A$5:$A$206,H154)&gt;0,"Yes","Not on stock sheet"))</f>
        <v>Yes</v>
      </c>
    </row>
    <row r="155" customFormat="false" ht="14.25" hidden="false" customHeight="true" outlineLevel="0" collapsed="false">
      <c r="A155" s="64" t="n">
        <v>46304</v>
      </c>
      <c r="B155" s="1" t="s">
        <v>27</v>
      </c>
      <c r="C155" s="1" t="s">
        <v>778</v>
      </c>
      <c r="E155" s="17"/>
      <c r="F155" s="1" t="n">
        <v>5.35</v>
      </c>
      <c r="H155" s="17" t="str">
        <f aca="false">IF(TRIM(C155)="","",IFERROR(INDEX('Code Aliases'!$B:$B,MATCH(TRIM(C155),'Code Aliases'!$A:$A,0)),TRIM(C155)))</f>
        <v>HAV003</v>
      </c>
      <c r="I155" s="17" t="str">
        <f aca="false">IF(TRIM(B155)="","",UPPER(TRIM(B155)))</f>
        <v>CPT</v>
      </c>
      <c r="J155" s="17" t="str">
        <f aca="false">IF(H155="","",IF(COUNTIF('Master Stock'!$A$5:$A$206,H155)&gt;0,"Yes","Not on stock sheet"))</f>
        <v>Yes</v>
      </c>
    </row>
    <row r="156" customFormat="false" ht="14.25" hidden="false" customHeight="true" outlineLevel="0" collapsed="false">
      <c r="A156" s="64" t="n">
        <v>46304</v>
      </c>
      <c r="B156" s="1" t="s">
        <v>27</v>
      </c>
      <c r="C156" s="1" t="s">
        <v>917</v>
      </c>
      <c r="E156" s="17"/>
      <c r="F156" s="1" t="n">
        <v>10.19</v>
      </c>
      <c r="H156" s="17" t="str">
        <f aca="false">IF(TRIM(C156)="","",IFERROR(INDEX('Code Aliases'!$B:$B,MATCH(TRIM(C156),'Code Aliases'!$A:$A,0)),TRIM(C156)))</f>
        <v>HAV004</v>
      </c>
      <c r="I156" s="17" t="str">
        <f aca="false">IF(TRIM(B156)="","",UPPER(TRIM(B156)))</f>
        <v>CPT</v>
      </c>
      <c r="J156" s="17" t="str">
        <f aca="false">IF(H156="","",IF(COUNTIF('Master Stock'!$A$5:$A$206,H156)&gt;0,"Yes","Not on stock sheet"))</f>
        <v>Yes</v>
      </c>
    </row>
    <row r="157" customFormat="false" ht="14.25" hidden="false" customHeight="true" outlineLevel="0" collapsed="false">
      <c r="A157" s="64" t="n">
        <v>46304</v>
      </c>
      <c r="B157" s="1" t="s">
        <v>27</v>
      </c>
      <c r="C157" s="1" t="s">
        <v>782</v>
      </c>
      <c r="E157" s="17"/>
      <c r="F157" s="1" t="n">
        <v>4.5</v>
      </c>
      <c r="H157" s="17" t="str">
        <f aca="false">IF(TRIM(C157)="","",IFERROR(INDEX('Code Aliases'!$B:$B,MATCH(TRIM(C157),'Code Aliases'!$A:$A,0)),TRIM(C157)))</f>
        <v>IMP004</v>
      </c>
      <c r="I157" s="17" t="str">
        <f aca="false">IF(TRIM(B157)="","",UPPER(TRIM(B157)))</f>
        <v>CPT</v>
      </c>
      <c r="J157" s="17" t="str">
        <f aca="false">IF(H157="","",IF(COUNTIF('Master Stock'!$A$5:$A$206,H157)&gt;0,"Yes","Not on stock sheet"))</f>
        <v>Yes</v>
      </c>
    </row>
    <row r="158" customFormat="false" ht="14.25" hidden="false" customHeight="true" outlineLevel="0" collapsed="false">
      <c r="A158" s="64" t="n">
        <v>46304</v>
      </c>
      <c r="B158" s="1" t="s">
        <v>27</v>
      </c>
      <c r="C158" s="1" t="s">
        <v>918</v>
      </c>
      <c r="E158" s="17"/>
      <c r="F158" s="1" t="n">
        <v>57.07</v>
      </c>
      <c r="H158" s="17" t="str">
        <f aca="false">IF(TRIM(C158)="","",IFERROR(INDEX('Code Aliases'!$B:$B,MATCH(TRIM(C158),'Code Aliases'!$A:$A,0)),TRIM(C158)))</f>
        <v>IMP005</v>
      </c>
      <c r="I158" s="17" t="str">
        <f aca="false">IF(TRIM(B158)="","",UPPER(TRIM(B158)))</f>
        <v>CPT</v>
      </c>
      <c r="J158" s="17" t="str">
        <f aca="false">IF(H158="","",IF(COUNTIF('Master Stock'!$A$5:$A$206,H158)&gt;0,"Yes","Not on stock sheet"))</f>
        <v>Yes</v>
      </c>
    </row>
    <row r="159" customFormat="false" ht="14.25" hidden="false" customHeight="true" outlineLevel="0" collapsed="false">
      <c r="A159" s="64" t="n">
        <v>46304</v>
      </c>
      <c r="B159" s="1" t="s">
        <v>27</v>
      </c>
      <c r="C159" s="1" t="s">
        <v>919</v>
      </c>
      <c r="E159" s="17"/>
      <c r="F159" s="1" t="n">
        <v>3.98</v>
      </c>
      <c r="H159" s="17" t="str">
        <f aca="false">IF(TRIM(C159)="","",IFERROR(INDEX('Code Aliases'!$B:$B,MATCH(TRIM(C159),'Code Aliases'!$A:$A,0)),TRIM(C159)))</f>
        <v>MET001</v>
      </c>
      <c r="I159" s="17" t="str">
        <f aca="false">IF(TRIM(B159)="","",UPPER(TRIM(B159)))</f>
        <v>CPT</v>
      </c>
      <c r="J159" s="17" t="str">
        <f aca="false">IF(H159="","",IF(COUNTIF('Master Stock'!$A$5:$A$206,H159)&gt;0,"Yes","Not on stock sheet"))</f>
        <v>Yes</v>
      </c>
    </row>
    <row r="160" customFormat="false" ht="14.25" hidden="false" customHeight="true" outlineLevel="0" collapsed="false">
      <c r="A160" s="64" t="n">
        <v>46304</v>
      </c>
      <c r="B160" s="1" t="s">
        <v>27</v>
      </c>
      <c r="C160" s="1" t="s">
        <v>788</v>
      </c>
      <c r="E160" s="17"/>
      <c r="F160" s="1" t="n">
        <v>4.7</v>
      </c>
      <c r="H160" s="17" t="str">
        <f aca="false">IF(TRIM(C160)="","",IFERROR(INDEX('Code Aliases'!$B:$B,MATCH(TRIM(C160),'Code Aliases'!$A:$A,0)),TRIM(C160)))</f>
        <v>MET002</v>
      </c>
      <c r="I160" s="17" t="str">
        <f aca="false">IF(TRIM(B160)="","",UPPER(TRIM(B160)))</f>
        <v>CPT</v>
      </c>
      <c r="J160" s="17" t="str">
        <f aca="false">IF(H160="","",IF(COUNTIF('Master Stock'!$A$5:$A$206,H160)&gt;0,"Yes","Not on stock sheet"))</f>
        <v>Yes</v>
      </c>
    </row>
    <row r="161" customFormat="false" ht="14.25" hidden="false" customHeight="true" outlineLevel="0" collapsed="false">
      <c r="A161" s="64" t="n">
        <v>46304</v>
      </c>
      <c r="B161" s="1" t="s">
        <v>27</v>
      </c>
      <c r="C161" s="1" t="s">
        <v>800</v>
      </c>
      <c r="E161" s="17"/>
      <c r="F161" s="1" t="n">
        <v>9.21</v>
      </c>
      <c r="H161" s="17" t="str">
        <f aca="false">IF(TRIM(C161)="","",IFERROR(INDEX('Code Aliases'!$B:$B,MATCH(TRIM(C161),'Code Aliases'!$A:$A,0)),TRIM(C161)))</f>
        <v>MOR004</v>
      </c>
      <c r="I161" s="17" t="str">
        <f aca="false">IF(TRIM(B161)="","",UPPER(TRIM(B161)))</f>
        <v>CPT</v>
      </c>
      <c r="J161" s="17" t="str">
        <f aca="false">IF(H161="","",IF(COUNTIF('Master Stock'!$A$5:$A$206,H161)&gt;0,"Yes","Not on stock sheet"))</f>
        <v>Yes</v>
      </c>
    </row>
    <row r="162" customFormat="false" ht="14.25" hidden="false" customHeight="true" outlineLevel="0" collapsed="false">
      <c r="A162" s="64" t="n">
        <v>46304</v>
      </c>
      <c r="B162" s="1" t="s">
        <v>27</v>
      </c>
      <c r="C162" s="1" t="s">
        <v>802</v>
      </c>
      <c r="E162" s="17"/>
      <c r="F162" s="1" t="n">
        <v>54.22</v>
      </c>
      <c r="H162" s="17" t="str">
        <f aca="false">IF(TRIM(C162)="","",IFERROR(INDEX('Code Aliases'!$B:$B,MATCH(TRIM(C162),'Code Aliases'!$A:$A,0)),TRIM(C162)))</f>
        <v>MOR010</v>
      </c>
      <c r="I162" s="17" t="str">
        <f aca="false">IF(TRIM(B162)="","",UPPER(TRIM(B162)))</f>
        <v>CPT</v>
      </c>
      <c r="J162" s="17" t="str">
        <f aca="false">IF(H162="","",IF(COUNTIF('Master Stock'!$A$5:$A$206,H162)&gt;0,"Yes","Not on stock sheet"))</f>
        <v>Yes</v>
      </c>
    </row>
    <row r="163" customFormat="false" ht="14.25" hidden="false" customHeight="true" outlineLevel="0" collapsed="false">
      <c r="A163" s="64" t="n">
        <v>46304</v>
      </c>
      <c r="B163" s="1" t="s">
        <v>27</v>
      </c>
      <c r="C163" s="1" t="s">
        <v>804</v>
      </c>
      <c r="E163" s="17"/>
      <c r="F163" s="1" t="n">
        <v>71.29</v>
      </c>
      <c r="H163" s="17" t="str">
        <f aca="false">IF(TRIM(C163)="","",IFERROR(INDEX('Code Aliases'!$B:$B,MATCH(TRIM(C163),'Code Aliases'!$A:$A,0)),TRIM(C163)))</f>
        <v>ETO007</v>
      </c>
      <c r="I163" s="17" t="str">
        <f aca="false">IF(TRIM(B163)="","",UPPER(TRIM(B163)))</f>
        <v>CPT</v>
      </c>
      <c r="J163" s="17" t="str">
        <f aca="false">IF(H163="","",IF(COUNTIF('Master Stock'!$A$5:$A$206,H163)&gt;0,"Yes","Not on stock sheet"))</f>
        <v>Yes</v>
      </c>
    </row>
    <row r="164" customFormat="false" ht="14.25" hidden="false" customHeight="true" outlineLevel="0" collapsed="false">
      <c r="A164" s="64" t="n">
        <v>46304</v>
      </c>
      <c r="B164" s="1" t="s">
        <v>27</v>
      </c>
      <c r="C164" s="1" t="s">
        <v>920</v>
      </c>
      <c r="E164" s="17"/>
      <c r="F164" s="1" t="n">
        <v>4.12</v>
      </c>
      <c r="H164" s="17" t="str">
        <f aca="false">IF(TRIM(C164)="","",IFERROR(INDEX('Code Aliases'!$B:$B,MATCH(TRIM(C164),'Code Aliases'!$A:$A,0)),TRIM(C164)))</f>
        <v>NAP010</v>
      </c>
      <c r="I164" s="17" t="str">
        <f aca="false">IF(TRIM(B164)="","",UPPER(TRIM(B164)))</f>
        <v>CPT</v>
      </c>
      <c r="J164" s="17" t="str">
        <f aca="false">IF(H164="","",IF(COUNTIF('Master Stock'!$A$5:$A$206,H164)&gt;0,"Yes","Not on stock sheet"))</f>
        <v>Yes</v>
      </c>
    </row>
    <row r="165" customFormat="false" ht="14.25" hidden="false" customHeight="true" outlineLevel="0" collapsed="false">
      <c r="A165" s="64" t="n">
        <v>46304</v>
      </c>
      <c r="B165" s="1" t="s">
        <v>27</v>
      </c>
      <c r="C165" s="1" t="s">
        <v>921</v>
      </c>
      <c r="E165" s="17"/>
      <c r="F165" s="1" t="n">
        <v>3.57</v>
      </c>
      <c r="H165" s="17" t="str">
        <f aca="false">IF(TRIM(C165)="","",IFERROR(INDEX('Code Aliases'!$B:$B,MATCH(TRIM(C165),'Code Aliases'!$A:$A,0)),TRIM(C165)))</f>
        <v>NAT001</v>
      </c>
      <c r="I165" s="17" t="str">
        <f aca="false">IF(TRIM(B165)="","",UPPER(TRIM(B165)))</f>
        <v>CPT</v>
      </c>
      <c r="J165" s="17" t="str">
        <f aca="false">IF(H165="","",IF(COUNTIF('Master Stock'!$A$5:$A$206,H165)&gt;0,"Yes","Not on stock sheet"))</f>
        <v>Not on stock sheet</v>
      </c>
    </row>
    <row r="166" customFormat="false" ht="14.25" hidden="false" customHeight="true" outlineLevel="0" collapsed="false">
      <c r="A166" s="64" t="n">
        <v>46304</v>
      </c>
      <c r="B166" s="1" t="s">
        <v>27</v>
      </c>
      <c r="C166" s="1" t="s">
        <v>806</v>
      </c>
      <c r="E166" s="17"/>
      <c r="F166" s="1" t="n">
        <v>19</v>
      </c>
      <c r="H166" s="17" t="str">
        <f aca="false">IF(TRIM(C166)="","",IFERROR(INDEX('Code Aliases'!$B:$B,MATCH(TRIM(C166),'Code Aliases'!$A:$A,0)),TRIM(C166)))</f>
        <v>NAV001</v>
      </c>
      <c r="I166" s="17" t="str">
        <f aca="false">IF(TRIM(B166)="","",UPPER(TRIM(B166)))</f>
        <v>CPT</v>
      </c>
      <c r="J166" s="17" t="str">
        <f aca="false">IF(H166="","",IF(COUNTIF('Master Stock'!$A$5:$A$206,H166)&gt;0,"Yes","Not on stock sheet"))</f>
        <v>Yes</v>
      </c>
    </row>
    <row r="167" customFormat="false" ht="14.25" hidden="false" customHeight="true" outlineLevel="0" collapsed="false">
      <c r="A167" s="64" t="n">
        <v>46304</v>
      </c>
      <c r="B167" s="1" t="s">
        <v>27</v>
      </c>
      <c r="C167" s="1" t="s">
        <v>808</v>
      </c>
      <c r="E167" s="17"/>
      <c r="F167" s="1" t="n">
        <v>46.12</v>
      </c>
      <c r="H167" s="17" t="str">
        <f aca="false">IF(TRIM(C167)="","",IFERROR(INDEX('Code Aliases'!$B:$B,MATCH(TRIM(C167),'Code Aliases'!$A:$A,0)),TRIM(C167)))</f>
        <v>NAV004</v>
      </c>
      <c r="I167" s="17" t="str">
        <f aca="false">IF(TRIM(B167)="","",UPPER(TRIM(B167)))</f>
        <v>CPT</v>
      </c>
      <c r="J167" s="17" t="str">
        <f aca="false">IF(H167="","",IF(COUNTIF('Master Stock'!$A$5:$A$206,H167)&gt;0,"Yes","Not on stock sheet"))</f>
        <v>Yes</v>
      </c>
    </row>
    <row r="168" customFormat="false" ht="14.25" hidden="false" customHeight="true" outlineLevel="0" collapsed="false">
      <c r="A168" s="64" t="n">
        <v>46304</v>
      </c>
      <c r="B168" s="1" t="s">
        <v>27</v>
      </c>
      <c r="C168" s="1" t="s">
        <v>922</v>
      </c>
      <c r="E168" s="17"/>
      <c r="F168" s="1" t="n">
        <v>1</v>
      </c>
      <c r="H168" s="17" t="str">
        <f aca="false">IF(TRIM(C168)="","",IFERROR(INDEX('Code Aliases'!$B:$B,MATCH(TRIM(C168),'Code Aliases'!$A:$A,0)),TRIM(C168)))</f>
        <v>NGU018</v>
      </c>
      <c r="I168" s="17" t="str">
        <f aca="false">IF(TRIM(B168)="","",UPPER(TRIM(B168)))</f>
        <v>CPT</v>
      </c>
      <c r="J168" s="17" t="str">
        <f aca="false">IF(H168="","",IF(COUNTIF('Master Stock'!$A$5:$A$206,H168)&gt;0,"Yes","Not on stock sheet"))</f>
        <v>Not on stock sheet</v>
      </c>
    </row>
    <row r="169" customFormat="false" ht="14.25" hidden="false" customHeight="true" outlineLevel="0" collapsed="false">
      <c r="A169" s="64" t="n">
        <v>46304</v>
      </c>
      <c r="B169" s="1" t="s">
        <v>27</v>
      </c>
      <c r="C169" s="1" t="s">
        <v>923</v>
      </c>
      <c r="E169" s="17"/>
      <c r="F169" s="1" t="n">
        <v>1</v>
      </c>
      <c r="H169" s="17" t="str">
        <f aca="false">IF(TRIM(C169)="","",IFERROR(INDEX('Code Aliases'!$B:$B,MATCH(TRIM(C169),'Code Aliases'!$A:$A,0)),TRIM(C169)))</f>
        <v>NGU019</v>
      </c>
      <c r="I169" s="17" t="str">
        <f aca="false">IF(TRIM(B169)="","",UPPER(TRIM(B169)))</f>
        <v>CPT</v>
      </c>
      <c r="J169" s="17" t="str">
        <f aca="false">IF(H169="","",IF(COUNTIF('Master Stock'!$A$5:$A$206,H169)&gt;0,"Yes","Not on stock sheet"))</f>
        <v>Not on stock sheet</v>
      </c>
    </row>
    <row r="170" customFormat="false" ht="14.25" hidden="false" customHeight="true" outlineLevel="0" collapsed="false">
      <c r="A170" s="64" t="n">
        <v>46304</v>
      </c>
      <c r="B170" s="1" t="s">
        <v>27</v>
      </c>
      <c r="C170" s="1" t="s">
        <v>924</v>
      </c>
      <c r="E170" s="17"/>
      <c r="F170" s="1" t="n">
        <v>4.56</v>
      </c>
      <c r="H170" s="17" t="str">
        <f aca="false">IF(TRIM(C170)="","",IFERROR(INDEX('Code Aliases'!$B:$B,MATCH(TRIM(C170),'Code Aliases'!$A:$A,0)),TRIM(C170)))</f>
        <v>NGU023</v>
      </c>
      <c r="I170" s="17" t="str">
        <f aca="false">IF(TRIM(B170)="","",UPPER(TRIM(B170)))</f>
        <v>CPT</v>
      </c>
      <c r="J170" s="17" t="str">
        <f aca="false">IF(H170="","",IF(COUNTIF('Master Stock'!$A$5:$A$206,H170)&gt;0,"Yes","Not on stock sheet"))</f>
        <v>Not on stock sheet</v>
      </c>
    </row>
    <row r="171" customFormat="false" ht="14.25" hidden="false" customHeight="true" outlineLevel="0" collapsed="false">
      <c r="A171" s="64" t="n">
        <v>46304</v>
      </c>
      <c r="B171" s="1" t="s">
        <v>27</v>
      </c>
      <c r="C171" s="1" t="s">
        <v>925</v>
      </c>
      <c r="E171" s="17"/>
      <c r="F171" s="1" t="n">
        <v>1</v>
      </c>
      <c r="H171" s="17" t="str">
        <f aca="false">IF(TRIM(C171)="","",IFERROR(INDEX('Code Aliases'!$B:$B,MATCH(TRIM(C171),'Code Aliases'!$A:$A,0)),TRIM(C171)))</f>
        <v>NGU027</v>
      </c>
      <c r="I171" s="17" t="str">
        <f aca="false">IF(TRIM(B171)="","",UPPER(TRIM(B171)))</f>
        <v>CPT</v>
      </c>
      <c r="J171" s="17" t="str">
        <f aca="false">IF(H171="","",IF(COUNTIF('Master Stock'!$A$5:$A$206,H171)&gt;0,"Yes","Not on stock sheet"))</f>
        <v>Not on stock sheet</v>
      </c>
    </row>
    <row r="172" customFormat="false" ht="14.25" hidden="false" customHeight="true" outlineLevel="0" collapsed="false">
      <c r="A172" s="64" t="n">
        <v>46304</v>
      </c>
      <c r="B172" s="1" t="s">
        <v>27</v>
      </c>
      <c r="C172" s="1" t="s">
        <v>926</v>
      </c>
      <c r="E172" s="17"/>
      <c r="F172" s="1" t="n">
        <v>4.18</v>
      </c>
      <c r="H172" s="17" t="str">
        <f aca="false">IF(TRIM(C172)="","",IFERROR(INDEX('Code Aliases'!$B:$B,MATCH(TRIM(C172),'Code Aliases'!$A:$A,0)),TRIM(C172)))</f>
        <v>NOV005</v>
      </c>
      <c r="I172" s="17" t="str">
        <f aca="false">IF(TRIM(B172)="","",UPPER(TRIM(B172)))</f>
        <v>CPT</v>
      </c>
      <c r="J172" s="17" t="str">
        <f aca="false">IF(H172="","",IF(COUNTIF('Master Stock'!$A$5:$A$206,H172)&gt;0,"Yes","Not on stock sheet"))</f>
        <v>Yes</v>
      </c>
    </row>
    <row r="173" customFormat="false" ht="14.25" hidden="false" customHeight="true" outlineLevel="0" collapsed="false">
      <c r="A173" s="64" t="n">
        <v>46304</v>
      </c>
      <c r="B173" s="1" t="s">
        <v>27</v>
      </c>
      <c r="C173" s="1" t="s">
        <v>816</v>
      </c>
      <c r="E173" s="17"/>
      <c r="F173" s="1" t="n">
        <v>4.1</v>
      </c>
      <c r="H173" s="17" t="str">
        <f aca="false">IF(TRIM(C173)="","",IFERROR(INDEX('Code Aliases'!$B:$B,MATCH(TRIM(C173),'Code Aliases'!$A:$A,0)),TRIM(C173)))</f>
        <v>NOV006</v>
      </c>
      <c r="I173" s="17" t="str">
        <f aca="false">IF(TRIM(B173)="","",UPPER(TRIM(B173)))</f>
        <v>CPT</v>
      </c>
      <c r="J173" s="17" t="str">
        <f aca="false">IF(H173="","",IF(COUNTIF('Master Stock'!$A$5:$A$206,H173)&gt;0,"Yes","Not on stock sheet"))</f>
        <v>Yes</v>
      </c>
    </row>
    <row r="174" customFormat="false" ht="14.25" hidden="false" customHeight="true" outlineLevel="0" collapsed="false">
      <c r="A174" s="64" t="n">
        <v>46304</v>
      </c>
      <c r="B174" s="1" t="s">
        <v>27</v>
      </c>
      <c r="C174" s="1" t="s">
        <v>927</v>
      </c>
      <c r="E174" s="17"/>
      <c r="F174" s="1" t="n">
        <v>7.02</v>
      </c>
      <c r="H174" s="17" t="str">
        <f aca="false">IF(TRIM(C174)="","",IFERROR(INDEX('Code Aliases'!$B:$B,MATCH(TRIM(C174),'Code Aliases'!$A:$A,0)),TRIM(C174)))</f>
        <v>NUB007</v>
      </c>
      <c r="I174" s="17" t="str">
        <f aca="false">IF(TRIM(B174)="","",UPPER(TRIM(B174)))</f>
        <v>CPT</v>
      </c>
      <c r="J174" s="17" t="str">
        <f aca="false">IF(H174="","",IF(COUNTIF('Master Stock'!$A$5:$A$206,H174)&gt;0,"Yes","Not on stock sheet"))</f>
        <v>Yes</v>
      </c>
    </row>
    <row r="175" customFormat="false" ht="14.25" hidden="false" customHeight="true" outlineLevel="0" collapsed="false">
      <c r="A175" s="64" t="n">
        <v>46304</v>
      </c>
      <c r="B175" s="1" t="s">
        <v>27</v>
      </c>
      <c r="C175" s="1" t="s">
        <v>820</v>
      </c>
      <c r="E175" s="17"/>
      <c r="F175" s="1" t="n">
        <v>7.89</v>
      </c>
      <c r="H175" s="17" t="str">
        <f aca="false">IF(TRIM(C175)="","",IFERROR(INDEX('Code Aliases'!$B:$B,MATCH(TRIM(C175),'Code Aliases'!$A:$A,0)),TRIM(C175)))</f>
        <v>PRE001</v>
      </c>
      <c r="I175" s="17" t="str">
        <f aca="false">IF(TRIM(B175)="","",UPPER(TRIM(B175)))</f>
        <v>CPT</v>
      </c>
      <c r="J175" s="17" t="str">
        <f aca="false">IF(H175="","",IF(COUNTIF('Master Stock'!$A$5:$A$206,H175)&gt;0,"Yes","Not on stock sheet"))</f>
        <v>Yes</v>
      </c>
    </row>
    <row r="176" customFormat="false" ht="14.25" hidden="false" customHeight="true" outlineLevel="0" collapsed="false">
      <c r="A176" s="64" t="n">
        <v>46304</v>
      </c>
      <c r="B176" s="1" t="s">
        <v>27</v>
      </c>
      <c r="C176" s="1" t="s">
        <v>928</v>
      </c>
      <c r="E176" s="17"/>
      <c r="F176" s="1" t="n">
        <v>2.3</v>
      </c>
      <c r="H176" s="17" t="str">
        <f aca="false">IF(TRIM(C176)="","",IFERROR(INDEX('Code Aliases'!$B:$B,MATCH(TRIM(C176),'Code Aliases'!$A:$A,0)),TRIM(C176)))</f>
        <v>ROS002</v>
      </c>
      <c r="I176" s="17" t="str">
        <f aca="false">IF(TRIM(B176)="","",UPPER(TRIM(B176)))</f>
        <v>CPT</v>
      </c>
      <c r="J176" s="17" t="str">
        <f aca="false">IF(H176="","",IF(COUNTIF('Master Stock'!$A$5:$A$206,H176)&gt;0,"Yes","Not on stock sheet"))</f>
        <v>Yes</v>
      </c>
    </row>
    <row r="177" customFormat="false" ht="14.25" hidden="false" customHeight="true" outlineLevel="0" collapsed="false">
      <c r="A177" s="64" t="n">
        <v>46304</v>
      </c>
      <c r="B177" s="1" t="s">
        <v>27</v>
      </c>
      <c r="C177" s="1" t="s">
        <v>822</v>
      </c>
      <c r="E177" s="17"/>
      <c r="F177" s="1" t="n">
        <v>36.99</v>
      </c>
      <c r="H177" s="17" t="str">
        <f aca="false">IF(TRIM(C177)="","",IFERROR(INDEX('Code Aliases'!$B:$B,MATCH(TRIM(C177),'Code Aliases'!$A:$A,0)),TRIM(C177)))</f>
        <v>SAL007</v>
      </c>
      <c r="I177" s="17" t="str">
        <f aca="false">IF(TRIM(B177)="","",UPPER(TRIM(B177)))</f>
        <v>CPT</v>
      </c>
      <c r="J177" s="17" t="str">
        <f aca="false">IF(H177="","",IF(COUNTIF('Master Stock'!$A$5:$A$206,H177)&gt;0,"Yes","Not on stock sheet"))</f>
        <v>Yes</v>
      </c>
    </row>
    <row r="178" customFormat="false" ht="14.25" hidden="false" customHeight="true" outlineLevel="0" collapsed="false">
      <c r="A178" s="64" t="n">
        <v>46304</v>
      </c>
      <c r="B178" s="1" t="s">
        <v>27</v>
      </c>
      <c r="C178" s="1" t="s">
        <v>929</v>
      </c>
      <c r="E178" s="17"/>
      <c r="F178" s="1" t="n">
        <v>9.43</v>
      </c>
      <c r="H178" s="17" t="str">
        <f aca="false">IF(TRIM(C178)="","",IFERROR(INDEX('Code Aliases'!$B:$B,MATCH(TRIM(C178),'Code Aliases'!$A:$A,0)),TRIM(C178)))</f>
        <v>SAN006</v>
      </c>
      <c r="I178" s="17" t="str">
        <f aca="false">IF(TRIM(B178)="","",UPPER(TRIM(B178)))</f>
        <v>CPT</v>
      </c>
      <c r="J178" s="17" t="str">
        <f aca="false">IF(H178="","",IF(COUNTIF('Master Stock'!$A$5:$A$206,H178)&gt;0,"Yes","Not on stock sheet"))</f>
        <v>Yes</v>
      </c>
    </row>
    <row r="179" customFormat="false" ht="14.25" hidden="false" customHeight="true" outlineLevel="0" collapsed="false">
      <c r="A179" s="64" t="n">
        <v>46304</v>
      </c>
      <c r="B179" s="1" t="s">
        <v>27</v>
      </c>
      <c r="C179" s="1" t="s">
        <v>930</v>
      </c>
      <c r="E179" s="17"/>
      <c r="F179" s="1" t="n">
        <v>0.5</v>
      </c>
      <c r="H179" s="17" t="str">
        <f aca="false">IF(TRIM(C179)="","",IFERROR(INDEX('Code Aliases'!$B:$B,MATCH(TRIM(C179),'Code Aliases'!$A:$A,0)),TRIM(C179)))</f>
        <v>SAN010</v>
      </c>
      <c r="I179" s="17" t="str">
        <f aca="false">IF(TRIM(B179)="","",UPPER(TRIM(B179)))</f>
        <v>CPT</v>
      </c>
      <c r="J179" s="17" t="str">
        <f aca="false">IF(H179="","",IF(COUNTIF('Master Stock'!$A$5:$A$206,H179)&gt;0,"Yes","Not on stock sheet"))</f>
        <v>Yes</v>
      </c>
    </row>
    <row r="180" customFormat="false" ht="14.25" hidden="false" customHeight="true" outlineLevel="0" collapsed="false">
      <c r="A180" s="64" t="n">
        <v>46304</v>
      </c>
      <c r="B180" s="1" t="s">
        <v>27</v>
      </c>
      <c r="C180" s="1" t="s">
        <v>931</v>
      </c>
      <c r="E180" s="17"/>
      <c r="F180" s="1" t="n">
        <v>3.96</v>
      </c>
      <c r="H180" s="17" t="str">
        <f aca="false">IF(TRIM(C180)="","",IFERROR(INDEX('Code Aliases'!$B:$B,MATCH(TRIM(C180),'Code Aliases'!$A:$A,0)),TRIM(C180)))</f>
        <v>SAN002</v>
      </c>
      <c r="I180" s="17" t="str">
        <f aca="false">IF(TRIM(B180)="","",UPPER(TRIM(B180)))</f>
        <v>CPT</v>
      </c>
      <c r="J180" s="17" t="str">
        <f aca="false">IF(H180="","",IF(COUNTIF('Master Stock'!$A$5:$A$206,H180)&gt;0,"Yes","Not on stock sheet"))</f>
        <v>Yes</v>
      </c>
    </row>
    <row r="181" customFormat="false" ht="14.25" hidden="false" customHeight="true" outlineLevel="0" collapsed="false">
      <c r="A181" s="64" t="n">
        <v>46304</v>
      </c>
      <c r="B181" s="1" t="s">
        <v>27</v>
      </c>
      <c r="C181" s="1" t="s">
        <v>932</v>
      </c>
      <c r="E181" s="17"/>
      <c r="F181" s="1" t="n">
        <v>59.45</v>
      </c>
      <c r="H181" s="17" t="str">
        <f aca="false">IF(TRIM(C181)="","",IFERROR(INDEX('Code Aliases'!$B:$B,MATCH(TRIM(C181),'Code Aliases'!$A:$A,0)),TRIM(C181)))</f>
        <v>SAN019</v>
      </c>
      <c r="I181" s="17" t="str">
        <f aca="false">IF(TRIM(B181)="","",UPPER(TRIM(B181)))</f>
        <v>CPT</v>
      </c>
      <c r="J181" s="17" t="str">
        <f aca="false">IF(H181="","",IF(COUNTIF('Master Stock'!$A$5:$A$206,H181)&gt;0,"Yes","Not on stock sheet"))</f>
        <v>Yes</v>
      </c>
    </row>
    <row r="182" customFormat="false" ht="14.25" hidden="false" customHeight="true" outlineLevel="0" collapsed="false">
      <c r="A182" s="64" t="n">
        <v>46304</v>
      </c>
      <c r="B182" s="1" t="s">
        <v>27</v>
      </c>
      <c r="C182" s="1" t="s">
        <v>933</v>
      </c>
      <c r="E182" s="17"/>
      <c r="F182" s="1" t="n">
        <v>20</v>
      </c>
      <c r="H182" s="17" t="str">
        <f aca="false">IF(TRIM(C182)="","",IFERROR(INDEX('Code Aliases'!$B:$B,MATCH(TRIM(C182),'Code Aliases'!$A:$A,0)),TRIM(C182)))</f>
        <v>SHE018</v>
      </c>
      <c r="I182" s="17" t="str">
        <f aca="false">IF(TRIM(B182)="","",UPPER(TRIM(B182)))</f>
        <v>CPT</v>
      </c>
      <c r="J182" s="17" t="str">
        <f aca="false">IF(H182="","",IF(COUNTIF('Master Stock'!$A$5:$A$206,H182)&gt;0,"Yes","Not on stock sheet"))</f>
        <v>Not on stock sheet</v>
      </c>
    </row>
    <row r="183" customFormat="false" ht="14.25" hidden="false" customHeight="true" outlineLevel="0" collapsed="false">
      <c r="A183" s="64" t="n">
        <v>46304</v>
      </c>
      <c r="B183" s="1" t="s">
        <v>27</v>
      </c>
      <c r="C183" s="1" t="s">
        <v>934</v>
      </c>
      <c r="E183" s="17"/>
      <c r="F183" s="1" t="n">
        <v>0</v>
      </c>
      <c r="H183" s="17" t="str">
        <f aca="false">IF(TRIM(C183)="","",IFERROR(INDEX('Code Aliases'!$B:$B,MATCH(TRIM(C183),'Code Aliases'!$A:$A,0)),TRIM(C183)))</f>
        <v>SOR012</v>
      </c>
      <c r="I183" s="17" t="str">
        <f aca="false">IF(TRIM(B183)="","",UPPER(TRIM(B183)))</f>
        <v>CPT</v>
      </c>
      <c r="J183" s="17" t="str">
        <f aca="false">IF(H183="","",IF(COUNTIF('Master Stock'!$A$5:$A$206,H183)&gt;0,"Yes","Not on stock sheet"))</f>
        <v>Yes</v>
      </c>
    </row>
    <row r="184" customFormat="false" ht="14.25" hidden="false" customHeight="true" outlineLevel="0" collapsed="false">
      <c r="A184" s="64" t="n">
        <v>46304</v>
      </c>
      <c r="B184" s="1" t="s">
        <v>27</v>
      </c>
      <c r="C184" s="1" t="s">
        <v>935</v>
      </c>
      <c r="E184" s="17"/>
      <c r="F184" s="1" t="n">
        <v>10.31</v>
      </c>
      <c r="H184" s="17" t="str">
        <f aca="false">IF(TRIM(C184)="","",IFERROR(INDEX('Code Aliases'!$B:$B,MATCH(TRIM(C184),'Code Aliases'!$A:$A,0)),TRIM(C184)))</f>
        <v>STO002</v>
      </c>
      <c r="I184" s="17" t="str">
        <f aca="false">IF(TRIM(B184)="","",UPPER(TRIM(B184)))</f>
        <v>CPT</v>
      </c>
      <c r="J184" s="17" t="str">
        <f aca="false">IF(H184="","",IF(COUNTIF('Master Stock'!$A$5:$A$206,H184)&gt;0,"Yes","Not on stock sheet"))</f>
        <v>Not on stock sheet</v>
      </c>
    </row>
    <row r="185" customFormat="false" ht="14.25" hidden="false" customHeight="true" outlineLevel="0" collapsed="false">
      <c r="A185" s="64" t="n">
        <v>46304</v>
      </c>
      <c r="B185" s="1" t="s">
        <v>27</v>
      </c>
      <c r="C185" s="1" t="s">
        <v>936</v>
      </c>
      <c r="E185" s="17"/>
      <c r="F185" s="1" t="n">
        <v>105.83</v>
      </c>
      <c r="H185" s="17" t="str">
        <f aca="false">IF(TRIM(C185)="","",IFERROR(INDEX('Code Aliases'!$B:$B,MATCH(TRIM(C185),'Code Aliases'!$A:$A,0)),TRIM(C185)))</f>
        <v>SZ007</v>
      </c>
      <c r="I185" s="17" t="str">
        <f aca="false">IF(TRIM(B185)="","",UPPER(TRIM(B185)))</f>
        <v>CPT</v>
      </c>
      <c r="J185" s="17" t="str">
        <f aca="false">IF(H185="","",IF(COUNTIF('Master Stock'!$A$5:$A$206,H185)&gt;0,"Yes","Not on stock sheet"))</f>
        <v>Yes</v>
      </c>
    </row>
    <row r="186" customFormat="false" ht="14.25" hidden="false" customHeight="true" outlineLevel="0" collapsed="false">
      <c r="A186" s="64" t="n">
        <v>46304</v>
      </c>
      <c r="B186" s="1" t="s">
        <v>27</v>
      </c>
      <c r="C186" s="1" t="s">
        <v>937</v>
      </c>
      <c r="E186" s="17"/>
      <c r="F186" s="1" t="n">
        <v>0</v>
      </c>
      <c r="H186" s="17" t="str">
        <f aca="false">IF(TRIM(C186)="","",IFERROR(INDEX('Code Aliases'!$B:$B,MATCH(TRIM(C186),'Code Aliases'!$A:$A,0)),TRIM(C186)))</f>
        <v>TEX001</v>
      </c>
      <c r="I186" s="17" t="str">
        <f aca="false">IF(TRIM(B186)="","",UPPER(TRIM(B186)))</f>
        <v>CPT</v>
      </c>
      <c r="J186" s="17" t="str">
        <f aca="false">IF(H186="","",IF(COUNTIF('Master Stock'!$A$5:$A$206,H186)&gt;0,"Yes","Not on stock sheet"))</f>
        <v>Yes</v>
      </c>
    </row>
    <row r="187" customFormat="false" ht="14.25" hidden="false" customHeight="true" outlineLevel="0" collapsed="false">
      <c r="A187" s="64" t="n">
        <v>46304</v>
      </c>
      <c r="B187" s="1" t="s">
        <v>27</v>
      </c>
      <c r="C187" s="1" t="s">
        <v>850</v>
      </c>
      <c r="E187" s="17"/>
      <c r="F187" s="1" t="n">
        <v>30.59</v>
      </c>
      <c r="H187" s="17" t="str">
        <f aca="false">IF(TRIM(C187)="","",IFERROR(INDEX('Code Aliases'!$B:$B,MATCH(TRIM(C187),'Code Aliases'!$A:$A,0)),TRIM(C187)))</f>
        <v>TEX005</v>
      </c>
      <c r="I187" s="17" t="str">
        <f aca="false">IF(TRIM(B187)="","",UPPER(TRIM(B187)))</f>
        <v>CPT</v>
      </c>
      <c r="J187" s="17" t="str">
        <f aca="false">IF(H187="","",IF(COUNTIF('Master Stock'!$A$5:$A$206,H187)&gt;0,"Yes","Not on stock sheet"))</f>
        <v>Yes</v>
      </c>
    </row>
    <row r="188" customFormat="false" ht="14.25" hidden="false" customHeight="true" outlineLevel="0" collapsed="false">
      <c r="A188" s="64" t="n">
        <v>46304</v>
      </c>
      <c r="B188" s="1" t="s">
        <v>27</v>
      </c>
      <c r="C188" s="1" t="s">
        <v>938</v>
      </c>
      <c r="E188" s="17"/>
      <c r="F188" s="1" t="n">
        <v>14</v>
      </c>
      <c r="H188" s="17" t="str">
        <f aca="false">IF(TRIM(C188)="","",IFERROR(INDEX('Code Aliases'!$B:$B,MATCH(TRIM(C188),'Code Aliases'!$A:$A,0)),TRIM(C188)))</f>
        <v>TEX008</v>
      </c>
      <c r="I188" s="17" t="str">
        <f aca="false">IF(TRIM(B188)="","",UPPER(TRIM(B188)))</f>
        <v>CPT</v>
      </c>
      <c r="J188" s="17" t="str">
        <f aca="false">IF(H188="","",IF(COUNTIF('Master Stock'!$A$5:$A$206,H188)&gt;0,"Yes","Not on stock sheet"))</f>
        <v>Yes</v>
      </c>
    </row>
    <row r="189" customFormat="false" ht="14.25" hidden="false" customHeight="true" outlineLevel="0" collapsed="false">
      <c r="A189" s="64" t="n">
        <v>46304</v>
      </c>
      <c r="B189" s="1" t="s">
        <v>27</v>
      </c>
      <c r="C189" s="1" t="s">
        <v>939</v>
      </c>
      <c r="E189" s="17"/>
      <c r="F189" s="1" t="n">
        <v>19.55</v>
      </c>
      <c r="H189" s="17" t="str">
        <f aca="false">IF(TRIM(C189)="","",IFERROR(INDEX('Code Aliases'!$B:$B,MATCH(TRIM(C189),'Code Aliases'!$A:$A,0)),TRIM(C189)))</f>
        <v>TEX012</v>
      </c>
      <c r="I189" s="17" t="str">
        <f aca="false">IF(TRIM(B189)="","",UPPER(TRIM(B189)))</f>
        <v>CPT</v>
      </c>
      <c r="J189" s="17" t="str">
        <f aca="false">IF(H189="","",IF(COUNTIF('Master Stock'!$A$5:$A$206,H189)&gt;0,"Yes","Not on stock sheet"))</f>
        <v>Yes</v>
      </c>
    </row>
    <row r="190" customFormat="false" ht="14.25" hidden="false" customHeight="true" outlineLevel="0" collapsed="false">
      <c r="A190" s="64" t="n">
        <v>46304</v>
      </c>
      <c r="B190" s="1" t="s">
        <v>27</v>
      </c>
      <c r="C190" s="1" t="s">
        <v>854</v>
      </c>
      <c r="E190" s="17"/>
      <c r="F190" s="1" t="n">
        <v>7.88</v>
      </c>
      <c r="H190" s="17" t="str">
        <f aca="false">IF(TRIM(C190)="","",IFERROR(INDEX('Code Aliases'!$B:$B,MATCH(TRIM(C190),'Code Aliases'!$A:$A,0)),TRIM(C190)))</f>
        <v>TEX016</v>
      </c>
      <c r="I190" s="17" t="str">
        <f aca="false">IF(TRIM(B190)="","",UPPER(TRIM(B190)))</f>
        <v>CPT</v>
      </c>
      <c r="J190" s="17" t="str">
        <f aca="false">IF(H190="","",IF(COUNTIF('Master Stock'!$A$5:$A$206,H190)&gt;0,"Yes","Not on stock sheet"))</f>
        <v>Yes</v>
      </c>
    </row>
    <row r="191" customFormat="false" ht="14.25" hidden="false" customHeight="true" outlineLevel="0" collapsed="false">
      <c r="A191" s="64" t="n">
        <v>46304</v>
      </c>
      <c r="B191" s="1" t="s">
        <v>27</v>
      </c>
      <c r="C191" s="1" t="s">
        <v>940</v>
      </c>
      <c r="E191" s="17"/>
      <c r="F191" s="1" t="n">
        <v>51.15</v>
      </c>
      <c r="H191" s="17" t="str">
        <f aca="false">IF(TRIM(C191)="","",IFERROR(INDEX('Code Aliases'!$B:$B,MATCH(TRIM(C191),'Code Aliases'!$A:$A,0)),TRIM(C191)))</f>
        <v>TEX018</v>
      </c>
      <c r="I191" s="17" t="str">
        <f aca="false">IF(TRIM(B191)="","",UPPER(TRIM(B191)))</f>
        <v>CPT</v>
      </c>
      <c r="J191" s="17" t="str">
        <f aca="false">IF(H191="","",IF(COUNTIF('Master Stock'!$A$5:$A$206,H191)&gt;0,"Yes","Not on stock sheet"))</f>
        <v>Yes</v>
      </c>
    </row>
    <row r="192" customFormat="false" ht="14.25" hidden="false" customHeight="true" outlineLevel="0" collapsed="false">
      <c r="A192" s="64" t="n">
        <v>46304</v>
      </c>
      <c r="B192" s="1" t="s">
        <v>27</v>
      </c>
      <c r="C192" s="1" t="s">
        <v>856</v>
      </c>
      <c r="E192" s="17"/>
      <c r="F192" s="1" t="n">
        <v>18.21</v>
      </c>
      <c r="H192" s="17" t="str">
        <f aca="false">IF(TRIM(C192)="","",IFERROR(INDEX('Code Aliases'!$B:$B,MATCH(TRIM(C192),'Code Aliases'!$A:$A,0)),TRIM(C192)))</f>
        <v>TEX020</v>
      </c>
      <c r="I192" s="17" t="str">
        <f aca="false">IF(TRIM(B192)="","",UPPER(TRIM(B192)))</f>
        <v>CPT</v>
      </c>
      <c r="J192" s="17" t="str">
        <f aca="false">IF(H192="","",IF(COUNTIF('Master Stock'!$A$5:$A$206,H192)&gt;0,"Yes","Not on stock sheet"))</f>
        <v>Yes</v>
      </c>
    </row>
    <row r="193" customFormat="false" ht="14.25" hidden="false" customHeight="true" outlineLevel="0" collapsed="false">
      <c r="A193" s="64" t="n">
        <v>46304</v>
      </c>
      <c r="B193" s="1" t="s">
        <v>27</v>
      </c>
      <c r="C193" s="1" t="s">
        <v>860</v>
      </c>
      <c r="E193" s="17"/>
      <c r="F193" s="1" t="n">
        <v>39.08</v>
      </c>
      <c r="H193" s="17" t="str">
        <f aca="false">IF(TRIM(C193)="","",IFERROR(INDEX('Code Aliases'!$B:$B,MATCH(TRIM(C193),'Code Aliases'!$A:$A,0)),TRIM(C193)))</f>
        <v>TEX022</v>
      </c>
      <c r="I193" s="17" t="str">
        <f aca="false">IF(TRIM(B193)="","",UPPER(TRIM(B193)))</f>
        <v>CPT</v>
      </c>
      <c r="J193" s="17" t="str">
        <f aca="false">IF(H193="","",IF(COUNTIF('Master Stock'!$A$5:$A$206,H193)&gt;0,"Yes","Not on stock sheet"))</f>
        <v>Yes</v>
      </c>
    </row>
    <row r="194" customFormat="false" ht="14.25" hidden="false" customHeight="true" outlineLevel="0" collapsed="false">
      <c r="A194" s="64" t="n">
        <v>46304</v>
      </c>
      <c r="B194" s="1" t="s">
        <v>27</v>
      </c>
      <c r="C194" s="1" t="s">
        <v>862</v>
      </c>
      <c r="E194" s="17"/>
      <c r="F194" s="1" t="n">
        <v>4</v>
      </c>
      <c r="H194" s="17" t="str">
        <f aca="false">IF(TRIM(C194)="","",IFERROR(INDEX('Code Aliases'!$B:$B,MATCH(TRIM(C194),'Code Aliases'!$A:$A,0)),TRIM(C194)))</f>
        <v>TEX027</v>
      </c>
      <c r="I194" s="17" t="str">
        <f aca="false">IF(TRIM(B194)="","",UPPER(TRIM(B194)))</f>
        <v>CPT</v>
      </c>
      <c r="J194" s="17" t="str">
        <f aca="false">IF(H194="","",IF(COUNTIF('Master Stock'!$A$5:$A$206,H194)&gt;0,"Yes","Not on stock sheet"))</f>
        <v>Yes</v>
      </c>
    </row>
    <row r="195" customFormat="false" ht="14.25" hidden="false" customHeight="true" outlineLevel="0" collapsed="false">
      <c r="A195" s="64" t="n">
        <v>46304</v>
      </c>
      <c r="B195" s="1" t="s">
        <v>27</v>
      </c>
      <c r="C195" s="1" t="s">
        <v>941</v>
      </c>
      <c r="E195" s="17"/>
      <c r="F195" s="1" t="n">
        <v>4.01</v>
      </c>
      <c r="H195" s="17" t="str">
        <f aca="false">IF(TRIM(C195)="","",IFERROR(INDEX('Code Aliases'!$B:$B,MATCH(TRIM(C195),'Code Aliases'!$A:$A,0)),TRIM(C195)))</f>
        <v>TEX028</v>
      </c>
      <c r="I195" s="17" t="str">
        <f aca="false">IF(TRIM(B195)="","",UPPER(TRIM(B195)))</f>
        <v>CPT</v>
      </c>
      <c r="J195" s="17" t="str">
        <f aca="false">IF(H195="","",IF(COUNTIF('Master Stock'!$A$5:$A$206,H195)&gt;0,"Yes","Not on stock sheet"))</f>
        <v>Yes</v>
      </c>
    </row>
    <row r="196" customFormat="false" ht="14.25" hidden="false" customHeight="true" outlineLevel="0" collapsed="false">
      <c r="A196" s="64" t="n">
        <v>46304</v>
      </c>
      <c r="B196" s="1" t="s">
        <v>27</v>
      </c>
      <c r="C196" s="1" t="s">
        <v>864</v>
      </c>
      <c r="E196" s="17"/>
      <c r="F196" s="1" t="n">
        <v>2.51</v>
      </c>
      <c r="H196" s="17" t="str">
        <f aca="false">IF(TRIM(C196)="","",IFERROR(INDEX('Code Aliases'!$B:$B,MATCH(TRIM(C196),'Code Aliases'!$A:$A,0)),TRIM(C196)))</f>
        <v>TEX029</v>
      </c>
      <c r="I196" s="17" t="str">
        <f aca="false">IF(TRIM(B196)="","",UPPER(TRIM(B196)))</f>
        <v>CPT</v>
      </c>
      <c r="J196" s="17" t="str">
        <f aca="false">IF(H196="","",IF(COUNTIF('Master Stock'!$A$5:$A$206,H196)&gt;0,"Yes","Not on stock sheet"))</f>
        <v>Yes</v>
      </c>
    </row>
    <row r="197" customFormat="false" ht="14.25" hidden="false" customHeight="true" outlineLevel="0" collapsed="false">
      <c r="A197" s="64" t="n">
        <v>46304</v>
      </c>
      <c r="B197" s="1" t="s">
        <v>27</v>
      </c>
      <c r="C197" s="1" t="s">
        <v>866</v>
      </c>
      <c r="E197" s="17"/>
      <c r="F197" s="1" t="n">
        <v>2.39</v>
      </c>
      <c r="H197" s="17" t="str">
        <f aca="false">IF(TRIM(C197)="","",IFERROR(INDEX('Code Aliases'!$B:$B,MATCH(TRIM(C197),'Code Aliases'!$A:$A,0)),TRIM(C197)))</f>
        <v>TEX031</v>
      </c>
      <c r="I197" s="17" t="str">
        <f aca="false">IF(TRIM(B197)="","",UPPER(TRIM(B197)))</f>
        <v>CPT</v>
      </c>
      <c r="J197" s="17" t="str">
        <f aca="false">IF(H197="","",IF(COUNTIF('Master Stock'!$A$5:$A$206,H197)&gt;0,"Yes","Not on stock sheet"))</f>
        <v>Yes</v>
      </c>
    </row>
    <row r="198" customFormat="false" ht="14.25" hidden="false" customHeight="true" outlineLevel="0" collapsed="false">
      <c r="A198" s="64" t="n">
        <v>46304</v>
      </c>
      <c r="B198" s="1" t="s">
        <v>27</v>
      </c>
      <c r="C198" s="1" t="s">
        <v>868</v>
      </c>
      <c r="E198" s="17"/>
      <c r="F198" s="1" t="n">
        <v>10.78</v>
      </c>
      <c r="H198" s="17" t="str">
        <f aca="false">IF(TRIM(C198)="","",IFERROR(INDEX('Code Aliases'!$B:$B,MATCH(TRIM(C198),'Code Aliases'!$A:$A,0)),TRIM(C198)))</f>
        <v>TEX032</v>
      </c>
      <c r="I198" s="17" t="str">
        <f aca="false">IF(TRIM(B198)="","",UPPER(TRIM(B198)))</f>
        <v>CPT</v>
      </c>
      <c r="J198" s="17" t="str">
        <f aca="false">IF(H198="","",IF(COUNTIF('Master Stock'!$A$5:$A$206,H198)&gt;0,"Yes","Not on stock sheet"))</f>
        <v>Yes</v>
      </c>
    </row>
    <row r="199" customFormat="false" ht="14.25" hidden="false" customHeight="true" outlineLevel="0" collapsed="false">
      <c r="A199" s="64" t="n">
        <v>46304</v>
      </c>
      <c r="B199" s="1" t="s">
        <v>27</v>
      </c>
      <c r="C199" s="1" t="s">
        <v>942</v>
      </c>
      <c r="E199" s="17"/>
      <c r="F199" s="1" t="n">
        <v>1</v>
      </c>
      <c r="H199" s="17" t="str">
        <f aca="false">IF(TRIM(C199)="","",IFERROR(INDEX('Code Aliases'!$B:$B,MATCH(TRIM(C199),'Code Aliases'!$A:$A,0)),TRIM(C199)))</f>
        <v>TRA002</v>
      </c>
      <c r="I199" s="17" t="str">
        <f aca="false">IF(TRIM(B199)="","",UPPER(TRIM(B199)))</f>
        <v>CPT</v>
      </c>
      <c r="J199" s="17" t="str">
        <f aca="false">IF(H199="","",IF(COUNTIF('Master Stock'!$A$5:$A$206,H199)&gt;0,"Yes","Not on stock sheet"))</f>
        <v>Not on stock sheet</v>
      </c>
    </row>
    <row r="200" customFormat="false" ht="14.25" hidden="false" customHeight="true" outlineLevel="0" collapsed="false">
      <c r="A200" s="64" t="n">
        <v>46304</v>
      </c>
      <c r="B200" s="1" t="s">
        <v>27</v>
      </c>
      <c r="C200" s="1" t="s">
        <v>943</v>
      </c>
      <c r="E200" s="17"/>
      <c r="F200" s="1" t="n">
        <v>13</v>
      </c>
      <c r="H200" s="17" t="str">
        <f aca="false">IF(TRIM(C200)="","",IFERROR(INDEX('Code Aliases'!$B:$B,MATCH(TRIM(C200),'Code Aliases'!$A:$A,0)),TRIM(C200)))</f>
        <v>TRA005</v>
      </c>
      <c r="I200" s="17" t="str">
        <f aca="false">IF(TRIM(B200)="","",UPPER(TRIM(B200)))</f>
        <v>CPT</v>
      </c>
      <c r="J200" s="17" t="str">
        <f aca="false">IF(H200="","",IF(COUNTIF('Master Stock'!$A$5:$A$206,H200)&gt;0,"Yes","Not on stock sheet"))</f>
        <v>Not on stock sheet</v>
      </c>
    </row>
    <row r="201" customFormat="false" ht="14.25" hidden="false" customHeight="true" outlineLevel="0" collapsed="false">
      <c r="A201" s="64" t="n">
        <v>46304</v>
      </c>
      <c r="B201" s="1" t="s">
        <v>27</v>
      </c>
      <c r="C201" s="1" t="s">
        <v>944</v>
      </c>
      <c r="E201" s="17"/>
      <c r="F201" s="1" t="n">
        <v>2</v>
      </c>
      <c r="H201" s="17" t="str">
        <f aca="false">IF(TRIM(C201)="","",IFERROR(INDEX('Code Aliases'!$B:$B,MATCH(TRIM(C201),'Code Aliases'!$A:$A,0)),TRIM(C201)))</f>
        <v>TRA008</v>
      </c>
      <c r="I201" s="17" t="str">
        <f aca="false">IF(TRIM(B201)="","",UPPER(TRIM(B201)))</f>
        <v>CPT</v>
      </c>
      <c r="J201" s="17" t="str">
        <f aca="false">IF(H201="","",IF(COUNTIF('Master Stock'!$A$5:$A$206,H201)&gt;0,"Yes","Not on stock sheet"))</f>
        <v>Not on stock sheet</v>
      </c>
    </row>
    <row r="202" customFormat="false" ht="14.25" hidden="false" customHeight="true" outlineLevel="0" collapsed="false">
      <c r="A202" s="64" t="n">
        <v>46304</v>
      </c>
      <c r="B202" s="1" t="s">
        <v>27</v>
      </c>
      <c r="C202" s="1" t="s">
        <v>945</v>
      </c>
      <c r="E202" s="17"/>
      <c r="F202" s="1" t="n">
        <v>10</v>
      </c>
      <c r="H202" s="17" t="str">
        <f aca="false">IF(TRIM(C202)="","",IFERROR(INDEX('Code Aliases'!$B:$B,MATCH(TRIM(C202),'Code Aliases'!$A:$A,0)),TRIM(C202)))</f>
        <v>TRA013</v>
      </c>
      <c r="I202" s="17" t="str">
        <f aca="false">IF(TRIM(B202)="","",UPPER(TRIM(B202)))</f>
        <v>CPT</v>
      </c>
      <c r="J202" s="17" t="str">
        <f aca="false">IF(H202="","",IF(COUNTIF('Master Stock'!$A$5:$A$206,H202)&gt;0,"Yes","Not on stock sheet"))</f>
        <v>Not on stock sheet</v>
      </c>
    </row>
    <row r="203" customFormat="false" ht="14.25" hidden="false" customHeight="true" outlineLevel="0" collapsed="false">
      <c r="A203" s="64" t="n">
        <v>46304</v>
      </c>
      <c r="B203" s="1" t="s">
        <v>27</v>
      </c>
      <c r="C203" s="1" t="s">
        <v>946</v>
      </c>
      <c r="E203" s="17"/>
      <c r="F203" s="1" t="n">
        <v>23.56</v>
      </c>
      <c r="H203" s="17" t="str">
        <f aca="false">IF(TRIM(C203)="","",IFERROR(INDEX('Code Aliases'!$B:$B,MATCH(TRIM(C203),'Code Aliases'!$A:$A,0)),TRIM(C203)))</f>
        <v>TUS002</v>
      </c>
      <c r="I203" s="17" t="str">
        <f aca="false">IF(TRIM(B203)="","",UPPER(TRIM(B203)))</f>
        <v>CPT</v>
      </c>
      <c r="J203" s="17" t="str">
        <f aca="false">IF(H203="","",IF(COUNTIF('Master Stock'!$A$5:$A$206,H203)&gt;0,"Yes","Not on stock sheet"))</f>
        <v>Yes</v>
      </c>
    </row>
    <row r="204" customFormat="false" ht="14.25" hidden="false" customHeight="true" outlineLevel="0" collapsed="false">
      <c r="A204" s="64" t="n">
        <v>46304</v>
      </c>
      <c r="B204" s="1" t="s">
        <v>27</v>
      </c>
      <c r="C204" s="1" t="s">
        <v>872</v>
      </c>
      <c r="E204" s="17"/>
      <c r="F204" s="1" t="n">
        <v>53.73</v>
      </c>
      <c r="H204" s="17" t="str">
        <f aca="false">IF(TRIM(C204)="","",IFERROR(INDEX('Code Aliases'!$B:$B,MATCH(TRIM(C204),'Code Aliases'!$A:$A,0)),TRIM(C204)))</f>
        <v>TUS003</v>
      </c>
      <c r="I204" s="17" t="str">
        <f aca="false">IF(TRIM(B204)="","",UPPER(TRIM(B204)))</f>
        <v>CPT</v>
      </c>
      <c r="J204" s="17" t="str">
        <f aca="false">IF(H204="","",IF(COUNTIF('Master Stock'!$A$5:$A$206,H204)&gt;0,"Yes","Not on stock sheet"))</f>
        <v>Yes</v>
      </c>
    </row>
    <row r="205" customFormat="false" ht="14.25" hidden="false" customHeight="true" outlineLevel="0" collapsed="false">
      <c r="A205" s="64" t="n">
        <v>46304</v>
      </c>
      <c r="B205" s="1" t="s">
        <v>27</v>
      </c>
      <c r="C205" s="1" t="s">
        <v>874</v>
      </c>
      <c r="E205" s="17"/>
      <c r="F205" s="1" t="n">
        <v>105.3</v>
      </c>
      <c r="H205" s="17" t="str">
        <f aca="false">IF(TRIM(C205)="","",IFERROR(INDEX('Code Aliases'!$B:$B,MATCH(TRIM(C205),'Code Aliases'!$A:$A,0)),TRIM(C205)))</f>
        <v>TUS004</v>
      </c>
      <c r="I205" s="17" t="str">
        <f aca="false">IF(TRIM(B205)="","",UPPER(TRIM(B205)))</f>
        <v>CPT</v>
      </c>
      <c r="J205" s="17" t="str">
        <f aca="false">IF(H205="","",IF(COUNTIF('Master Stock'!$A$5:$A$206,H205)&gt;0,"Yes","Not on stock sheet"))</f>
        <v>Yes</v>
      </c>
    </row>
    <row r="206" customFormat="false" ht="14.25" hidden="false" customHeight="true" outlineLevel="0" collapsed="false">
      <c r="A206" s="64" t="n">
        <v>46304</v>
      </c>
      <c r="B206" s="1" t="s">
        <v>27</v>
      </c>
      <c r="C206" s="1" t="s">
        <v>876</v>
      </c>
      <c r="E206" s="17"/>
      <c r="F206" s="1" t="n">
        <v>7.91</v>
      </c>
      <c r="H206" s="17" t="str">
        <f aca="false">IF(TRIM(C206)="","",IFERROR(INDEX('Code Aliases'!$B:$B,MATCH(TRIM(C206),'Code Aliases'!$A:$A,0)),TRIM(C206)))</f>
        <v>TUS006</v>
      </c>
      <c r="I206" s="17" t="str">
        <f aca="false">IF(TRIM(B206)="","",UPPER(TRIM(B206)))</f>
        <v>CPT</v>
      </c>
      <c r="J206" s="17" t="str">
        <f aca="false">IF(H206="","",IF(COUNTIF('Master Stock'!$A$5:$A$206,H206)&gt;0,"Yes","Not on stock sheet"))</f>
        <v>Yes</v>
      </c>
    </row>
    <row r="207" customFormat="false" ht="14.25" hidden="false" customHeight="true" outlineLevel="0" collapsed="false">
      <c r="A207" s="64" t="n">
        <v>46304</v>
      </c>
      <c r="B207" s="1" t="s">
        <v>27</v>
      </c>
      <c r="C207" s="1" t="s">
        <v>878</v>
      </c>
      <c r="E207" s="17"/>
      <c r="F207" s="1" t="n">
        <v>61.5</v>
      </c>
      <c r="H207" s="17" t="str">
        <f aca="false">IF(TRIM(C207)="","",IFERROR(INDEX('Code Aliases'!$B:$B,MATCH(TRIM(C207),'Code Aliases'!$A:$A,0)),TRIM(C207)))</f>
        <v>TUS007</v>
      </c>
      <c r="I207" s="17" t="str">
        <f aca="false">IF(TRIM(B207)="","",UPPER(TRIM(B207)))</f>
        <v>CPT</v>
      </c>
      <c r="J207" s="17" t="str">
        <f aca="false">IF(H207="","",IF(COUNTIF('Master Stock'!$A$5:$A$206,H207)&gt;0,"Yes","Not on stock sheet"))</f>
        <v>Yes</v>
      </c>
    </row>
    <row r="208" customFormat="false" ht="14.25" hidden="false" customHeight="true" outlineLevel="0" collapsed="false">
      <c r="A208" s="64" t="n">
        <v>46304</v>
      </c>
      <c r="B208" s="1" t="s">
        <v>27</v>
      </c>
      <c r="C208" s="1" t="s">
        <v>880</v>
      </c>
      <c r="E208" s="17"/>
      <c r="F208" s="1" t="n">
        <v>7.77</v>
      </c>
      <c r="H208" s="17" t="str">
        <f aca="false">IF(TRIM(C208)="","",IFERROR(INDEX('Code Aliases'!$B:$B,MATCH(TRIM(C208),'Code Aliases'!$A:$A,0)),TRIM(C208)))</f>
        <v>TUS009</v>
      </c>
      <c r="I208" s="17" t="str">
        <f aca="false">IF(TRIM(B208)="","",UPPER(TRIM(B208)))</f>
        <v>CPT</v>
      </c>
      <c r="J208" s="17" t="str">
        <f aca="false">IF(H208="","",IF(COUNTIF('Master Stock'!$A$5:$A$206,H208)&gt;0,"Yes","Not on stock sheet"))</f>
        <v>Yes</v>
      </c>
    </row>
    <row r="209" customFormat="false" ht="14.25" hidden="false" customHeight="true" outlineLevel="0" collapsed="false">
      <c r="A209" s="64" t="n">
        <v>46304</v>
      </c>
      <c r="B209" s="1" t="s">
        <v>27</v>
      </c>
      <c r="C209" s="1" t="s">
        <v>882</v>
      </c>
      <c r="E209" s="17"/>
      <c r="F209" s="1" t="n">
        <v>29.25</v>
      </c>
      <c r="H209" s="17" t="str">
        <f aca="false">IF(TRIM(C209)="","",IFERROR(INDEX('Code Aliases'!$B:$B,MATCH(TRIM(C209),'Code Aliases'!$A:$A,0)),TRIM(C209)))</f>
        <v>URB010</v>
      </c>
      <c r="I209" s="17" t="str">
        <f aca="false">IF(TRIM(B209)="","",UPPER(TRIM(B209)))</f>
        <v>CPT</v>
      </c>
      <c r="J209" s="17" t="str">
        <f aca="false">IF(H209="","",IF(COUNTIF('Master Stock'!$A$5:$A$206,H209)&gt;0,"Yes","Not on stock sheet"))</f>
        <v>Yes</v>
      </c>
    </row>
    <row r="210" customFormat="false" ht="14.25" hidden="false" customHeight="true" outlineLevel="0" collapsed="false">
      <c r="A210" s="64" t="n">
        <v>46304</v>
      </c>
      <c r="B210" s="1" t="s">
        <v>27</v>
      </c>
      <c r="C210" s="1" t="s">
        <v>884</v>
      </c>
      <c r="E210" s="17"/>
      <c r="F210" s="1" t="n">
        <v>3.99</v>
      </c>
      <c r="H210" s="17" t="str">
        <f aca="false">IF(TRIM(C210)="","",IFERROR(INDEX('Code Aliases'!$B:$B,MATCH(TRIM(C210),'Code Aliases'!$A:$A,0)),TRIM(C210)))</f>
        <v>VEG006</v>
      </c>
      <c r="I210" s="17" t="str">
        <f aca="false">IF(TRIM(B210)="","",UPPER(TRIM(B210)))</f>
        <v>CPT</v>
      </c>
      <c r="J210" s="17" t="str">
        <f aca="false">IF(H210="","",IF(COUNTIF('Master Stock'!$A$5:$A$206,H210)&gt;0,"Yes","Not on stock sheet"))</f>
        <v>Yes</v>
      </c>
    </row>
    <row r="211" customFormat="false" ht="14.25" hidden="false" customHeight="true" outlineLevel="0" collapsed="false">
      <c r="A211" s="64" t="n">
        <v>46304</v>
      </c>
      <c r="B211" s="1" t="s">
        <v>27</v>
      </c>
      <c r="C211" s="1" t="s">
        <v>890</v>
      </c>
      <c r="E211" s="17"/>
      <c r="F211" s="1" t="n">
        <v>4.71</v>
      </c>
      <c r="H211" s="17" t="str">
        <f aca="false">IF(TRIM(C211)="","",IFERROR(INDEX('Code Aliases'!$B:$B,MATCH(TRIM(C211),'Code Aliases'!$A:$A,0)),TRIM(C211)))</f>
        <v>VIN001</v>
      </c>
      <c r="I211" s="17" t="str">
        <f aca="false">IF(TRIM(B211)="","",UPPER(TRIM(B211)))</f>
        <v>CPT</v>
      </c>
      <c r="J211" s="17" t="str">
        <f aca="false">IF(H211="","",IF(COUNTIF('Master Stock'!$A$5:$A$206,H211)&gt;0,"Yes","Not on stock sheet"))</f>
        <v>Yes</v>
      </c>
    </row>
    <row r="212" customFormat="false" ht="14.25" hidden="false" customHeight="true" outlineLevel="0" collapsed="false">
      <c r="A212" s="64" t="n">
        <v>46304</v>
      </c>
      <c r="B212" s="1" t="s">
        <v>27</v>
      </c>
      <c r="C212" s="1" t="s">
        <v>892</v>
      </c>
      <c r="E212" s="17"/>
      <c r="F212" s="1" t="n">
        <v>12.93</v>
      </c>
      <c r="H212" s="17" t="str">
        <f aca="false">IF(TRIM(C212)="","",IFERROR(INDEX('Code Aliases'!$B:$B,MATCH(TRIM(C212),'Code Aliases'!$A:$A,0)),TRIM(C212)))</f>
        <v>VIN003</v>
      </c>
      <c r="I212" s="17" t="str">
        <f aca="false">IF(TRIM(B212)="","",UPPER(TRIM(B212)))</f>
        <v>CPT</v>
      </c>
      <c r="J212" s="17" t="str">
        <f aca="false">IF(H212="","",IF(COUNTIF('Master Stock'!$A$5:$A$206,H212)&gt;0,"Yes","Not on stock sheet"))</f>
        <v>Yes</v>
      </c>
    </row>
    <row r="213" customFormat="false" ht="14.25" hidden="false" customHeight="true" outlineLevel="0" collapsed="false">
      <c r="E213" s="17"/>
      <c r="H213" s="17" t="str">
        <f aca="false">IF(TRIM(C213)="","",IFERROR(INDEX('Code Aliases'!$B:$B,MATCH(TRIM(C213),'Code Aliases'!$A:$A,0)),TRIM(C213)))</f>
        <v/>
      </c>
      <c r="I213" s="17" t="str">
        <f aca="false">IF(TRIM(B213)="","",UPPER(TRIM(B213)))</f>
        <v/>
      </c>
      <c r="J213" s="17" t="str">
        <f aca="false">IF(H213="","",IF(COUNTIF('Master Stock'!$A$5:$A$206,H213)&gt;0,"Yes","Not on stock sheet"))</f>
        <v/>
      </c>
    </row>
    <row r="214" customFormat="false" ht="14.25" hidden="false" customHeight="true" outlineLevel="0" collapsed="false">
      <c r="E214" s="17"/>
      <c r="H214" s="17" t="str">
        <f aca="false">IF(TRIM(C214)="","",IFERROR(INDEX('Code Aliases'!$B:$B,MATCH(TRIM(C214),'Code Aliases'!$A:$A,0)),TRIM(C214)))</f>
        <v/>
      </c>
      <c r="I214" s="17" t="str">
        <f aca="false">IF(TRIM(B214)="","",UPPER(TRIM(B214)))</f>
        <v/>
      </c>
      <c r="J214" s="17" t="str">
        <f aca="false">IF(H214="","",IF(COUNTIF('Master Stock'!$A$5:$A$206,H214)&gt;0,"Yes","Not on stock sheet"))</f>
        <v/>
      </c>
    </row>
    <row r="215" customFormat="false" ht="14.25" hidden="false" customHeight="true" outlineLevel="0" collapsed="false">
      <c r="E215" s="17"/>
      <c r="H215" s="17" t="str">
        <f aca="false">IF(TRIM(C215)="","",IFERROR(INDEX('Code Aliases'!$B:$B,MATCH(TRIM(C215),'Code Aliases'!$A:$A,0)),TRIM(C215)))</f>
        <v/>
      </c>
      <c r="I215" s="17" t="str">
        <f aca="false">IF(TRIM(B215)="","",UPPER(TRIM(B215)))</f>
        <v/>
      </c>
      <c r="J215" s="17" t="str">
        <f aca="false">IF(H215="","",IF(COUNTIF('Master Stock'!$A$5:$A$206,H215)&gt;0,"Yes","Not on stock sheet"))</f>
        <v/>
      </c>
    </row>
    <row r="216" customFormat="false" ht="14.25" hidden="false" customHeight="true" outlineLevel="0" collapsed="false">
      <c r="E216" s="17"/>
      <c r="H216" s="17" t="str">
        <f aca="false">IF(TRIM(C216)="","",IFERROR(INDEX('Code Aliases'!$B:$B,MATCH(TRIM(C216),'Code Aliases'!$A:$A,0)),TRIM(C216)))</f>
        <v/>
      </c>
      <c r="I216" s="17" t="str">
        <f aca="false">IF(TRIM(B216)="","",UPPER(TRIM(B216)))</f>
        <v/>
      </c>
      <c r="J216" s="17" t="str">
        <f aca="false">IF(H216="","",IF(COUNTIF('Master Stock'!$A$5:$A$206,H216)&gt;0,"Yes","Not on stock sheet"))</f>
        <v/>
      </c>
    </row>
    <row r="217" customFormat="false" ht="14.25" hidden="false" customHeight="true" outlineLevel="0" collapsed="false">
      <c r="E217" s="17"/>
      <c r="H217" s="17" t="str">
        <f aca="false">IF(TRIM(C217)="","",IFERROR(INDEX('Code Aliases'!$B:$B,MATCH(TRIM(C217),'Code Aliases'!$A:$A,0)),TRIM(C217)))</f>
        <v/>
      </c>
      <c r="I217" s="17" t="str">
        <f aca="false">IF(TRIM(B217)="","",UPPER(TRIM(B217)))</f>
        <v/>
      </c>
      <c r="J217" s="17" t="str">
        <f aca="false">IF(H217="","",IF(COUNTIF('Master Stock'!$A$5:$A$206,H217)&gt;0,"Yes","Not on stock sheet"))</f>
        <v/>
      </c>
    </row>
    <row r="218" customFormat="false" ht="14.25" hidden="false" customHeight="true" outlineLevel="0" collapsed="false">
      <c r="E218" s="17"/>
      <c r="H218" s="17" t="str">
        <f aca="false">IF(TRIM(C218)="","",IFERROR(INDEX('Code Aliases'!$B:$B,MATCH(TRIM(C218),'Code Aliases'!$A:$A,0)),TRIM(C218)))</f>
        <v/>
      </c>
      <c r="I218" s="17" t="str">
        <f aca="false">IF(TRIM(B218)="","",UPPER(TRIM(B218)))</f>
        <v/>
      </c>
      <c r="J218" s="17" t="str">
        <f aca="false">IF(H218="","",IF(COUNTIF('Master Stock'!$A$5:$A$206,H218)&gt;0,"Yes","Not on stock sheet"))</f>
        <v/>
      </c>
    </row>
    <row r="219" customFormat="false" ht="14.25" hidden="false" customHeight="true" outlineLevel="0" collapsed="false">
      <c r="E219" s="17"/>
      <c r="H219" s="17" t="str">
        <f aca="false">IF(TRIM(C219)="","",IFERROR(INDEX('Code Aliases'!$B:$B,MATCH(TRIM(C219),'Code Aliases'!$A:$A,0)),TRIM(C219)))</f>
        <v/>
      </c>
      <c r="I219" s="17" t="str">
        <f aca="false">IF(TRIM(B219)="","",UPPER(TRIM(B219)))</f>
        <v/>
      </c>
      <c r="J219" s="17" t="str">
        <f aca="false">IF(H219="","",IF(COUNTIF('Master Stock'!$A$5:$A$206,H219)&gt;0,"Yes","Not on stock sheet"))</f>
        <v/>
      </c>
    </row>
    <row r="220" customFormat="false" ht="14.25" hidden="false" customHeight="true" outlineLevel="0" collapsed="false">
      <c r="E220" s="17"/>
      <c r="H220" s="17" t="str">
        <f aca="false">IF(TRIM(C220)="","",IFERROR(INDEX('Code Aliases'!$B:$B,MATCH(TRIM(C220),'Code Aliases'!$A:$A,0)),TRIM(C220)))</f>
        <v/>
      </c>
      <c r="I220" s="17" t="str">
        <f aca="false">IF(TRIM(B220)="","",UPPER(TRIM(B220)))</f>
        <v/>
      </c>
      <c r="J220" s="17" t="str">
        <f aca="false">IF(H220="","",IF(COUNTIF('Master Stock'!$A$5:$A$206,H220)&gt;0,"Yes","Not on stock sheet"))</f>
        <v/>
      </c>
    </row>
    <row r="221" customFormat="false" ht="14.25" hidden="false" customHeight="true" outlineLevel="0" collapsed="false">
      <c r="E221" s="17"/>
      <c r="H221" s="17" t="str">
        <f aca="false">IF(TRIM(C221)="","",IFERROR(INDEX('Code Aliases'!$B:$B,MATCH(TRIM(C221),'Code Aliases'!$A:$A,0)),TRIM(C221)))</f>
        <v/>
      </c>
      <c r="I221" s="17" t="str">
        <f aca="false">IF(TRIM(B221)="","",UPPER(TRIM(B221)))</f>
        <v/>
      </c>
      <c r="J221" s="17" t="str">
        <f aca="false">IF(H221="","",IF(COUNTIF('Master Stock'!$A$5:$A$206,H221)&gt;0,"Yes","Not on stock sheet"))</f>
        <v/>
      </c>
    </row>
    <row r="222" customFormat="false" ht="14.25" hidden="false" customHeight="true" outlineLevel="0" collapsed="false">
      <c r="E222" s="17"/>
      <c r="H222" s="17" t="str">
        <f aca="false">IF(TRIM(C222)="","",IFERROR(INDEX('Code Aliases'!$B:$B,MATCH(TRIM(C222),'Code Aliases'!$A:$A,0)),TRIM(C222)))</f>
        <v/>
      </c>
      <c r="I222" s="17" t="str">
        <f aca="false">IF(TRIM(B222)="","",UPPER(TRIM(B222)))</f>
        <v/>
      </c>
      <c r="J222" s="17" t="str">
        <f aca="false">IF(H222="","",IF(COUNTIF('Master Stock'!$A$5:$A$206,H222)&gt;0,"Yes","Not on stock sheet"))</f>
        <v/>
      </c>
    </row>
    <row r="223" customFormat="false" ht="14.25" hidden="false" customHeight="true" outlineLevel="0" collapsed="false">
      <c r="E223" s="17"/>
      <c r="H223" s="17" t="str">
        <f aca="false">IF(TRIM(C223)="","",IFERROR(INDEX('Code Aliases'!$B:$B,MATCH(TRIM(C223),'Code Aliases'!$A:$A,0)),TRIM(C223)))</f>
        <v/>
      </c>
      <c r="I223" s="17" t="str">
        <f aca="false">IF(TRIM(B223)="","",UPPER(TRIM(B223)))</f>
        <v/>
      </c>
      <c r="J223" s="17" t="str">
        <f aca="false">IF(H223="","",IF(COUNTIF('Master Stock'!$A$5:$A$206,H223)&gt;0,"Yes","Not on stock sheet"))</f>
        <v/>
      </c>
    </row>
    <row r="224" customFormat="false" ht="14.25" hidden="false" customHeight="true" outlineLevel="0" collapsed="false">
      <c r="E224" s="17"/>
      <c r="H224" s="17" t="str">
        <f aca="false">IF(TRIM(C224)="","",IFERROR(INDEX('Code Aliases'!$B:$B,MATCH(TRIM(C224),'Code Aliases'!$A:$A,0)),TRIM(C224)))</f>
        <v/>
      </c>
      <c r="I224" s="17" t="str">
        <f aca="false">IF(TRIM(B224)="","",UPPER(TRIM(B224)))</f>
        <v/>
      </c>
      <c r="J224" s="17" t="str">
        <f aca="false">IF(H224="","",IF(COUNTIF('Master Stock'!$A$5:$A$206,H224)&gt;0,"Yes","Not on stock sheet"))</f>
        <v/>
      </c>
    </row>
    <row r="225" customFormat="false" ht="14.25" hidden="false" customHeight="true" outlineLevel="0" collapsed="false">
      <c r="E225" s="17"/>
      <c r="H225" s="17" t="str">
        <f aca="false">IF(TRIM(C225)="","",IFERROR(INDEX('Code Aliases'!$B:$B,MATCH(TRIM(C225),'Code Aliases'!$A:$A,0)),TRIM(C225)))</f>
        <v/>
      </c>
      <c r="I225" s="17" t="str">
        <f aca="false">IF(TRIM(B225)="","",UPPER(TRIM(B225)))</f>
        <v/>
      </c>
      <c r="J225" s="17" t="str">
        <f aca="false">IF(H225="","",IF(COUNTIF('Master Stock'!$A$5:$A$206,H225)&gt;0,"Yes","Not on stock sheet"))</f>
        <v/>
      </c>
    </row>
    <row r="226" customFormat="false" ht="14.25" hidden="false" customHeight="true" outlineLevel="0" collapsed="false">
      <c r="E226" s="17"/>
      <c r="H226" s="17" t="str">
        <f aca="false">IF(TRIM(C226)="","",IFERROR(INDEX('Code Aliases'!$B:$B,MATCH(TRIM(C226),'Code Aliases'!$A:$A,0)),TRIM(C226)))</f>
        <v/>
      </c>
      <c r="I226" s="17" t="str">
        <f aca="false">IF(TRIM(B226)="","",UPPER(TRIM(B226)))</f>
        <v/>
      </c>
      <c r="J226" s="17" t="str">
        <f aca="false">IF(H226="","",IF(COUNTIF('Master Stock'!$A$5:$A$206,H226)&gt;0,"Yes","Not on stock sheet"))</f>
        <v/>
      </c>
    </row>
    <row r="227" customFormat="false" ht="14.25" hidden="false" customHeight="true" outlineLevel="0" collapsed="false">
      <c r="E227" s="17"/>
      <c r="H227" s="17" t="str">
        <f aca="false">IF(TRIM(C227)="","",IFERROR(INDEX('Code Aliases'!$B:$B,MATCH(TRIM(C227),'Code Aliases'!$A:$A,0)),TRIM(C227)))</f>
        <v/>
      </c>
      <c r="I227" s="17" t="str">
        <f aca="false">IF(TRIM(B227)="","",UPPER(TRIM(B227)))</f>
        <v/>
      </c>
      <c r="J227" s="17" t="str">
        <f aca="false">IF(H227="","",IF(COUNTIF('Master Stock'!$A$5:$A$206,H227)&gt;0,"Yes","Not on stock sheet"))</f>
        <v/>
      </c>
    </row>
    <row r="228" customFormat="false" ht="14.25" hidden="false" customHeight="true" outlineLevel="0" collapsed="false">
      <c r="E228" s="17"/>
      <c r="H228" s="17" t="str">
        <f aca="false">IF(TRIM(C228)="","",IFERROR(INDEX('Code Aliases'!$B:$B,MATCH(TRIM(C228),'Code Aliases'!$A:$A,0)),TRIM(C228)))</f>
        <v/>
      </c>
      <c r="I228" s="17" t="str">
        <f aca="false">IF(TRIM(B228)="","",UPPER(TRIM(B228)))</f>
        <v/>
      </c>
      <c r="J228" s="17" t="str">
        <f aca="false">IF(H228="","",IF(COUNTIF('Master Stock'!$A$5:$A$206,H228)&gt;0,"Yes","Not on stock sheet"))</f>
        <v/>
      </c>
    </row>
    <row r="229" customFormat="false" ht="14.25" hidden="false" customHeight="true" outlineLevel="0" collapsed="false">
      <c r="E229" s="17"/>
      <c r="H229" s="17" t="str">
        <f aca="false">IF(TRIM(C229)="","",IFERROR(INDEX('Code Aliases'!$B:$B,MATCH(TRIM(C229),'Code Aliases'!$A:$A,0)),TRIM(C229)))</f>
        <v/>
      </c>
      <c r="I229" s="17" t="str">
        <f aca="false">IF(TRIM(B229)="","",UPPER(TRIM(B229)))</f>
        <v/>
      </c>
      <c r="J229" s="17" t="str">
        <f aca="false">IF(H229="","",IF(COUNTIF('Master Stock'!$A$5:$A$206,H229)&gt;0,"Yes","Not on stock sheet"))</f>
        <v/>
      </c>
    </row>
    <row r="230" customFormat="false" ht="14.25" hidden="false" customHeight="true" outlineLevel="0" collapsed="false">
      <c r="E230" s="17"/>
      <c r="H230" s="17" t="str">
        <f aca="false">IF(TRIM(C230)="","",IFERROR(INDEX('Code Aliases'!$B:$B,MATCH(TRIM(C230),'Code Aliases'!$A:$A,0)),TRIM(C230)))</f>
        <v/>
      </c>
      <c r="I230" s="17" t="str">
        <f aca="false">IF(TRIM(B230)="","",UPPER(TRIM(B230)))</f>
        <v/>
      </c>
      <c r="J230" s="17" t="str">
        <f aca="false">IF(H230="","",IF(COUNTIF('Master Stock'!$A$5:$A$206,H230)&gt;0,"Yes","Not on stock sheet"))</f>
        <v/>
      </c>
    </row>
    <row r="231" customFormat="false" ht="14.25" hidden="false" customHeight="true" outlineLevel="0" collapsed="false">
      <c r="E231" s="17"/>
      <c r="H231" s="17" t="str">
        <f aca="false">IF(TRIM(C231)="","",IFERROR(INDEX('Code Aliases'!$B:$B,MATCH(TRIM(C231),'Code Aliases'!$A:$A,0)),TRIM(C231)))</f>
        <v/>
      </c>
      <c r="I231" s="17" t="str">
        <f aca="false">IF(TRIM(B231)="","",UPPER(TRIM(B231)))</f>
        <v/>
      </c>
      <c r="J231" s="17" t="str">
        <f aca="false">IF(H231="","",IF(COUNTIF('Master Stock'!$A$5:$A$206,H231)&gt;0,"Yes","Not on stock sheet"))</f>
        <v/>
      </c>
    </row>
    <row r="232" customFormat="false" ht="14.25" hidden="false" customHeight="true" outlineLevel="0" collapsed="false">
      <c r="E232" s="17"/>
      <c r="H232" s="17" t="str">
        <f aca="false">IF(TRIM(C232)="","",IFERROR(INDEX('Code Aliases'!$B:$B,MATCH(TRIM(C232),'Code Aliases'!$A:$A,0)),TRIM(C232)))</f>
        <v/>
      </c>
      <c r="I232" s="17" t="str">
        <f aca="false">IF(TRIM(B232)="","",UPPER(TRIM(B232)))</f>
        <v/>
      </c>
      <c r="J232" s="17" t="str">
        <f aca="false">IF(H232="","",IF(COUNTIF('Master Stock'!$A$5:$A$206,H232)&gt;0,"Yes","Not on stock sheet"))</f>
        <v/>
      </c>
    </row>
    <row r="233" customFormat="false" ht="14.25" hidden="false" customHeight="true" outlineLevel="0" collapsed="false">
      <c r="E233" s="17"/>
      <c r="H233" s="17" t="str">
        <f aca="false">IF(TRIM(C233)="","",IFERROR(INDEX('Code Aliases'!$B:$B,MATCH(TRIM(C233),'Code Aliases'!$A:$A,0)),TRIM(C233)))</f>
        <v/>
      </c>
      <c r="I233" s="17" t="str">
        <f aca="false">IF(TRIM(B233)="","",UPPER(TRIM(B233)))</f>
        <v/>
      </c>
      <c r="J233" s="17" t="str">
        <f aca="false">IF(H233="","",IF(COUNTIF('Master Stock'!$A$5:$A$206,H233)&gt;0,"Yes","Not on stock sheet"))</f>
        <v/>
      </c>
    </row>
    <row r="234" customFormat="false" ht="14.25" hidden="false" customHeight="true" outlineLevel="0" collapsed="false">
      <c r="E234" s="17"/>
      <c r="H234" s="17" t="str">
        <f aca="false">IF(TRIM(C234)="","",IFERROR(INDEX('Code Aliases'!$B:$B,MATCH(TRIM(C234),'Code Aliases'!$A:$A,0)),TRIM(C234)))</f>
        <v/>
      </c>
      <c r="I234" s="17" t="str">
        <f aca="false">IF(TRIM(B234)="","",UPPER(TRIM(B234)))</f>
        <v/>
      </c>
      <c r="J234" s="17" t="str">
        <f aca="false">IF(H234="","",IF(COUNTIF('Master Stock'!$A$5:$A$206,H234)&gt;0,"Yes","Not on stock sheet"))</f>
        <v/>
      </c>
    </row>
    <row r="235" customFormat="false" ht="14.25" hidden="false" customHeight="true" outlineLevel="0" collapsed="false">
      <c r="E235" s="17"/>
      <c r="H235" s="17" t="str">
        <f aca="false">IF(TRIM(C235)="","",IFERROR(INDEX('Code Aliases'!$B:$B,MATCH(TRIM(C235),'Code Aliases'!$A:$A,0)),TRIM(C235)))</f>
        <v/>
      </c>
      <c r="I235" s="17" t="str">
        <f aca="false">IF(TRIM(B235)="","",UPPER(TRIM(B235)))</f>
        <v/>
      </c>
      <c r="J235" s="17" t="str">
        <f aca="false">IF(H235="","",IF(COUNTIF('Master Stock'!$A$5:$A$206,H235)&gt;0,"Yes","Not on stock sheet"))</f>
        <v/>
      </c>
    </row>
    <row r="236" customFormat="false" ht="14.25" hidden="false" customHeight="true" outlineLevel="0" collapsed="false">
      <c r="E236" s="17"/>
      <c r="H236" s="17" t="str">
        <f aca="false">IF(TRIM(C236)="","",IFERROR(INDEX('Code Aliases'!$B:$B,MATCH(TRIM(C236),'Code Aliases'!$A:$A,0)),TRIM(C236)))</f>
        <v/>
      </c>
      <c r="I236" s="17" t="str">
        <f aca="false">IF(TRIM(B236)="","",UPPER(TRIM(B236)))</f>
        <v/>
      </c>
      <c r="J236" s="17" t="str">
        <f aca="false">IF(H236="","",IF(COUNTIF('Master Stock'!$A$5:$A$206,H236)&gt;0,"Yes","Not on stock sheet"))</f>
        <v/>
      </c>
    </row>
    <row r="237" customFormat="false" ht="14.25" hidden="false" customHeight="true" outlineLevel="0" collapsed="false">
      <c r="E237" s="17"/>
      <c r="H237" s="17" t="str">
        <f aca="false">IF(TRIM(C237)="","",IFERROR(INDEX('Code Aliases'!$B:$B,MATCH(TRIM(C237),'Code Aliases'!$A:$A,0)),TRIM(C237)))</f>
        <v/>
      </c>
      <c r="I237" s="17" t="str">
        <f aca="false">IF(TRIM(B237)="","",UPPER(TRIM(B237)))</f>
        <v/>
      </c>
      <c r="J237" s="17" t="str">
        <f aca="false">IF(H237="","",IF(COUNTIF('Master Stock'!$A$5:$A$206,H237)&gt;0,"Yes","Not on stock sheet"))</f>
        <v/>
      </c>
    </row>
    <row r="238" customFormat="false" ht="14.25" hidden="false" customHeight="true" outlineLevel="0" collapsed="false">
      <c r="E238" s="17"/>
      <c r="H238" s="17" t="str">
        <f aca="false">IF(TRIM(C238)="","",IFERROR(INDEX('Code Aliases'!$B:$B,MATCH(TRIM(C238),'Code Aliases'!$A:$A,0)),TRIM(C238)))</f>
        <v/>
      </c>
      <c r="I238" s="17" t="str">
        <f aca="false">IF(TRIM(B238)="","",UPPER(TRIM(B238)))</f>
        <v/>
      </c>
      <c r="J238" s="17" t="str">
        <f aca="false">IF(H238="","",IF(COUNTIF('Master Stock'!$A$5:$A$206,H238)&gt;0,"Yes","Not on stock sheet"))</f>
        <v/>
      </c>
    </row>
    <row r="239" customFormat="false" ht="14.25" hidden="false" customHeight="true" outlineLevel="0" collapsed="false">
      <c r="E239" s="17"/>
      <c r="H239" s="17" t="str">
        <f aca="false">IF(TRIM(C239)="","",IFERROR(INDEX('Code Aliases'!$B:$B,MATCH(TRIM(C239),'Code Aliases'!$A:$A,0)),TRIM(C239)))</f>
        <v/>
      </c>
      <c r="I239" s="17" t="str">
        <f aca="false">IF(TRIM(B239)="","",UPPER(TRIM(B239)))</f>
        <v/>
      </c>
      <c r="J239" s="17" t="str">
        <f aca="false">IF(H239="","",IF(COUNTIF('Master Stock'!$A$5:$A$206,H239)&gt;0,"Yes","Not on stock sheet"))</f>
        <v/>
      </c>
    </row>
    <row r="240" customFormat="false" ht="14.25" hidden="false" customHeight="true" outlineLevel="0" collapsed="false">
      <c r="E240" s="17"/>
      <c r="H240" s="17" t="str">
        <f aca="false">IF(TRIM(C240)="","",IFERROR(INDEX('Code Aliases'!$B:$B,MATCH(TRIM(C240),'Code Aliases'!$A:$A,0)),TRIM(C240)))</f>
        <v/>
      </c>
      <c r="I240" s="17" t="str">
        <f aca="false">IF(TRIM(B240)="","",UPPER(TRIM(B240)))</f>
        <v/>
      </c>
      <c r="J240" s="17" t="str">
        <f aca="false">IF(H240="","",IF(COUNTIF('Master Stock'!$A$5:$A$206,H240)&gt;0,"Yes","Not on stock sheet"))</f>
        <v/>
      </c>
    </row>
    <row r="241" customFormat="false" ht="14.25" hidden="false" customHeight="true" outlineLevel="0" collapsed="false">
      <c r="E241" s="17"/>
      <c r="H241" s="17" t="str">
        <f aca="false">IF(TRIM(C241)="","",IFERROR(INDEX('Code Aliases'!$B:$B,MATCH(TRIM(C241),'Code Aliases'!$A:$A,0)),TRIM(C241)))</f>
        <v/>
      </c>
      <c r="I241" s="17" t="str">
        <f aca="false">IF(TRIM(B241)="","",UPPER(TRIM(B241)))</f>
        <v/>
      </c>
      <c r="J241" s="17" t="str">
        <f aca="false">IF(H241="","",IF(COUNTIF('Master Stock'!$A$5:$A$206,H241)&gt;0,"Yes","Not on stock sheet"))</f>
        <v/>
      </c>
    </row>
    <row r="242" customFormat="false" ht="14.25" hidden="false" customHeight="true" outlineLevel="0" collapsed="false">
      <c r="E242" s="17"/>
      <c r="H242" s="17" t="str">
        <f aca="false">IF(TRIM(C242)="","",IFERROR(INDEX('Code Aliases'!$B:$B,MATCH(TRIM(C242),'Code Aliases'!$A:$A,0)),TRIM(C242)))</f>
        <v/>
      </c>
      <c r="I242" s="17" t="str">
        <f aca="false">IF(TRIM(B242)="","",UPPER(TRIM(B242)))</f>
        <v/>
      </c>
      <c r="J242" s="17" t="str">
        <f aca="false">IF(H242="","",IF(COUNTIF('Master Stock'!$A$5:$A$206,H242)&gt;0,"Yes","Not on stock sheet"))</f>
        <v/>
      </c>
    </row>
    <row r="243" customFormat="false" ht="14.25" hidden="false" customHeight="true" outlineLevel="0" collapsed="false">
      <c r="E243" s="17"/>
      <c r="H243" s="17" t="str">
        <f aca="false">IF(TRIM(C243)="","",IFERROR(INDEX('Code Aliases'!$B:$B,MATCH(TRIM(C243),'Code Aliases'!$A:$A,0)),TRIM(C243)))</f>
        <v/>
      </c>
      <c r="I243" s="17" t="str">
        <f aca="false">IF(TRIM(B243)="","",UPPER(TRIM(B243)))</f>
        <v/>
      </c>
      <c r="J243" s="17" t="str">
        <f aca="false">IF(H243="","",IF(COUNTIF('Master Stock'!$A$5:$A$206,H243)&gt;0,"Yes","Not on stock sheet"))</f>
        <v/>
      </c>
    </row>
    <row r="244" customFormat="false" ht="14.25" hidden="false" customHeight="true" outlineLevel="0" collapsed="false">
      <c r="E244" s="17"/>
      <c r="H244" s="17" t="str">
        <f aca="false">IF(TRIM(C244)="","",IFERROR(INDEX('Code Aliases'!$B:$B,MATCH(TRIM(C244),'Code Aliases'!$A:$A,0)),TRIM(C244)))</f>
        <v/>
      </c>
      <c r="I244" s="17" t="str">
        <f aca="false">IF(TRIM(B244)="","",UPPER(TRIM(B244)))</f>
        <v/>
      </c>
      <c r="J244" s="17" t="str">
        <f aca="false">IF(H244="","",IF(COUNTIF('Master Stock'!$A$5:$A$206,H244)&gt;0,"Yes","Not on stock sheet"))</f>
        <v/>
      </c>
    </row>
    <row r="245" customFormat="false" ht="14.25" hidden="false" customHeight="true" outlineLevel="0" collapsed="false">
      <c r="E245" s="17"/>
      <c r="H245" s="17" t="str">
        <f aca="false">IF(TRIM(C245)="","",IFERROR(INDEX('Code Aliases'!$B:$B,MATCH(TRIM(C245),'Code Aliases'!$A:$A,0)),TRIM(C245)))</f>
        <v/>
      </c>
      <c r="I245" s="17" t="str">
        <f aca="false">IF(TRIM(B245)="","",UPPER(TRIM(B245)))</f>
        <v/>
      </c>
      <c r="J245" s="17" t="str">
        <f aca="false">IF(H245="","",IF(COUNTIF('Master Stock'!$A$5:$A$206,H245)&gt;0,"Yes","Not on stock sheet"))</f>
        <v/>
      </c>
    </row>
    <row r="246" customFormat="false" ht="14.25" hidden="false" customHeight="true" outlineLevel="0" collapsed="false">
      <c r="E246" s="17"/>
      <c r="H246" s="17" t="str">
        <f aca="false">IF(TRIM(C246)="","",IFERROR(INDEX('Code Aliases'!$B:$B,MATCH(TRIM(C246),'Code Aliases'!$A:$A,0)),TRIM(C246)))</f>
        <v/>
      </c>
      <c r="I246" s="17" t="str">
        <f aca="false">IF(TRIM(B246)="","",UPPER(TRIM(B246)))</f>
        <v/>
      </c>
      <c r="J246" s="17" t="str">
        <f aca="false">IF(H246="","",IF(COUNTIF('Master Stock'!$A$5:$A$206,H246)&gt;0,"Yes","Not on stock sheet"))</f>
        <v/>
      </c>
    </row>
    <row r="247" customFormat="false" ht="14.25" hidden="false" customHeight="true" outlineLevel="0" collapsed="false">
      <c r="E247" s="17"/>
      <c r="H247" s="17" t="str">
        <f aca="false">IF(TRIM(C247)="","",IFERROR(INDEX('Code Aliases'!$B:$B,MATCH(TRIM(C247),'Code Aliases'!$A:$A,0)),TRIM(C247)))</f>
        <v/>
      </c>
      <c r="I247" s="17" t="str">
        <f aca="false">IF(TRIM(B247)="","",UPPER(TRIM(B247)))</f>
        <v/>
      </c>
      <c r="J247" s="17" t="str">
        <f aca="false">IF(H247="","",IF(COUNTIF('Master Stock'!$A$5:$A$206,H247)&gt;0,"Yes","Not on stock sheet"))</f>
        <v/>
      </c>
    </row>
    <row r="248" customFormat="false" ht="14.25" hidden="false" customHeight="true" outlineLevel="0" collapsed="false">
      <c r="E248" s="17"/>
      <c r="H248" s="17" t="str">
        <f aca="false">IF(TRIM(C248)="","",IFERROR(INDEX('Code Aliases'!$B:$B,MATCH(TRIM(C248),'Code Aliases'!$A:$A,0)),TRIM(C248)))</f>
        <v/>
      </c>
      <c r="I248" s="17" t="str">
        <f aca="false">IF(TRIM(B248)="","",UPPER(TRIM(B248)))</f>
        <v/>
      </c>
      <c r="J248" s="17" t="str">
        <f aca="false">IF(H248="","",IF(COUNTIF('Master Stock'!$A$5:$A$206,H248)&gt;0,"Yes","Not on stock sheet"))</f>
        <v/>
      </c>
    </row>
    <row r="249" customFormat="false" ht="14.25" hidden="false" customHeight="true" outlineLevel="0" collapsed="false">
      <c r="E249" s="17"/>
      <c r="H249" s="17" t="str">
        <f aca="false">IF(TRIM(C249)="","",IFERROR(INDEX('Code Aliases'!$B:$B,MATCH(TRIM(C249),'Code Aliases'!$A:$A,0)),TRIM(C249)))</f>
        <v/>
      </c>
      <c r="I249" s="17" t="str">
        <f aca="false">IF(TRIM(B249)="","",UPPER(TRIM(B249)))</f>
        <v/>
      </c>
      <c r="J249" s="17" t="str">
        <f aca="false">IF(H249="","",IF(COUNTIF('Master Stock'!$A$5:$A$206,H249)&gt;0,"Yes","Not on stock sheet"))</f>
        <v/>
      </c>
    </row>
    <row r="250" customFormat="false" ht="14.25" hidden="false" customHeight="true" outlineLevel="0" collapsed="false">
      <c r="E250" s="17"/>
      <c r="H250" s="17" t="str">
        <f aca="false">IF(TRIM(C250)="","",IFERROR(INDEX('Code Aliases'!$B:$B,MATCH(TRIM(C250),'Code Aliases'!$A:$A,0)),TRIM(C250)))</f>
        <v/>
      </c>
      <c r="I250" s="17" t="str">
        <f aca="false">IF(TRIM(B250)="","",UPPER(TRIM(B250)))</f>
        <v/>
      </c>
      <c r="J250" s="17" t="str">
        <f aca="false">IF(H250="","",IF(COUNTIF('Master Stock'!$A$5:$A$206,H250)&gt;0,"Yes","Not on stock sheet"))</f>
        <v/>
      </c>
    </row>
    <row r="251" customFormat="false" ht="14.25" hidden="false" customHeight="true" outlineLevel="0" collapsed="false">
      <c r="E251" s="17"/>
      <c r="H251" s="17" t="str">
        <f aca="false">IF(TRIM(C251)="","",IFERROR(INDEX('Code Aliases'!$B:$B,MATCH(TRIM(C251),'Code Aliases'!$A:$A,0)),TRIM(C251)))</f>
        <v/>
      </c>
      <c r="I251" s="17" t="str">
        <f aca="false">IF(TRIM(B251)="","",UPPER(TRIM(B251)))</f>
        <v/>
      </c>
      <c r="J251" s="17" t="str">
        <f aca="false">IF(H251="","",IF(COUNTIF('Master Stock'!$A$5:$A$206,H251)&gt;0,"Yes","Not on stock sheet"))</f>
        <v/>
      </c>
    </row>
    <row r="252" customFormat="false" ht="14.25" hidden="false" customHeight="true" outlineLevel="0" collapsed="false">
      <c r="E252" s="17"/>
      <c r="H252" s="17" t="str">
        <f aca="false">IF(TRIM(C252)="","",IFERROR(INDEX('Code Aliases'!$B:$B,MATCH(TRIM(C252),'Code Aliases'!$A:$A,0)),TRIM(C252)))</f>
        <v/>
      </c>
      <c r="I252" s="17" t="str">
        <f aca="false">IF(TRIM(B252)="","",UPPER(TRIM(B252)))</f>
        <v/>
      </c>
      <c r="J252" s="17" t="str">
        <f aca="false">IF(H252="","",IF(COUNTIF('Master Stock'!$A$5:$A$206,H252)&gt;0,"Yes","Not on stock sheet"))</f>
        <v/>
      </c>
    </row>
    <row r="253" customFormat="false" ht="14.25" hidden="false" customHeight="true" outlineLevel="0" collapsed="false">
      <c r="E253" s="17"/>
      <c r="H253" s="17" t="str">
        <f aca="false">IF(TRIM(C253)="","",IFERROR(INDEX('Code Aliases'!$B:$B,MATCH(TRIM(C253),'Code Aliases'!$A:$A,0)),TRIM(C253)))</f>
        <v/>
      </c>
      <c r="I253" s="17" t="str">
        <f aca="false">IF(TRIM(B253)="","",UPPER(TRIM(B253)))</f>
        <v/>
      </c>
      <c r="J253" s="17" t="str">
        <f aca="false">IF(H253="","",IF(COUNTIF('Master Stock'!$A$5:$A$206,H253)&gt;0,"Yes","Not on stock sheet"))</f>
        <v/>
      </c>
    </row>
    <row r="254" customFormat="false" ht="14.25" hidden="false" customHeight="true" outlineLevel="0" collapsed="false">
      <c r="E254" s="17"/>
      <c r="H254" s="17" t="str">
        <f aca="false">IF(TRIM(C254)="","",IFERROR(INDEX('Code Aliases'!$B:$B,MATCH(TRIM(C254),'Code Aliases'!$A:$A,0)),TRIM(C254)))</f>
        <v/>
      </c>
      <c r="I254" s="17" t="str">
        <f aca="false">IF(TRIM(B254)="","",UPPER(TRIM(B254)))</f>
        <v/>
      </c>
      <c r="J254" s="17" t="str">
        <f aca="false">IF(H254="","",IF(COUNTIF('Master Stock'!$A$5:$A$206,H254)&gt;0,"Yes","Not on stock sheet"))</f>
        <v/>
      </c>
    </row>
    <row r="255" customFormat="false" ht="14.25" hidden="false" customHeight="true" outlineLevel="0" collapsed="false">
      <c r="E255" s="17"/>
      <c r="H255" s="17" t="str">
        <f aca="false">IF(TRIM(C255)="","",IFERROR(INDEX('Code Aliases'!$B:$B,MATCH(TRIM(C255),'Code Aliases'!$A:$A,0)),TRIM(C255)))</f>
        <v/>
      </c>
      <c r="I255" s="17" t="str">
        <f aca="false">IF(TRIM(B255)="","",UPPER(TRIM(B255)))</f>
        <v/>
      </c>
      <c r="J255" s="17" t="str">
        <f aca="false">IF(H255="","",IF(COUNTIF('Master Stock'!$A$5:$A$206,H255)&gt;0,"Yes","Not on stock sheet"))</f>
        <v/>
      </c>
    </row>
    <row r="256" customFormat="false" ht="14.25" hidden="false" customHeight="true" outlineLevel="0" collapsed="false">
      <c r="E256" s="17"/>
      <c r="H256" s="17" t="str">
        <f aca="false">IF(TRIM(C256)="","",IFERROR(INDEX('Code Aliases'!$B:$B,MATCH(TRIM(C256),'Code Aliases'!$A:$A,0)),TRIM(C256)))</f>
        <v/>
      </c>
      <c r="I256" s="17" t="str">
        <f aca="false">IF(TRIM(B256)="","",UPPER(TRIM(B256)))</f>
        <v/>
      </c>
      <c r="J256" s="17" t="str">
        <f aca="false">IF(H256="","",IF(COUNTIF('Master Stock'!$A$5:$A$206,H256)&gt;0,"Yes","Not on stock sheet"))</f>
        <v/>
      </c>
    </row>
    <row r="257" customFormat="false" ht="14.25" hidden="false" customHeight="true" outlineLevel="0" collapsed="false">
      <c r="E257" s="17"/>
      <c r="H257" s="17" t="str">
        <f aca="false">IF(TRIM(C257)="","",IFERROR(INDEX('Code Aliases'!$B:$B,MATCH(TRIM(C257),'Code Aliases'!$A:$A,0)),TRIM(C257)))</f>
        <v/>
      </c>
      <c r="I257" s="17" t="str">
        <f aca="false">IF(TRIM(B257)="","",UPPER(TRIM(B257)))</f>
        <v/>
      </c>
      <c r="J257" s="17" t="str">
        <f aca="false">IF(H257="","",IF(COUNTIF('Master Stock'!$A$5:$A$206,H257)&gt;0,"Yes","Not on stock sheet"))</f>
        <v/>
      </c>
    </row>
    <row r="258" customFormat="false" ht="14.25" hidden="false" customHeight="true" outlineLevel="0" collapsed="false">
      <c r="E258" s="17"/>
      <c r="H258" s="17" t="str">
        <f aca="false">IF(TRIM(C258)="","",IFERROR(INDEX('Code Aliases'!$B:$B,MATCH(TRIM(C258),'Code Aliases'!$A:$A,0)),TRIM(C258)))</f>
        <v/>
      </c>
      <c r="I258" s="17" t="str">
        <f aca="false">IF(TRIM(B258)="","",UPPER(TRIM(B258)))</f>
        <v/>
      </c>
      <c r="J258" s="17" t="str">
        <f aca="false">IF(H258="","",IF(COUNTIF('Master Stock'!$A$5:$A$206,H258)&gt;0,"Yes","Not on stock sheet"))</f>
        <v/>
      </c>
    </row>
    <row r="259" customFormat="false" ht="14.25" hidden="false" customHeight="true" outlineLevel="0" collapsed="false">
      <c r="E259" s="17"/>
      <c r="H259" s="17" t="str">
        <f aca="false">IF(TRIM(C259)="","",IFERROR(INDEX('Code Aliases'!$B:$B,MATCH(TRIM(C259),'Code Aliases'!$A:$A,0)),TRIM(C259)))</f>
        <v/>
      </c>
      <c r="I259" s="17" t="str">
        <f aca="false">IF(TRIM(B259)="","",UPPER(TRIM(B259)))</f>
        <v/>
      </c>
      <c r="J259" s="17" t="str">
        <f aca="false">IF(H259="","",IF(COUNTIF('Master Stock'!$A$5:$A$206,H259)&gt;0,"Yes","Not on stock sheet"))</f>
        <v/>
      </c>
    </row>
    <row r="260" customFormat="false" ht="14.25" hidden="false" customHeight="true" outlineLevel="0" collapsed="false">
      <c r="E260" s="17"/>
      <c r="H260" s="17" t="str">
        <f aca="false">IF(TRIM(C260)="","",IFERROR(INDEX('Code Aliases'!$B:$B,MATCH(TRIM(C260),'Code Aliases'!$A:$A,0)),TRIM(C260)))</f>
        <v/>
      </c>
      <c r="I260" s="17" t="str">
        <f aca="false">IF(TRIM(B260)="","",UPPER(TRIM(B260)))</f>
        <v/>
      </c>
      <c r="J260" s="17" t="str">
        <f aca="false">IF(H260="","",IF(COUNTIF('Master Stock'!$A$5:$A$206,H260)&gt;0,"Yes","Not on stock sheet"))</f>
        <v/>
      </c>
    </row>
    <row r="261" customFormat="false" ht="14.25" hidden="false" customHeight="true" outlineLevel="0" collapsed="false">
      <c r="E261" s="17"/>
      <c r="H261" s="17" t="str">
        <f aca="false">IF(TRIM(C261)="","",IFERROR(INDEX('Code Aliases'!$B:$B,MATCH(TRIM(C261),'Code Aliases'!$A:$A,0)),TRIM(C261)))</f>
        <v/>
      </c>
      <c r="I261" s="17" t="str">
        <f aca="false">IF(TRIM(B261)="","",UPPER(TRIM(B261)))</f>
        <v/>
      </c>
      <c r="J261" s="17" t="str">
        <f aca="false">IF(H261="","",IF(COUNTIF('Master Stock'!$A$5:$A$206,H261)&gt;0,"Yes","Not on stock sheet"))</f>
        <v/>
      </c>
    </row>
    <row r="262" customFormat="false" ht="14.25" hidden="false" customHeight="true" outlineLevel="0" collapsed="false">
      <c r="E262" s="17"/>
      <c r="H262" s="17" t="str">
        <f aca="false">IF(TRIM(C262)="","",IFERROR(INDEX('Code Aliases'!$B:$B,MATCH(TRIM(C262),'Code Aliases'!$A:$A,0)),TRIM(C262)))</f>
        <v/>
      </c>
      <c r="I262" s="17" t="str">
        <f aca="false">IF(TRIM(B262)="","",UPPER(TRIM(B262)))</f>
        <v/>
      </c>
      <c r="J262" s="17" t="str">
        <f aca="false">IF(H262="","",IF(COUNTIF('Master Stock'!$A$5:$A$206,H262)&gt;0,"Yes","Not on stock sheet"))</f>
        <v/>
      </c>
    </row>
    <row r="263" customFormat="false" ht="14.25" hidden="false" customHeight="true" outlineLevel="0" collapsed="false">
      <c r="E263" s="17"/>
      <c r="H263" s="17" t="str">
        <f aca="false">IF(TRIM(C263)="","",IFERROR(INDEX('Code Aliases'!$B:$B,MATCH(TRIM(C263),'Code Aliases'!$A:$A,0)),TRIM(C263)))</f>
        <v/>
      </c>
      <c r="I263" s="17" t="str">
        <f aca="false">IF(TRIM(B263)="","",UPPER(TRIM(B263)))</f>
        <v/>
      </c>
      <c r="J263" s="17" t="str">
        <f aca="false">IF(H263="","",IF(COUNTIF('Master Stock'!$A$5:$A$206,H263)&gt;0,"Yes","Not on stock sheet"))</f>
        <v/>
      </c>
    </row>
    <row r="264" customFormat="false" ht="14.25" hidden="false" customHeight="true" outlineLevel="0" collapsed="false">
      <c r="E264" s="17"/>
      <c r="H264" s="17" t="str">
        <f aca="false">IF(TRIM(C264)="","",IFERROR(INDEX('Code Aliases'!$B:$B,MATCH(TRIM(C264),'Code Aliases'!$A:$A,0)),TRIM(C264)))</f>
        <v/>
      </c>
      <c r="I264" s="17" t="str">
        <f aca="false">IF(TRIM(B264)="","",UPPER(TRIM(B264)))</f>
        <v/>
      </c>
      <c r="J264" s="17" t="str">
        <f aca="false">IF(H264="","",IF(COUNTIF('Master Stock'!$A$5:$A$206,H264)&gt;0,"Yes","Not on stock sheet"))</f>
        <v/>
      </c>
    </row>
    <row r="265" customFormat="false" ht="14.25" hidden="false" customHeight="true" outlineLevel="0" collapsed="false">
      <c r="E265" s="17"/>
      <c r="H265" s="17" t="str">
        <f aca="false">IF(TRIM(C265)="","",IFERROR(INDEX('Code Aliases'!$B:$B,MATCH(TRIM(C265),'Code Aliases'!$A:$A,0)),TRIM(C265)))</f>
        <v/>
      </c>
      <c r="I265" s="17" t="str">
        <f aca="false">IF(TRIM(B265)="","",UPPER(TRIM(B265)))</f>
        <v/>
      </c>
      <c r="J265" s="17" t="str">
        <f aca="false">IF(H265="","",IF(COUNTIF('Master Stock'!$A$5:$A$206,H265)&gt;0,"Yes","Not on stock sheet"))</f>
        <v/>
      </c>
    </row>
    <row r="266" customFormat="false" ht="14.25" hidden="false" customHeight="true" outlineLevel="0" collapsed="false">
      <c r="E266" s="17"/>
      <c r="H266" s="17" t="str">
        <f aca="false">IF(TRIM(C266)="","",IFERROR(INDEX('Code Aliases'!$B:$B,MATCH(TRIM(C266),'Code Aliases'!$A:$A,0)),TRIM(C266)))</f>
        <v/>
      </c>
      <c r="I266" s="17" t="str">
        <f aca="false">IF(TRIM(B266)="","",UPPER(TRIM(B266)))</f>
        <v/>
      </c>
      <c r="J266" s="17" t="str">
        <f aca="false">IF(H266="","",IF(COUNTIF('Master Stock'!$A$5:$A$206,H266)&gt;0,"Yes","Not on stock sheet"))</f>
        <v/>
      </c>
    </row>
    <row r="267" customFormat="false" ht="14.25" hidden="false" customHeight="true" outlineLevel="0" collapsed="false">
      <c r="E267" s="17"/>
      <c r="H267" s="17" t="str">
        <f aca="false">IF(TRIM(C267)="","",IFERROR(INDEX('Code Aliases'!$B:$B,MATCH(TRIM(C267),'Code Aliases'!$A:$A,0)),TRIM(C267)))</f>
        <v/>
      </c>
      <c r="I267" s="17" t="str">
        <f aca="false">IF(TRIM(B267)="","",UPPER(TRIM(B267)))</f>
        <v/>
      </c>
      <c r="J267" s="17" t="str">
        <f aca="false">IF(H267="","",IF(COUNTIF('Master Stock'!$A$5:$A$206,H267)&gt;0,"Yes","Not on stock sheet"))</f>
        <v/>
      </c>
    </row>
    <row r="268" customFormat="false" ht="14.25" hidden="false" customHeight="true" outlineLevel="0" collapsed="false">
      <c r="E268" s="17"/>
      <c r="H268" s="17" t="str">
        <f aca="false">IF(TRIM(C268)="","",IFERROR(INDEX('Code Aliases'!$B:$B,MATCH(TRIM(C268),'Code Aliases'!$A:$A,0)),TRIM(C268)))</f>
        <v/>
      </c>
      <c r="I268" s="17" t="str">
        <f aca="false">IF(TRIM(B268)="","",UPPER(TRIM(B268)))</f>
        <v/>
      </c>
      <c r="J268" s="17" t="str">
        <f aca="false">IF(H268="","",IF(COUNTIF('Master Stock'!$A$5:$A$206,H268)&gt;0,"Yes","Not on stock sheet"))</f>
        <v/>
      </c>
    </row>
    <row r="269" customFormat="false" ht="14.25" hidden="false" customHeight="true" outlineLevel="0" collapsed="false">
      <c r="E269" s="17"/>
      <c r="H269" s="17" t="str">
        <f aca="false">IF(TRIM(C269)="","",IFERROR(INDEX('Code Aliases'!$B:$B,MATCH(TRIM(C269),'Code Aliases'!$A:$A,0)),TRIM(C269)))</f>
        <v/>
      </c>
      <c r="I269" s="17" t="str">
        <f aca="false">IF(TRIM(B269)="","",UPPER(TRIM(B269)))</f>
        <v/>
      </c>
      <c r="J269" s="17" t="str">
        <f aca="false">IF(H269="","",IF(COUNTIF('Master Stock'!$A$5:$A$206,H269)&gt;0,"Yes","Not on stock sheet"))</f>
        <v/>
      </c>
    </row>
    <row r="270" customFormat="false" ht="14.25" hidden="false" customHeight="true" outlineLevel="0" collapsed="false">
      <c r="E270" s="17"/>
      <c r="H270" s="17" t="str">
        <f aca="false">IF(TRIM(C270)="","",IFERROR(INDEX('Code Aliases'!$B:$B,MATCH(TRIM(C270),'Code Aliases'!$A:$A,0)),TRIM(C270)))</f>
        <v/>
      </c>
      <c r="I270" s="17" t="str">
        <f aca="false">IF(TRIM(B270)="","",UPPER(TRIM(B270)))</f>
        <v/>
      </c>
      <c r="J270" s="17" t="str">
        <f aca="false">IF(H270="","",IF(COUNTIF('Master Stock'!$A$5:$A$206,H270)&gt;0,"Yes","Not on stock sheet"))</f>
        <v/>
      </c>
    </row>
    <row r="271" customFormat="false" ht="14.25" hidden="false" customHeight="true" outlineLevel="0" collapsed="false">
      <c r="E271" s="17"/>
      <c r="H271" s="17" t="str">
        <f aca="false">IF(TRIM(C271)="","",IFERROR(INDEX('Code Aliases'!$B:$B,MATCH(TRIM(C271),'Code Aliases'!$A:$A,0)),TRIM(C271)))</f>
        <v/>
      </c>
      <c r="I271" s="17" t="str">
        <f aca="false">IF(TRIM(B271)="","",UPPER(TRIM(B271)))</f>
        <v/>
      </c>
      <c r="J271" s="17" t="str">
        <f aca="false">IF(H271="","",IF(COUNTIF('Master Stock'!$A$5:$A$206,H271)&gt;0,"Yes","Not on stock sheet"))</f>
        <v/>
      </c>
    </row>
    <row r="272" customFormat="false" ht="14.25" hidden="false" customHeight="true" outlineLevel="0" collapsed="false">
      <c r="E272" s="17"/>
      <c r="H272" s="17" t="str">
        <f aca="false">IF(TRIM(C272)="","",IFERROR(INDEX('Code Aliases'!$B:$B,MATCH(TRIM(C272),'Code Aliases'!$A:$A,0)),TRIM(C272)))</f>
        <v/>
      </c>
      <c r="I272" s="17" t="str">
        <f aca="false">IF(TRIM(B272)="","",UPPER(TRIM(B272)))</f>
        <v/>
      </c>
      <c r="J272" s="17" t="str">
        <f aca="false">IF(H272="","",IF(COUNTIF('Master Stock'!$A$5:$A$206,H272)&gt;0,"Yes","Not on stock sheet"))</f>
        <v/>
      </c>
    </row>
    <row r="273" customFormat="false" ht="14.25" hidden="false" customHeight="true" outlineLevel="0" collapsed="false">
      <c r="E273" s="17"/>
      <c r="H273" s="17" t="str">
        <f aca="false">IF(TRIM(C273)="","",IFERROR(INDEX('Code Aliases'!$B:$B,MATCH(TRIM(C273),'Code Aliases'!$A:$A,0)),TRIM(C273)))</f>
        <v/>
      </c>
      <c r="I273" s="17" t="str">
        <f aca="false">IF(TRIM(B273)="","",UPPER(TRIM(B273)))</f>
        <v/>
      </c>
      <c r="J273" s="17" t="str">
        <f aca="false">IF(H273="","",IF(COUNTIF('Master Stock'!$A$5:$A$206,H273)&gt;0,"Yes","Not on stock sheet"))</f>
        <v/>
      </c>
    </row>
    <row r="274" customFormat="false" ht="14.25" hidden="false" customHeight="true" outlineLevel="0" collapsed="false">
      <c r="E274" s="17"/>
      <c r="H274" s="17" t="str">
        <f aca="false">IF(TRIM(C274)="","",IFERROR(INDEX('Code Aliases'!$B:$B,MATCH(TRIM(C274),'Code Aliases'!$A:$A,0)),TRIM(C274)))</f>
        <v/>
      </c>
      <c r="I274" s="17" t="str">
        <f aca="false">IF(TRIM(B274)="","",UPPER(TRIM(B274)))</f>
        <v/>
      </c>
      <c r="J274" s="17" t="str">
        <f aca="false">IF(H274="","",IF(COUNTIF('Master Stock'!$A$5:$A$206,H274)&gt;0,"Yes","Not on stock sheet"))</f>
        <v/>
      </c>
    </row>
    <row r="275" customFormat="false" ht="14.25" hidden="false" customHeight="true" outlineLevel="0" collapsed="false">
      <c r="E275" s="17"/>
      <c r="H275" s="17" t="str">
        <f aca="false">IF(TRIM(C275)="","",IFERROR(INDEX('Code Aliases'!$B:$B,MATCH(TRIM(C275),'Code Aliases'!$A:$A,0)),TRIM(C275)))</f>
        <v/>
      </c>
      <c r="I275" s="17" t="str">
        <f aca="false">IF(TRIM(B275)="","",UPPER(TRIM(B275)))</f>
        <v/>
      </c>
      <c r="J275" s="17" t="str">
        <f aca="false">IF(H275="","",IF(COUNTIF('Master Stock'!$A$5:$A$206,H275)&gt;0,"Yes","Not on stock sheet"))</f>
        <v/>
      </c>
    </row>
    <row r="276" customFormat="false" ht="14.25" hidden="false" customHeight="true" outlineLevel="0" collapsed="false">
      <c r="E276" s="17"/>
      <c r="H276" s="17" t="str">
        <f aca="false">IF(TRIM(C276)="","",IFERROR(INDEX('Code Aliases'!$B:$B,MATCH(TRIM(C276),'Code Aliases'!$A:$A,0)),TRIM(C276)))</f>
        <v/>
      </c>
      <c r="I276" s="17" t="str">
        <f aca="false">IF(TRIM(B276)="","",UPPER(TRIM(B276)))</f>
        <v/>
      </c>
      <c r="J276" s="17" t="str">
        <f aca="false">IF(H276="","",IF(COUNTIF('Master Stock'!$A$5:$A$206,H276)&gt;0,"Yes","Not on stock sheet"))</f>
        <v/>
      </c>
    </row>
    <row r="277" customFormat="false" ht="14.25" hidden="false" customHeight="true" outlineLevel="0" collapsed="false">
      <c r="E277" s="17"/>
      <c r="H277" s="17" t="str">
        <f aca="false">IF(TRIM(C277)="","",IFERROR(INDEX('Code Aliases'!$B:$B,MATCH(TRIM(C277),'Code Aliases'!$A:$A,0)),TRIM(C277)))</f>
        <v/>
      </c>
      <c r="I277" s="17" t="str">
        <f aca="false">IF(TRIM(B277)="","",UPPER(TRIM(B277)))</f>
        <v/>
      </c>
      <c r="J277" s="17" t="str">
        <f aca="false">IF(H277="","",IF(COUNTIF('Master Stock'!$A$5:$A$206,H277)&gt;0,"Yes","Not on stock sheet"))</f>
        <v/>
      </c>
    </row>
    <row r="278" customFormat="false" ht="14.25" hidden="false" customHeight="true" outlineLevel="0" collapsed="false">
      <c r="E278" s="17"/>
      <c r="H278" s="17" t="str">
        <f aca="false">IF(TRIM(C278)="","",IFERROR(INDEX('Code Aliases'!$B:$B,MATCH(TRIM(C278),'Code Aliases'!$A:$A,0)),TRIM(C278)))</f>
        <v/>
      </c>
      <c r="I278" s="17" t="str">
        <f aca="false">IF(TRIM(B278)="","",UPPER(TRIM(B278)))</f>
        <v/>
      </c>
      <c r="J278" s="17" t="str">
        <f aca="false">IF(H278="","",IF(COUNTIF('Master Stock'!$A$5:$A$206,H278)&gt;0,"Yes","Not on stock sheet"))</f>
        <v/>
      </c>
    </row>
    <row r="279" customFormat="false" ht="14.25" hidden="false" customHeight="true" outlineLevel="0" collapsed="false">
      <c r="E279" s="17"/>
      <c r="H279" s="17" t="str">
        <f aca="false">IF(TRIM(C279)="","",IFERROR(INDEX('Code Aliases'!$B:$B,MATCH(TRIM(C279),'Code Aliases'!$A:$A,0)),TRIM(C279)))</f>
        <v/>
      </c>
      <c r="I279" s="17" t="str">
        <f aca="false">IF(TRIM(B279)="","",UPPER(TRIM(B279)))</f>
        <v/>
      </c>
      <c r="J279" s="17" t="str">
        <f aca="false">IF(H279="","",IF(COUNTIF('Master Stock'!$A$5:$A$206,H279)&gt;0,"Yes","Not on stock sheet"))</f>
        <v/>
      </c>
    </row>
    <row r="280" customFormat="false" ht="14.25" hidden="false" customHeight="true" outlineLevel="0" collapsed="false">
      <c r="E280" s="17"/>
      <c r="H280" s="17" t="str">
        <f aca="false">IF(TRIM(C280)="","",IFERROR(INDEX('Code Aliases'!$B:$B,MATCH(TRIM(C280),'Code Aliases'!$A:$A,0)),TRIM(C280)))</f>
        <v/>
      </c>
      <c r="I280" s="17" t="str">
        <f aca="false">IF(TRIM(B280)="","",UPPER(TRIM(B280)))</f>
        <v/>
      </c>
      <c r="J280" s="17" t="str">
        <f aca="false">IF(H280="","",IF(COUNTIF('Master Stock'!$A$5:$A$206,H280)&gt;0,"Yes","Not on stock sheet"))</f>
        <v/>
      </c>
    </row>
    <row r="281" customFormat="false" ht="14.25" hidden="false" customHeight="true" outlineLevel="0" collapsed="false">
      <c r="E281" s="17"/>
      <c r="H281" s="17" t="str">
        <f aca="false">IF(TRIM(C281)="","",IFERROR(INDEX('Code Aliases'!$B:$B,MATCH(TRIM(C281),'Code Aliases'!$A:$A,0)),TRIM(C281)))</f>
        <v/>
      </c>
      <c r="I281" s="17" t="str">
        <f aca="false">IF(TRIM(B281)="","",UPPER(TRIM(B281)))</f>
        <v/>
      </c>
      <c r="J281" s="17" t="str">
        <f aca="false">IF(H281="","",IF(COUNTIF('Master Stock'!$A$5:$A$206,H281)&gt;0,"Yes","Not on stock sheet"))</f>
        <v/>
      </c>
    </row>
    <row r="282" customFormat="false" ht="14.25" hidden="false" customHeight="true" outlineLevel="0" collapsed="false">
      <c r="E282" s="17"/>
      <c r="H282" s="17" t="str">
        <f aca="false">IF(TRIM(C282)="","",IFERROR(INDEX('Code Aliases'!$B:$B,MATCH(TRIM(C282),'Code Aliases'!$A:$A,0)),TRIM(C282)))</f>
        <v/>
      </c>
      <c r="I282" s="17" t="str">
        <f aca="false">IF(TRIM(B282)="","",UPPER(TRIM(B282)))</f>
        <v/>
      </c>
      <c r="J282" s="17" t="str">
        <f aca="false">IF(H282="","",IF(COUNTIF('Master Stock'!$A$5:$A$206,H282)&gt;0,"Yes","Not on stock sheet"))</f>
        <v/>
      </c>
    </row>
    <row r="283" customFormat="false" ht="14.25" hidden="false" customHeight="true" outlineLevel="0" collapsed="false">
      <c r="E283" s="17"/>
      <c r="H283" s="17" t="str">
        <f aca="false">IF(TRIM(C283)="","",IFERROR(INDEX('Code Aliases'!$B:$B,MATCH(TRIM(C283),'Code Aliases'!$A:$A,0)),TRIM(C283)))</f>
        <v/>
      </c>
      <c r="I283" s="17" t="str">
        <f aca="false">IF(TRIM(B283)="","",UPPER(TRIM(B283)))</f>
        <v/>
      </c>
      <c r="J283" s="17" t="str">
        <f aca="false">IF(H283="","",IF(COUNTIF('Master Stock'!$A$5:$A$206,H283)&gt;0,"Yes","Not on stock sheet"))</f>
        <v/>
      </c>
    </row>
    <row r="284" customFormat="false" ht="14.25" hidden="false" customHeight="true" outlineLevel="0" collapsed="false">
      <c r="E284" s="17"/>
      <c r="H284" s="17" t="str">
        <f aca="false">IF(TRIM(C284)="","",IFERROR(INDEX('Code Aliases'!$B:$B,MATCH(TRIM(C284),'Code Aliases'!$A:$A,0)),TRIM(C284)))</f>
        <v/>
      </c>
      <c r="I284" s="17" t="str">
        <f aca="false">IF(TRIM(B284)="","",UPPER(TRIM(B284)))</f>
        <v/>
      </c>
      <c r="J284" s="17" t="str">
        <f aca="false">IF(H284="","",IF(COUNTIF('Master Stock'!$A$5:$A$206,H284)&gt;0,"Yes","Not on stock sheet"))</f>
        <v/>
      </c>
    </row>
    <row r="285" customFormat="false" ht="14.25" hidden="false" customHeight="true" outlineLevel="0" collapsed="false">
      <c r="E285" s="17"/>
      <c r="H285" s="17" t="str">
        <f aca="false">IF(TRIM(C285)="","",IFERROR(INDEX('Code Aliases'!$B:$B,MATCH(TRIM(C285),'Code Aliases'!$A:$A,0)),TRIM(C285)))</f>
        <v/>
      </c>
      <c r="I285" s="17" t="str">
        <f aca="false">IF(TRIM(B285)="","",UPPER(TRIM(B285)))</f>
        <v/>
      </c>
      <c r="J285" s="17" t="str">
        <f aca="false">IF(H285="","",IF(COUNTIF('Master Stock'!$A$5:$A$206,H285)&gt;0,"Yes","Not on stock sheet"))</f>
        <v/>
      </c>
    </row>
    <row r="286" customFormat="false" ht="14.25" hidden="false" customHeight="true" outlineLevel="0" collapsed="false">
      <c r="E286" s="17"/>
      <c r="H286" s="17" t="str">
        <f aca="false">IF(TRIM(C286)="","",IFERROR(INDEX('Code Aliases'!$B:$B,MATCH(TRIM(C286),'Code Aliases'!$A:$A,0)),TRIM(C286)))</f>
        <v/>
      </c>
      <c r="I286" s="17" t="str">
        <f aca="false">IF(TRIM(B286)="","",UPPER(TRIM(B286)))</f>
        <v/>
      </c>
      <c r="J286" s="17" t="str">
        <f aca="false">IF(H286="","",IF(COUNTIF('Master Stock'!$A$5:$A$206,H286)&gt;0,"Yes","Not on stock sheet"))</f>
        <v/>
      </c>
    </row>
    <row r="287" customFormat="false" ht="14.25" hidden="false" customHeight="true" outlineLevel="0" collapsed="false">
      <c r="E287" s="17"/>
      <c r="H287" s="17" t="str">
        <f aca="false">IF(TRIM(C287)="","",IFERROR(INDEX('Code Aliases'!$B:$B,MATCH(TRIM(C287),'Code Aliases'!$A:$A,0)),TRIM(C287)))</f>
        <v/>
      </c>
      <c r="I287" s="17" t="str">
        <f aca="false">IF(TRIM(B287)="","",UPPER(TRIM(B287)))</f>
        <v/>
      </c>
      <c r="J287" s="17" t="str">
        <f aca="false">IF(H287="","",IF(COUNTIF('Master Stock'!$A$5:$A$206,H287)&gt;0,"Yes","Not on stock sheet"))</f>
        <v/>
      </c>
    </row>
    <row r="288" customFormat="false" ht="14.25" hidden="false" customHeight="true" outlineLevel="0" collapsed="false">
      <c r="E288" s="17"/>
      <c r="H288" s="17" t="str">
        <f aca="false">IF(TRIM(C288)="","",IFERROR(INDEX('Code Aliases'!$B:$B,MATCH(TRIM(C288),'Code Aliases'!$A:$A,0)),TRIM(C288)))</f>
        <v/>
      </c>
      <c r="I288" s="17" t="str">
        <f aca="false">IF(TRIM(B288)="","",UPPER(TRIM(B288)))</f>
        <v/>
      </c>
      <c r="J288" s="17" t="str">
        <f aca="false">IF(H288="","",IF(COUNTIF('Master Stock'!$A$5:$A$206,H288)&gt;0,"Yes","Not on stock sheet"))</f>
        <v/>
      </c>
    </row>
    <row r="289" customFormat="false" ht="14.25" hidden="false" customHeight="true" outlineLevel="0" collapsed="false">
      <c r="E289" s="17"/>
      <c r="H289" s="17" t="str">
        <f aca="false">IF(TRIM(C289)="","",IFERROR(INDEX('Code Aliases'!$B:$B,MATCH(TRIM(C289),'Code Aliases'!$A:$A,0)),TRIM(C289)))</f>
        <v/>
      </c>
      <c r="I289" s="17" t="str">
        <f aca="false">IF(TRIM(B289)="","",UPPER(TRIM(B289)))</f>
        <v/>
      </c>
      <c r="J289" s="17" t="str">
        <f aca="false">IF(H289="","",IF(COUNTIF('Master Stock'!$A$5:$A$206,H289)&gt;0,"Yes","Not on stock sheet"))</f>
        <v/>
      </c>
    </row>
    <row r="290" customFormat="false" ht="14.25" hidden="false" customHeight="true" outlineLevel="0" collapsed="false">
      <c r="E290" s="17"/>
      <c r="H290" s="17" t="str">
        <f aca="false">IF(TRIM(C290)="","",IFERROR(INDEX('Code Aliases'!$B:$B,MATCH(TRIM(C290),'Code Aliases'!$A:$A,0)),TRIM(C290)))</f>
        <v/>
      </c>
      <c r="I290" s="17" t="str">
        <f aca="false">IF(TRIM(B290)="","",UPPER(TRIM(B290)))</f>
        <v/>
      </c>
      <c r="J290" s="17" t="str">
        <f aca="false">IF(H290="","",IF(COUNTIF('Master Stock'!$A$5:$A$206,H290)&gt;0,"Yes","Not on stock sheet"))</f>
        <v/>
      </c>
    </row>
    <row r="291" customFormat="false" ht="14.25" hidden="false" customHeight="true" outlineLevel="0" collapsed="false">
      <c r="E291" s="17"/>
      <c r="H291" s="17" t="str">
        <f aca="false">IF(TRIM(C291)="","",IFERROR(INDEX('Code Aliases'!$B:$B,MATCH(TRIM(C291),'Code Aliases'!$A:$A,0)),TRIM(C291)))</f>
        <v/>
      </c>
      <c r="I291" s="17" t="str">
        <f aca="false">IF(TRIM(B291)="","",UPPER(TRIM(B291)))</f>
        <v/>
      </c>
      <c r="J291" s="17" t="str">
        <f aca="false">IF(H291="","",IF(COUNTIF('Master Stock'!$A$5:$A$206,H291)&gt;0,"Yes","Not on stock sheet"))</f>
        <v/>
      </c>
    </row>
    <row r="292" customFormat="false" ht="14.25" hidden="false" customHeight="true" outlineLevel="0" collapsed="false">
      <c r="E292" s="17"/>
      <c r="H292" s="17" t="str">
        <f aca="false">IF(TRIM(C292)="","",IFERROR(INDEX('Code Aliases'!$B:$B,MATCH(TRIM(C292),'Code Aliases'!$A:$A,0)),TRIM(C292)))</f>
        <v/>
      </c>
      <c r="I292" s="17" t="str">
        <f aca="false">IF(TRIM(B292)="","",UPPER(TRIM(B292)))</f>
        <v/>
      </c>
      <c r="J292" s="17" t="str">
        <f aca="false">IF(H292="","",IF(COUNTIF('Master Stock'!$A$5:$A$206,H292)&gt;0,"Yes","Not on stock sheet"))</f>
        <v/>
      </c>
    </row>
    <row r="293" customFormat="false" ht="14.25" hidden="false" customHeight="true" outlineLevel="0" collapsed="false">
      <c r="E293" s="17"/>
      <c r="H293" s="17" t="str">
        <f aca="false">IF(TRIM(C293)="","",IFERROR(INDEX('Code Aliases'!$B:$B,MATCH(TRIM(C293),'Code Aliases'!$A:$A,0)),TRIM(C293)))</f>
        <v/>
      </c>
      <c r="I293" s="17" t="str">
        <f aca="false">IF(TRIM(B293)="","",UPPER(TRIM(B293)))</f>
        <v/>
      </c>
      <c r="J293" s="17" t="str">
        <f aca="false">IF(H293="","",IF(COUNTIF('Master Stock'!$A$5:$A$206,H293)&gt;0,"Yes","Not on stock sheet"))</f>
        <v/>
      </c>
    </row>
    <row r="294" customFormat="false" ht="14.25" hidden="false" customHeight="true" outlineLevel="0" collapsed="false">
      <c r="E294" s="17"/>
      <c r="H294" s="17" t="str">
        <f aca="false">IF(TRIM(C294)="","",IFERROR(INDEX('Code Aliases'!$B:$B,MATCH(TRIM(C294),'Code Aliases'!$A:$A,0)),TRIM(C294)))</f>
        <v/>
      </c>
      <c r="I294" s="17" t="str">
        <f aca="false">IF(TRIM(B294)="","",UPPER(TRIM(B294)))</f>
        <v/>
      </c>
      <c r="J294" s="17" t="str">
        <f aca="false">IF(H294="","",IF(COUNTIF('Master Stock'!$A$5:$A$206,H294)&gt;0,"Yes","Not on stock sheet"))</f>
        <v/>
      </c>
    </row>
    <row r="295" customFormat="false" ht="14.25" hidden="false" customHeight="true" outlineLevel="0" collapsed="false">
      <c r="E295" s="17"/>
      <c r="H295" s="17" t="str">
        <f aca="false">IF(TRIM(C295)="","",IFERROR(INDEX('Code Aliases'!$B:$B,MATCH(TRIM(C295),'Code Aliases'!$A:$A,0)),TRIM(C295)))</f>
        <v/>
      </c>
      <c r="I295" s="17" t="str">
        <f aca="false">IF(TRIM(B295)="","",UPPER(TRIM(B295)))</f>
        <v/>
      </c>
      <c r="J295" s="17" t="str">
        <f aca="false">IF(H295="","",IF(COUNTIF('Master Stock'!$A$5:$A$206,H295)&gt;0,"Yes","Not on stock sheet"))</f>
        <v/>
      </c>
    </row>
    <row r="296" customFormat="false" ht="14.25" hidden="false" customHeight="true" outlineLevel="0" collapsed="false">
      <c r="E296" s="17"/>
      <c r="H296" s="17" t="str">
        <f aca="false">IF(TRIM(C296)="","",IFERROR(INDEX('Code Aliases'!$B:$B,MATCH(TRIM(C296),'Code Aliases'!$A:$A,0)),TRIM(C296)))</f>
        <v/>
      </c>
      <c r="I296" s="17" t="str">
        <f aca="false">IF(TRIM(B296)="","",UPPER(TRIM(B296)))</f>
        <v/>
      </c>
      <c r="J296" s="17" t="str">
        <f aca="false">IF(H296="","",IF(COUNTIF('Master Stock'!$A$5:$A$206,H296)&gt;0,"Yes","Not on stock sheet"))</f>
        <v/>
      </c>
    </row>
    <row r="297" customFormat="false" ht="14.25" hidden="false" customHeight="true" outlineLevel="0" collapsed="false">
      <c r="E297" s="17"/>
      <c r="H297" s="17" t="str">
        <f aca="false">IF(TRIM(C297)="","",IFERROR(INDEX('Code Aliases'!$B:$B,MATCH(TRIM(C297),'Code Aliases'!$A:$A,0)),TRIM(C297)))</f>
        <v/>
      </c>
      <c r="I297" s="17" t="str">
        <f aca="false">IF(TRIM(B297)="","",UPPER(TRIM(B297)))</f>
        <v/>
      </c>
      <c r="J297" s="17" t="str">
        <f aca="false">IF(H297="","",IF(COUNTIF('Master Stock'!$A$5:$A$206,H297)&gt;0,"Yes","Not on stock sheet"))</f>
        <v/>
      </c>
    </row>
    <row r="298" customFormat="false" ht="14.25" hidden="false" customHeight="true" outlineLevel="0" collapsed="false">
      <c r="E298" s="17"/>
      <c r="H298" s="17" t="str">
        <f aca="false">IF(TRIM(C298)="","",IFERROR(INDEX('Code Aliases'!$B:$B,MATCH(TRIM(C298),'Code Aliases'!$A:$A,0)),TRIM(C298)))</f>
        <v/>
      </c>
      <c r="I298" s="17" t="str">
        <f aca="false">IF(TRIM(B298)="","",UPPER(TRIM(B298)))</f>
        <v/>
      </c>
      <c r="J298" s="17" t="str">
        <f aca="false">IF(H298="","",IF(COUNTIF('Master Stock'!$A$5:$A$206,H298)&gt;0,"Yes","Not on stock sheet"))</f>
        <v/>
      </c>
    </row>
    <row r="299" customFormat="false" ht="14.25" hidden="false" customHeight="true" outlineLevel="0" collapsed="false">
      <c r="E299" s="17"/>
      <c r="H299" s="17" t="str">
        <f aca="false">IF(TRIM(C299)="","",IFERROR(INDEX('Code Aliases'!$B:$B,MATCH(TRIM(C299),'Code Aliases'!$A:$A,0)),TRIM(C299)))</f>
        <v/>
      </c>
      <c r="I299" s="17" t="str">
        <f aca="false">IF(TRIM(B299)="","",UPPER(TRIM(B299)))</f>
        <v/>
      </c>
      <c r="J299" s="17" t="str">
        <f aca="false">IF(H299="","",IF(COUNTIF('Master Stock'!$A$5:$A$206,H299)&gt;0,"Yes","Not on stock sheet"))</f>
        <v/>
      </c>
    </row>
    <row r="300" customFormat="false" ht="14.25" hidden="false" customHeight="true" outlineLevel="0" collapsed="false">
      <c r="E300" s="17"/>
      <c r="H300" s="17" t="str">
        <f aca="false">IF(TRIM(C300)="","",IFERROR(INDEX('Code Aliases'!$B:$B,MATCH(TRIM(C300),'Code Aliases'!$A:$A,0)),TRIM(C300)))</f>
        <v/>
      </c>
      <c r="I300" s="17" t="str">
        <f aca="false">IF(TRIM(B300)="","",UPPER(TRIM(B300)))</f>
        <v/>
      </c>
      <c r="J300" s="17" t="str">
        <f aca="false">IF(H300="","",IF(COUNTIF('Master Stock'!$A$5:$A$206,H300)&gt;0,"Yes","Not on stock sheet"))</f>
        <v/>
      </c>
    </row>
    <row r="301" customFormat="false" ht="14.25" hidden="false" customHeight="true" outlineLevel="0" collapsed="false">
      <c r="E301" s="17"/>
      <c r="H301" s="17" t="str">
        <f aca="false">IF(TRIM(C301)="","",IFERROR(INDEX('Code Aliases'!$B:$B,MATCH(TRIM(C301),'Code Aliases'!$A:$A,0)),TRIM(C301)))</f>
        <v/>
      </c>
      <c r="I301" s="17" t="str">
        <f aca="false">IF(TRIM(B301)="","",UPPER(TRIM(B301)))</f>
        <v/>
      </c>
      <c r="J301" s="17" t="str">
        <f aca="false">IF(H301="","",IF(COUNTIF('Master Stock'!$A$5:$A$206,H301)&gt;0,"Yes","Not on stock sheet"))</f>
        <v/>
      </c>
    </row>
    <row r="302" customFormat="false" ht="14.25" hidden="false" customHeight="true" outlineLevel="0" collapsed="false">
      <c r="E302" s="17"/>
      <c r="H302" s="17" t="str">
        <f aca="false">IF(TRIM(C302)="","",IFERROR(INDEX('Code Aliases'!$B:$B,MATCH(TRIM(C302),'Code Aliases'!$A:$A,0)),TRIM(C302)))</f>
        <v/>
      </c>
      <c r="I302" s="17" t="str">
        <f aca="false">IF(TRIM(B302)="","",UPPER(TRIM(B302)))</f>
        <v/>
      </c>
      <c r="J302" s="17" t="str">
        <f aca="false">IF(H302="","",IF(COUNTIF('Master Stock'!$A$5:$A$206,H302)&gt;0,"Yes","Not on stock sheet"))</f>
        <v/>
      </c>
    </row>
    <row r="303" customFormat="false" ht="14.25" hidden="false" customHeight="true" outlineLevel="0" collapsed="false">
      <c r="E303" s="17"/>
      <c r="H303" s="17" t="str">
        <f aca="false">IF(TRIM(C303)="","",IFERROR(INDEX('Code Aliases'!$B:$B,MATCH(TRIM(C303),'Code Aliases'!$A:$A,0)),TRIM(C303)))</f>
        <v/>
      </c>
      <c r="I303" s="17" t="str">
        <f aca="false">IF(TRIM(B303)="","",UPPER(TRIM(B303)))</f>
        <v/>
      </c>
      <c r="J303" s="17" t="str">
        <f aca="false">IF(H303="","",IF(COUNTIF('Master Stock'!$A$5:$A$206,H303)&gt;0,"Yes","Not on stock sheet"))</f>
        <v/>
      </c>
    </row>
    <row r="304" customFormat="false" ht="14.25" hidden="false" customHeight="true" outlineLevel="0" collapsed="false">
      <c r="E304" s="17"/>
      <c r="H304" s="17" t="str">
        <f aca="false">IF(TRIM(C304)="","",IFERROR(INDEX('Code Aliases'!$B:$B,MATCH(TRIM(C304),'Code Aliases'!$A:$A,0)),TRIM(C304)))</f>
        <v/>
      </c>
      <c r="I304" s="17" t="str">
        <f aca="false">IF(TRIM(B304)="","",UPPER(TRIM(B304)))</f>
        <v/>
      </c>
      <c r="J304" s="17" t="str">
        <f aca="false">IF(H304="","",IF(COUNTIF('Master Stock'!$A$5:$A$206,H304)&gt;0,"Yes","Not on stock sheet"))</f>
        <v/>
      </c>
    </row>
    <row r="305" customFormat="false" ht="14.25" hidden="false" customHeight="true" outlineLevel="0" collapsed="false">
      <c r="E305" s="17"/>
      <c r="H305" s="17" t="str">
        <f aca="false">IF(TRIM(C305)="","",IFERROR(INDEX('Code Aliases'!$B:$B,MATCH(TRIM(C305),'Code Aliases'!$A:$A,0)),TRIM(C305)))</f>
        <v/>
      </c>
      <c r="I305" s="17" t="str">
        <f aca="false">IF(TRIM(B305)="","",UPPER(TRIM(B305)))</f>
        <v/>
      </c>
      <c r="J305" s="17" t="str">
        <f aca="false">IF(H305="","",IF(COUNTIF('Master Stock'!$A$5:$A$206,H305)&gt;0,"Yes","Not on stock sheet"))</f>
        <v/>
      </c>
    </row>
    <row r="306" customFormat="false" ht="14.25" hidden="false" customHeight="true" outlineLevel="0" collapsed="false">
      <c r="E306" s="17"/>
      <c r="H306" s="17" t="str">
        <f aca="false">IF(TRIM(C306)="","",IFERROR(INDEX('Code Aliases'!$B:$B,MATCH(TRIM(C306),'Code Aliases'!$A:$A,0)),TRIM(C306)))</f>
        <v/>
      </c>
      <c r="I306" s="17" t="str">
        <f aca="false">IF(TRIM(B306)="","",UPPER(TRIM(B306)))</f>
        <v/>
      </c>
      <c r="J306" s="17" t="str">
        <f aca="false">IF(H306="","",IF(COUNTIF('Master Stock'!$A$5:$A$206,H306)&gt;0,"Yes","Not on stock sheet"))</f>
        <v/>
      </c>
    </row>
    <row r="307" customFormat="false" ht="14.25" hidden="false" customHeight="true" outlineLevel="0" collapsed="false">
      <c r="E307" s="17"/>
      <c r="H307" s="17" t="str">
        <f aca="false">IF(TRIM(C307)="","",IFERROR(INDEX('Code Aliases'!$B:$B,MATCH(TRIM(C307),'Code Aliases'!$A:$A,0)),TRIM(C307)))</f>
        <v/>
      </c>
      <c r="I307" s="17" t="str">
        <f aca="false">IF(TRIM(B307)="","",UPPER(TRIM(B307)))</f>
        <v/>
      </c>
      <c r="J307" s="17" t="str">
        <f aca="false">IF(H307="","",IF(COUNTIF('Master Stock'!$A$5:$A$206,H307)&gt;0,"Yes","Not on stock sheet"))</f>
        <v/>
      </c>
    </row>
    <row r="308" customFormat="false" ht="14.25" hidden="false" customHeight="true" outlineLevel="0" collapsed="false">
      <c r="E308" s="17"/>
      <c r="H308" s="17" t="str">
        <f aca="false">IF(TRIM(C308)="","",IFERROR(INDEX('Code Aliases'!$B:$B,MATCH(TRIM(C308),'Code Aliases'!$A:$A,0)),TRIM(C308)))</f>
        <v/>
      </c>
      <c r="I308" s="17" t="str">
        <f aca="false">IF(TRIM(B308)="","",UPPER(TRIM(B308)))</f>
        <v/>
      </c>
      <c r="J308" s="17" t="str">
        <f aca="false">IF(H308="","",IF(COUNTIF('Master Stock'!$A$5:$A$206,H308)&gt;0,"Yes","Not on stock sheet"))</f>
        <v/>
      </c>
    </row>
    <row r="309" customFormat="false" ht="14.25" hidden="false" customHeight="true" outlineLevel="0" collapsed="false">
      <c r="E309" s="17"/>
      <c r="H309" s="17" t="str">
        <f aca="false">IF(TRIM(C309)="","",IFERROR(INDEX('Code Aliases'!$B:$B,MATCH(TRIM(C309),'Code Aliases'!$A:$A,0)),TRIM(C309)))</f>
        <v/>
      </c>
      <c r="I309" s="17" t="str">
        <f aca="false">IF(TRIM(B309)="","",UPPER(TRIM(B309)))</f>
        <v/>
      </c>
      <c r="J309" s="17" t="str">
        <f aca="false">IF(H309="","",IF(COUNTIF('Master Stock'!$A$5:$A$206,H309)&gt;0,"Yes","Not on stock sheet"))</f>
        <v/>
      </c>
    </row>
    <row r="310" customFormat="false" ht="14.25" hidden="false" customHeight="true" outlineLevel="0" collapsed="false">
      <c r="E310" s="17"/>
      <c r="H310" s="17" t="str">
        <f aca="false">IF(TRIM(C310)="","",IFERROR(INDEX('Code Aliases'!$B:$B,MATCH(TRIM(C310),'Code Aliases'!$A:$A,0)),TRIM(C310)))</f>
        <v/>
      </c>
      <c r="I310" s="17" t="str">
        <f aca="false">IF(TRIM(B310)="","",UPPER(TRIM(B310)))</f>
        <v/>
      </c>
      <c r="J310" s="17" t="str">
        <f aca="false">IF(H310="","",IF(COUNTIF('Master Stock'!$A$5:$A$206,H310)&gt;0,"Yes","Not on stock sheet"))</f>
        <v/>
      </c>
    </row>
    <row r="311" customFormat="false" ht="14.25" hidden="false" customHeight="true" outlineLevel="0" collapsed="false">
      <c r="E311" s="17"/>
      <c r="H311" s="17" t="str">
        <f aca="false">IF(TRIM(C311)="","",IFERROR(INDEX('Code Aliases'!$B:$B,MATCH(TRIM(C311),'Code Aliases'!$A:$A,0)),TRIM(C311)))</f>
        <v/>
      </c>
      <c r="I311" s="17" t="str">
        <f aca="false">IF(TRIM(B311)="","",UPPER(TRIM(B311)))</f>
        <v/>
      </c>
      <c r="J311" s="17" t="str">
        <f aca="false">IF(H311="","",IF(COUNTIF('Master Stock'!$A$5:$A$206,H311)&gt;0,"Yes","Not on stock sheet"))</f>
        <v/>
      </c>
    </row>
    <row r="312" customFormat="false" ht="14.25" hidden="false" customHeight="true" outlineLevel="0" collapsed="false">
      <c r="E312" s="17"/>
      <c r="H312" s="17" t="str">
        <f aca="false">IF(TRIM(C312)="","",IFERROR(INDEX('Code Aliases'!$B:$B,MATCH(TRIM(C312),'Code Aliases'!$A:$A,0)),TRIM(C312)))</f>
        <v/>
      </c>
      <c r="I312" s="17" t="str">
        <f aca="false">IF(TRIM(B312)="","",UPPER(TRIM(B312)))</f>
        <v/>
      </c>
      <c r="J312" s="17" t="str">
        <f aca="false">IF(H312="","",IF(COUNTIF('Master Stock'!$A$5:$A$206,H312)&gt;0,"Yes","Not on stock sheet"))</f>
        <v/>
      </c>
    </row>
    <row r="313" customFormat="false" ht="14.25" hidden="false" customHeight="true" outlineLevel="0" collapsed="false">
      <c r="E313" s="17"/>
      <c r="H313" s="17" t="str">
        <f aca="false">IF(TRIM(C313)="","",IFERROR(INDEX('Code Aliases'!$B:$B,MATCH(TRIM(C313),'Code Aliases'!$A:$A,0)),TRIM(C313)))</f>
        <v/>
      </c>
      <c r="I313" s="17" t="str">
        <f aca="false">IF(TRIM(B313)="","",UPPER(TRIM(B313)))</f>
        <v/>
      </c>
      <c r="J313" s="17" t="str">
        <f aca="false">IF(H313="","",IF(COUNTIF('Master Stock'!$A$5:$A$206,H313)&gt;0,"Yes","Not on stock sheet"))</f>
        <v/>
      </c>
    </row>
    <row r="314" customFormat="false" ht="14.25" hidden="false" customHeight="true" outlineLevel="0" collapsed="false">
      <c r="E314" s="17"/>
      <c r="H314" s="17" t="str">
        <f aca="false">IF(TRIM(C314)="","",IFERROR(INDEX('Code Aliases'!$B:$B,MATCH(TRIM(C314),'Code Aliases'!$A:$A,0)),TRIM(C314)))</f>
        <v/>
      </c>
      <c r="I314" s="17" t="str">
        <f aca="false">IF(TRIM(B314)="","",UPPER(TRIM(B314)))</f>
        <v/>
      </c>
      <c r="J314" s="17" t="str">
        <f aca="false">IF(H314="","",IF(COUNTIF('Master Stock'!$A$5:$A$206,H314)&gt;0,"Yes","Not on stock sheet"))</f>
        <v/>
      </c>
    </row>
    <row r="315" customFormat="false" ht="14.25" hidden="false" customHeight="true" outlineLevel="0" collapsed="false">
      <c r="E315" s="17"/>
      <c r="H315" s="17" t="str">
        <f aca="false">IF(TRIM(C315)="","",IFERROR(INDEX('Code Aliases'!$B:$B,MATCH(TRIM(C315),'Code Aliases'!$A:$A,0)),TRIM(C315)))</f>
        <v/>
      </c>
      <c r="I315" s="17" t="str">
        <f aca="false">IF(TRIM(B315)="","",UPPER(TRIM(B315)))</f>
        <v/>
      </c>
      <c r="J315" s="17" t="str">
        <f aca="false">IF(H315="","",IF(COUNTIF('Master Stock'!$A$5:$A$206,H315)&gt;0,"Yes","Not on stock sheet"))</f>
        <v/>
      </c>
    </row>
    <row r="316" customFormat="false" ht="14.25" hidden="false" customHeight="true" outlineLevel="0" collapsed="false">
      <c r="E316" s="17"/>
      <c r="H316" s="17" t="str">
        <f aca="false">IF(TRIM(C316)="","",IFERROR(INDEX('Code Aliases'!$B:$B,MATCH(TRIM(C316),'Code Aliases'!$A:$A,0)),TRIM(C316)))</f>
        <v/>
      </c>
      <c r="I316" s="17" t="str">
        <f aca="false">IF(TRIM(B316)="","",UPPER(TRIM(B316)))</f>
        <v/>
      </c>
      <c r="J316" s="17" t="str">
        <f aca="false">IF(H316="","",IF(COUNTIF('Master Stock'!$A$5:$A$206,H316)&gt;0,"Yes","Not on stock sheet"))</f>
        <v/>
      </c>
    </row>
    <row r="317" customFormat="false" ht="14.25" hidden="false" customHeight="true" outlineLevel="0" collapsed="false">
      <c r="E317" s="17"/>
      <c r="H317" s="17" t="str">
        <f aca="false">IF(TRIM(C317)="","",IFERROR(INDEX('Code Aliases'!$B:$B,MATCH(TRIM(C317),'Code Aliases'!$A:$A,0)),TRIM(C317)))</f>
        <v/>
      </c>
      <c r="I317" s="17" t="str">
        <f aca="false">IF(TRIM(B317)="","",UPPER(TRIM(B317)))</f>
        <v/>
      </c>
      <c r="J317" s="17" t="str">
        <f aca="false">IF(H317="","",IF(COUNTIF('Master Stock'!$A$5:$A$206,H317)&gt;0,"Yes","Not on stock sheet"))</f>
        <v/>
      </c>
    </row>
    <row r="318" customFormat="false" ht="14.25" hidden="false" customHeight="true" outlineLevel="0" collapsed="false">
      <c r="E318" s="17"/>
      <c r="H318" s="17" t="str">
        <f aca="false">IF(TRIM(C318)="","",IFERROR(INDEX('Code Aliases'!$B:$B,MATCH(TRIM(C318),'Code Aliases'!$A:$A,0)),TRIM(C318)))</f>
        <v/>
      </c>
      <c r="I318" s="17" t="str">
        <f aca="false">IF(TRIM(B318)="","",UPPER(TRIM(B318)))</f>
        <v/>
      </c>
      <c r="J318" s="17" t="str">
        <f aca="false">IF(H318="","",IF(COUNTIF('Master Stock'!$A$5:$A$206,H318)&gt;0,"Yes","Not on stock sheet"))</f>
        <v/>
      </c>
    </row>
    <row r="319" customFormat="false" ht="14.25" hidden="false" customHeight="true" outlineLevel="0" collapsed="false">
      <c r="E319" s="17"/>
      <c r="H319" s="17" t="str">
        <f aca="false">IF(TRIM(C319)="","",IFERROR(INDEX('Code Aliases'!$B:$B,MATCH(TRIM(C319),'Code Aliases'!$A:$A,0)),TRIM(C319)))</f>
        <v/>
      </c>
      <c r="I319" s="17" t="str">
        <f aca="false">IF(TRIM(B319)="","",UPPER(TRIM(B319)))</f>
        <v/>
      </c>
      <c r="J319" s="17" t="str">
        <f aca="false">IF(H319="","",IF(COUNTIF('Master Stock'!$A$5:$A$206,H319)&gt;0,"Yes","Not on stock sheet"))</f>
        <v/>
      </c>
    </row>
    <row r="320" customFormat="false" ht="14.25" hidden="false" customHeight="true" outlineLevel="0" collapsed="false">
      <c r="E320" s="17"/>
      <c r="H320" s="17" t="str">
        <f aca="false">IF(TRIM(C320)="","",IFERROR(INDEX('Code Aliases'!$B:$B,MATCH(TRIM(C320),'Code Aliases'!$A:$A,0)),TRIM(C320)))</f>
        <v/>
      </c>
      <c r="I320" s="17" t="str">
        <f aca="false">IF(TRIM(B320)="","",UPPER(TRIM(B320)))</f>
        <v/>
      </c>
      <c r="J320" s="17" t="str">
        <f aca="false">IF(H320="","",IF(COUNTIF('Master Stock'!$A$5:$A$206,H320)&gt;0,"Yes","Not on stock sheet"))</f>
        <v/>
      </c>
    </row>
    <row r="321" customFormat="false" ht="14.25" hidden="false" customHeight="true" outlineLevel="0" collapsed="false">
      <c r="E321" s="17"/>
      <c r="H321" s="17" t="str">
        <f aca="false">IF(TRIM(C321)="","",IFERROR(INDEX('Code Aliases'!$B:$B,MATCH(TRIM(C321),'Code Aliases'!$A:$A,0)),TRIM(C321)))</f>
        <v/>
      </c>
      <c r="I321" s="17" t="str">
        <f aca="false">IF(TRIM(B321)="","",UPPER(TRIM(B321)))</f>
        <v/>
      </c>
      <c r="J321" s="17" t="str">
        <f aca="false">IF(H321="","",IF(COUNTIF('Master Stock'!$A$5:$A$206,H321)&gt;0,"Yes","Not on stock sheet"))</f>
        <v/>
      </c>
    </row>
    <row r="322" customFormat="false" ht="14.25" hidden="false" customHeight="true" outlineLevel="0" collapsed="false">
      <c r="E322" s="17"/>
      <c r="H322" s="17" t="str">
        <f aca="false">IF(TRIM(C322)="","",IFERROR(INDEX('Code Aliases'!$B:$B,MATCH(TRIM(C322),'Code Aliases'!$A:$A,0)),TRIM(C322)))</f>
        <v/>
      </c>
      <c r="I322" s="17" t="str">
        <f aca="false">IF(TRIM(B322)="","",UPPER(TRIM(B322)))</f>
        <v/>
      </c>
      <c r="J322" s="17" t="str">
        <f aca="false">IF(H322="","",IF(COUNTIF('Master Stock'!$A$5:$A$206,H322)&gt;0,"Yes","Not on stock sheet"))</f>
        <v/>
      </c>
    </row>
    <row r="323" customFormat="false" ht="14.25" hidden="false" customHeight="true" outlineLevel="0" collapsed="false">
      <c r="E323" s="17"/>
      <c r="H323" s="17" t="str">
        <f aca="false">IF(TRIM(C323)="","",IFERROR(INDEX('Code Aliases'!$B:$B,MATCH(TRIM(C323),'Code Aliases'!$A:$A,0)),TRIM(C323)))</f>
        <v/>
      </c>
      <c r="I323" s="17" t="str">
        <f aca="false">IF(TRIM(B323)="","",UPPER(TRIM(B323)))</f>
        <v/>
      </c>
      <c r="J323" s="17" t="str">
        <f aca="false">IF(H323="","",IF(COUNTIF('Master Stock'!$A$5:$A$206,H323)&gt;0,"Yes","Not on stock sheet"))</f>
        <v/>
      </c>
    </row>
    <row r="324" customFormat="false" ht="14.25" hidden="false" customHeight="true" outlineLevel="0" collapsed="false">
      <c r="E324" s="17"/>
      <c r="H324" s="17" t="str">
        <f aca="false">IF(TRIM(C324)="","",IFERROR(INDEX('Code Aliases'!$B:$B,MATCH(TRIM(C324),'Code Aliases'!$A:$A,0)),TRIM(C324)))</f>
        <v/>
      </c>
      <c r="I324" s="17" t="str">
        <f aca="false">IF(TRIM(B324)="","",UPPER(TRIM(B324)))</f>
        <v/>
      </c>
      <c r="J324" s="17" t="str">
        <f aca="false">IF(H324="","",IF(COUNTIF('Master Stock'!$A$5:$A$206,H324)&gt;0,"Yes","Not on stock sheet"))</f>
        <v/>
      </c>
    </row>
    <row r="325" customFormat="false" ht="14.25" hidden="false" customHeight="true" outlineLevel="0" collapsed="false">
      <c r="E325" s="17"/>
      <c r="H325" s="17" t="str">
        <f aca="false">IF(TRIM(C325)="","",IFERROR(INDEX('Code Aliases'!$B:$B,MATCH(TRIM(C325),'Code Aliases'!$A:$A,0)),TRIM(C325)))</f>
        <v/>
      </c>
      <c r="I325" s="17" t="str">
        <f aca="false">IF(TRIM(B325)="","",UPPER(TRIM(B325)))</f>
        <v/>
      </c>
      <c r="J325" s="17" t="str">
        <f aca="false">IF(H325="","",IF(COUNTIF('Master Stock'!$A$5:$A$206,H325)&gt;0,"Yes","Not on stock sheet"))</f>
        <v/>
      </c>
    </row>
    <row r="326" customFormat="false" ht="14.25" hidden="false" customHeight="true" outlineLevel="0" collapsed="false">
      <c r="E326" s="17"/>
      <c r="H326" s="17" t="str">
        <f aca="false">IF(TRIM(C326)="","",IFERROR(INDEX('Code Aliases'!$B:$B,MATCH(TRIM(C326),'Code Aliases'!$A:$A,0)),TRIM(C326)))</f>
        <v/>
      </c>
      <c r="I326" s="17" t="str">
        <f aca="false">IF(TRIM(B326)="","",UPPER(TRIM(B326)))</f>
        <v/>
      </c>
      <c r="J326" s="17" t="str">
        <f aca="false">IF(H326="","",IF(COUNTIF('Master Stock'!$A$5:$A$206,H326)&gt;0,"Yes","Not on stock sheet"))</f>
        <v/>
      </c>
    </row>
    <row r="327" customFormat="false" ht="14.25" hidden="false" customHeight="true" outlineLevel="0" collapsed="false">
      <c r="E327" s="17"/>
      <c r="H327" s="17" t="str">
        <f aca="false">IF(TRIM(C327)="","",IFERROR(INDEX('Code Aliases'!$B:$B,MATCH(TRIM(C327),'Code Aliases'!$A:$A,0)),TRIM(C327)))</f>
        <v/>
      </c>
      <c r="I327" s="17" t="str">
        <f aca="false">IF(TRIM(B327)="","",UPPER(TRIM(B327)))</f>
        <v/>
      </c>
      <c r="J327" s="17" t="str">
        <f aca="false">IF(H327="","",IF(COUNTIF('Master Stock'!$A$5:$A$206,H327)&gt;0,"Yes","Not on stock sheet"))</f>
        <v/>
      </c>
    </row>
    <row r="328" customFormat="false" ht="14.25" hidden="false" customHeight="true" outlineLevel="0" collapsed="false">
      <c r="E328" s="17"/>
      <c r="H328" s="17" t="str">
        <f aca="false">IF(TRIM(C328)="","",IFERROR(INDEX('Code Aliases'!$B:$B,MATCH(TRIM(C328),'Code Aliases'!$A:$A,0)),TRIM(C328)))</f>
        <v/>
      </c>
      <c r="I328" s="17" t="str">
        <f aca="false">IF(TRIM(B328)="","",UPPER(TRIM(B328)))</f>
        <v/>
      </c>
      <c r="J328" s="17" t="str">
        <f aca="false">IF(H328="","",IF(COUNTIF('Master Stock'!$A$5:$A$206,H328)&gt;0,"Yes","Not on stock sheet"))</f>
        <v/>
      </c>
    </row>
    <row r="329" customFormat="false" ht="14.25" hidden="false" customHeight="true" outlineLevel="0" collapsed="false">
      <c r="E329" s="17"/>
      <c r="H329" s="17" t="str">
        <f aca="false">IF(TRIM(C329)="","",IFERROR(INDEX('Code Aliases'!$B:$B,MATCH(TRIM(C329),'Code Aliases'!$A:$A,0)),TRIM(C329)))</f>
        <v/>
      </c>
      <c r="I329" s="17" t="str">
        <f aca="false">IF(TRIM(B329)="","",UPPER(TRIM(B329)))</f>
        <v/>
      </c>
      <c r="J329" s="17" t="str">
        <f aca="false">IF(H329="","",IF(COUNTIF('Master Stock'!$A$5:$A$206,H329)&gt;0,"Yes","Not on stock sheet"))</f>
        <v/>
      </c>
    </row>
    <row r="330" customFormat="false" ht="14.25" hidden="false" customHeight="true" outlineLevel="0" collapsed="false">
      <c r="E330" s="17"/>
      <c r="H330" s="17" t="str">
        <f aca="false">IF(TRIM(C330)="","",IFERROR(INDEX('Code Aliases'!$B:$B,MATCH(TRIM(C330),'Code Aliases'!$A:$A,0)),TRIM(C330)))</f>
        <v/>
      </c>
      <c r="I330" s="17" t="str">
        <f aca="false">IF(TRIM(B330)="","",UPPER(TRIM(B330)))</f>
        <v/>
      </c>
      <c r="J330" s="17" t="str">
        <f aca="false">IF(H330="","",IF(COUNTIF('Master Stock'!$A$5:$A$206,H330)&gt;0,"Yes","Not on stock sheet"))</f>
        <v/>
      </c>
    </row>
    <row r="331" customFormat="false" ht="14.25" hidden="false" customHeight="true" outlineLevel="0" collapsed="false">
      <c r="E331" s="17"/>
      <c r="H331" s="17" t="str">
        <f aca="false">IF(TRIM(C331)="","",IFERROR(INDEX('Code Aliases'!$B:$B,MATCH(TRIM(C331),'Code Aliases'!$A:$A,0)),TRIM(C331)))</f>
        <v/>
      </c>
      <c r="I331" s="17" t="str">
        <f aca="false">IF(TRIM(B331)="","",UPPER(TRIM(B331)))</f>
        <v/>
      </c>
      <c r="J331" s="17" t="str">
        <f aca="false">IF(H331="","",IF(COUNTIF('Master Stock'!$A$5:$A$206,H331)&gt;0,"Yes","Not on stock sheet"))</f>
        <v/>
      </c>
    </row>
    <row r="332" customFormat="false" ht="14.25" hidden="false" customHeight="true" outlineLevel="0" collapsed="false">
      <c r="E332" s="17"/>
      <c r="H332" s="17" t="str">
        <f aca="false">IF(TRIM(C332)="","",IFERROR(INDEX('Code Aliases'!$B:$B,MATCH(TRIM(C332),'Code Aliases'!$A:$A,0)),TRIM(C332)))</f>
        <v/>
      </c>
      <c r="I332" s="17" t="str">
        <f aca="false">IF(TRIM(B332)="","",UPPER(TRIM(B332)))</f>
        <v/>
      </c>
      <c r="J332" s="17" t="str">
        <f aca="false">IF(H332="","",IF(COUNTIF('Master Stock'!$A$5:$A$206,H332)&gt;0,"Yes","Not on stock sheet"))</f>
        <v/>
      </c>
    </row>
    <row r="333" customFormat="false" ht="14.25" hidden="false" customHeight="true" outlineLevel="0" collapsed="false">
      <c r="E333" s="17"/>
      <c r="H333" s="17" t="str">
        <f aca="false">IF(TRIM(C333)="","",IFERROR(INDEX('Code Aliases'!$B:$B,MATCH(TRIM(C333),'Code Aliases'!$A:$A,0)),TRIM(C333)))</f>
        <v/>
      </c>
      <c r="I333" s="17" t="str">
        <f aca="false">IF(TRIM(B333)="","",UPPER(TRIM(B333)))</f>
        <v/>
      </c>
      <c r="J333" s="17" t="str">
        <f aca="false">IF(H333="","",IF(COUNTIF('Master Stock'!$A$5:$A$206,H333)&gt;0,"Yes","Not on stock sheet"))</f>
        <v/>
      </c>
    </row>
    <row r="334" customFormat="false" ht="14.25" hidden="false" customHeight="true" outlineLevel="0" collapsed="false">
      <c r="E334" s="17"/>
      <c r="H334" s="17" t="str">
        <f aca="false">IF(TRIM(C334)="","",IFERROR(INDEX('Code Aliases'!$B:$B,MATCH(TRIM(C334),'Code Aliases'!$A:$A,0)),TRIM(C334)))</f>
        <v/>
      </c>
      <c r="I334" s="17" t="str">
        <f aca="false">IF(TRIM(B334)="","",UPPER(TRIM(B334)))</f>
        <v/>
      </c>
      <c r="J334" s="17" t="str">
        <f aca="false">IF(H334="","",IF(COUNTIF('Master Stock'!$A$5:$A$206,H334)&gt;0,"Yes","Not on stock sheet"))</f>
        <v/>
      </c>
    </row>
    <row r="335" customFormat="false" ht="14.25" hidden="false" customHeight="true" outlineLevel="0" collapsed="false">
      <c r="E335" s="17"/>
      <c r="H335" s="17" t="str">
        <f aca="false">IF(TRIM(C335)="","",IFERROR(INDEX('Code Aliases'!$B:$B,MATCH(TRIM(C335),'Code Aliases'!$A:$A,0)),TRIM(C335)))</f>
        <v/>
      </c>
      <c r="I335" s="17" t="str">
        <f aca="false">IF(TRIM(B335)="","",UPPER(TRIM(B335)))</f>
        <v/>
      </c>
      <c r="J335" s="17" t="str">
        <f aca="false">IF(H335="","",IF(COUNTIF('Master Stock'!$A$5:$A$206,H335)&gt;0,"Yes","Not on stock sheet"))</f>
        <v/>
      </c>
    </row>
    <row r="336" customFormat="false" ht="14.25" hidden="false" customHeight="true" outlineLevel="0" collapsed="false">
      <c r="E336" s="17"/>
      <c r="H336" s="17" t="str">
        <f aca="false">IF(TRIM(C336)="","",IFERROR(INDEX('Code Aliases'!$B:$B,MATCH(TRIM(C336),'Code Aliases'!$A:$A,0)),TRIM(C336)))</f>
        <v/>
      </c>
      <c r="I336" s="17" t="str">
        <f aca="false">IF(TRIM(B336)="","",UPPER(TRIM(B336)))</f>
        <v/>
      </c>
      <c r="J336" s="17" t="str">
        <f aca="false">IF(H336="","",IF(COUNTIF('Master Stock'!$A$5:$A$206,H336)&gt;0,"Yes","Not on stock sheet"))</f>
        <v/>
      </c>
    </row>
    <row r="337" customFormat="false" ht="14.25" hidden="false" customHeight="true" outlineLevel="0" collapsed="false">
      <c r="E337" s="17"/>
      <c r="H337" s="17" t="str">
        <f aca="false">IF(TRIM(C337)="","",IFERROR(INDEX('Code Aliases'!$B:$B,MATCH(TRIM(C337),'Code Aliases'!$A:$A,0)),TRIM(C337)))</f>
        <v/>
      </c>
      <c r="I337" s="17" t="str">
        <f aca="false">IF(TRIM(B337)="","",UPPER(TRIM(B337)))</f>
        <v/>
      </c>
      <c r="J337" s="17" t="str">
        <f aca="false">IF(H337="","",IF(COUNTIF('Master Stock'!$A$5:$A$206,H337)&gt;0,"Yes","Not on stock sheet"))</f>
        <v/>
      </c>
    </row>
    <row r="338" customFormat="false" ht="14.25" hidden="false" customHeight="true" outlineLevel="0" collapsed="false">
      <c r="E338" s="17"/>
      <c r="H338" s="17" t="str">
        <f aca="false">IF(TRIM(C338)="","",IFERROR(INDEX('Code Aliases'!$B:$B,MATCH(TRIM(C338),'Code Aliases'!$A:$A,0)),TRIM(C338)))</f>
        <v/>
      </c>
      <c r="I338" s="17" t="str">
        <f aca="false">IF(TRIM(B338)="","",UPPER(TRIM(B338)))</f>
        <v/>
      </c>
      <c r="J338" s="17" t="str">
        <f aca="false">IF(H338="","",IF(COUNTIF('Master Stock'!$A$5:$A$206,H338)&gt;0,"Yes","Not on stock sheet"))</f>
        <v/>
      </c>
    </row>
    <row r="339" customFormat="false" ht="14.25" hidden="false" customHeight="true" outlineLevel="0" collapsed="false">
      <c r="E339" s="17"/>
      <c r="H339" s="17" t="str">
        <f aca="false">IF(TRIM(C339)="","",IFERROR(INDEX('Code Aliases'!$B:$B,MATCH(TRIM(C339),'Code Aliases'!$A:$A,0)),TRIM(C339)))</f>
        <v/>
      </c>
      <c r="I339" s="17" t="str">
        <f aca="false">IF(TRIM(B339)="","",UPPER(TRIM(B339)))</f>
        <v/>
      </c>
      <c r="J339" s="17" t="str">
        <f aca="false">IF(H339="","",IF(COUNTIF('Master Stock'!$A$5:$A$206,H339)&gt;0,"Yes","Not on stock sheet"))</f>
        <v/>
      </c>
    </row>
    <row r="340" customFormat="false" ht="14.25" hidden="false" customHeight="true" outlineLevel="0" collapsed="false">
      <c r="E340" s="17"/>
      <c r="H340" s="17" t="str">
        <f aca="false">IF(TRIM(C340)="","",IFERROR(INDEX('Code Aliases'!$B:$B,MATCH(TRIM(C340),'Code Aliases'!$A:$A,0)),TRIM(C340)))</f>
        <v/>
      </c>
      <c r="I340" s="17" t="str">
        <f aca="false">IF(TRIM(B340)="","",UPPER(TRIM(B340)))</f>
        <v/>
      </c>
      <c r="J340" s="17" t="str">
        <f aca="false">IF(H340="","",IF(COUNTIF('Master Stock'!$A$5:$A$206,H340)&gt;0,"Yes","Not on stock sheet"))</f>
        <v/>
      </c>
    </row>
    <row r="341" customFormat="false" ht="14.25" hidden="false" customHeight="true" outlineLevel="0" collapsed="false">
      <c r="E341" s="17"/>
      <c r="H341" s="17" t="str">
        <f aca="false">IF(TRIM(C341)="","",IFERROR(INDEX('Code Aliases'!$B:$B,MATCH(TRIM(C341),'Code Aliases'!$A:$A,0)),TRIM(C341)))</f>
        <v/>
      </c>
      <c r="I341" s="17" t="str">
        <f aca="false">IF(TRIM(B341)="","",UPPER(TRIM(B341)))</f>
        <v/>
      </c>
      <c r="J341" s="17" t="str">
        <f aca="false">IF(H341="","",IF(COUNTIF('Master Stock'!$A$5:$A$206,H341)&gt;0,"Yes","Not on stock sheet"))</f>
        <v/>
      </c>
    </row>
    <row r="342" customFormat="false" ht="14.25" hidden="false" customHeight="true" outlineLevel="0" collapsed="false">
      <c r="E342" s="17"/>
      <c r="H342" s="17" t="str">
        <f aca="false">IF(TRIM(C342)="","",IFERROR(INDEX('Code Aliases'!$B:$B,MATCH(TRIM(C342),'Code Aliases'!$A:$A,0)),TRIM(C342)))</f>
        <v/>
      </c>
      <c r="I342" s="17" t="str">
        <f aca="false">IF(TRIM(B342)="","",UPPER(TRIM(B342)))</f>
        <v/>
      </c>
      <c r="J342" s="17" t="str">
        <f aca="false">IF(H342="","",IF(COUNTIF('Master Stock'!$A$5:$A$206,H342)&gt;0,"Yes","Not on stock sheet"))</f>
        <v/>
      </c>
    </row>
    <row r="343" customFormat="false" ht="14.25" hidden="false" customHeight="true" outlineLevel="0" collapsed="false">
      <c r="E343" s="17"/>
      <c r="H343" s="17" t="str">
        <f aca="false">IF(TRIM(C343)="","",IFERROR(INDEX('Code Aliases'!$B:$B,MATCH(TRIM(C343),'Code Aliases'!$A:$A,0)),TRIM(C343)))</f>
        <v/>
      </c>
      <c r="I343" s="17" t="str">
        <f aca="false">IF(TRIM(B343)="","",UPPER(TRIM(B343)))</f>
        <v/>
      </c>
      <c r="J343" s="17" t="str">
        <f aca="false">IF(H343="","",IF(COUNTIF('Master Stock'!$A$5:$A$206,H343)&gt;0,"Yes","Not on stock sheet"))</f>
        <v/>
      </c>
    </row>
    <row r="344" customFormat="false" ht="14.25" hidden="false" customHeight="true" outlineLevel="0" collapsed="false">
      <c r="E344" s="17"/>
      <c r="H344" s="17" t="str">
        <f aca="false">IF(TRIM(C344)="","",IFERROR(INDEX('Code Aliases'!$B:$B,MATCH(TRIM(C344),'Code Aliases'!$A:$A,0)),TRIM(C344)))</f>
        <v/>
      </c>
      <c r="I344" s="17" t="str">
        <f aca="false">IF(TRIM(B344)="","",UPPER(TRIM(B344)))</f>
        <v/>
      </c>
      <c r="J344" s="17" t="str">
        <f aca="false">IF(H344="","",IF(COUNTIF('Master Stock'!$A$5:$A$206,H344)&gt;0,"Yes","Not on stock sheet"))</f>
        <v/>
      </c>
    </row>
    <row r="345" customFormat="false" ht="14.25" hidden="false" customHeight="true" outlineLevel="0" collapsed="false">
      <c r="E345" s="17"/>
      <c r="H345" s="17" t="str">
        <f aca="false">IF(TRIM(C345)="","",IFERROR(INDEX('Code Aliases'!$B:$B,MATCH(TRIM(C345),'Code Aliases'!$A:$A,0)),TRIM(C345)))</f>
        <v/>
      </c>
      <c r="I345" s="17" t="str">
        <f aca="false">IF(TRIM(B345)="","",UPPER(TRIM(B345)))</f>
        <v/>
      </c>
      <c r="J345" s="17" t="str">
        <f aca="false">IF(H345="","",IF(COUNTIF('Master Stock'!$A$5:$A$206,H345)&gt;0,"Yes","Not on stock sheet"))</f>
        <v/>
      </c>
    </row>
    <row r="346" customFormat="false" ht="14.25" hidden="false" customHeight="true" outlineLevel="0" collapsed="false">
      <c r="E346" s="17"/>
      <c r="H346" s="17" t="str">
        <f aca="false">IF(TRIM(C346)="","",IFERROR(INDEX('Code Aliases'!$B:$B,MATCH(TRIM(C346),'Code Aliases'!$A:$A,0)),TRIM(C346)))</f>
        <v/>
      </c>
      <c r="I346" s="17" t="str">
        <f aca="false">IF(TRIM(B346)="","",UPPER(TRIM(B346)))</f>
        <v/>
      </c>
      <c r="J346" s="17" t="str">
        <f aca="false">IF(H346="","",IF(COUNTIF('Master Stock'!$A$5:$A$206,H346)&gt;0,"Yes","Not on stock sheet"))</f>
        <v/>
      </c>
    </row>
    <row r="347" customFormat="false" ht="14.25" hidden="false" customHeight="true" outlineLevel="0" collapsed="false">
      <c r="E347" s="17"/>
      <c r="H347" s="17" t="str">
        <f aca="false">IF(TRIM(C347)="","",IFERROR(INDEX('Code Aliases'!$B:$B,MATCH(TRIM(C347),'Code Aliases'!$A:$A,0)),TRIM(C347)))</f>
        <v/>
      </c>
      <c r="I347" s="17" t="str">
        <f aca="false">IF(TRIM(B347)="","",UPPER(TRIM(B347)))</f>
        <v/>
      </c>
      <c r="J347" s="17" t="str">
        <f aca="false">IF(H347="","",IF(COUNTIF('Master Stock'!$A$5:$A$206,H347)&gt;0,"Yes","Not on stock sheet"))</f>
        <v/>
      </c>
    </row>
    <row r="348" customFormat="false" ht="14.25" hidden="false" customHeight="true" outlineLevel="0" collapsed="false">
      <c r="E348" s="17"/>
      <c r="H348" s="17" t="str">
        <f aca="false">IF(TRIM(C348)="","",IFERROR(INDEX('Code Aliases'!$B:$B,MATCH(TRIM(C348),'Code Aliases'!$A:$A,0)),TRIM(C348)))</f>
        <v/>
      </c>
      <c r="I348" s="17" t="str">
        <f aca="false">IF(TRIM(B348)="","",UPPER(TRIM(B348)))</f>
        <v/>
      </c>
      <c r="J348" s="17" t="str">
        <f aca="false">IF(H348="","",IF(COUNTIF('Master Stock'!$A$5:$A$206,H348)&gt;0,"Yes","Not on stock sheet"))</f>
        <v/>
      </c>
    </row>
    <row r="349" customFormat="false" ht="14.25" hidden="false" customHeight="true" outlineLevel="0" collapsed="false">
      <c r="E349" s="17"/>
      <c r="H349" s="17" t="str">
        <f aca="false">IF(TRIM(C349)="","",IFERROR(INDEX('Code Aliases'!$B:$B,MATCH(TRIM(C349),'Code Aliases'!$A:$A,0)),TRIM(C349)))</f>
        <v/>
      </c>
      <c r="I349" s="17" t="str">
        <f aca="false">IF(TRIM(B349)="","",UPPER(TRIM(B349)))</f>
        <v/>
      </c>
      <c r="J349" s="17" t="str">
        <f aca="false">IF(H349="","",IF(COUNTIF('Master Stock'!$A$5:$A$206,H349)&gt;0,"Yes","Not on stock sheet"))</f>
        <v/>
      </c>
    </row>
    <row r="350" customFormat="false" ht="14.25" hidden="false" customHeight="true" outlineLevel="0" collapsed="false">
      <c r="E350" s="17"/>
      <c r="H350" s="17" t="str">
        <f aca="false">IF(TRIM(C350)="","",IFERROR(INDEX('Code Aliases'!$B:$B,MATCH(TRIM(C350),'Code Aliases'!$A:$A,0)),TRIM(C350)))</f>
        <v/>
      </c>
      <c r="I350" s="17" t="str">
        <f aca="false">IF(TRIM(B350)="","",UPPER(TRIM(B350)))</f>
        <v/>
      </c>
      <c r="J350" s="17" t="str">
        <f aca="false">IF(H350="","",IF(COUNTIF('Master Stock'!$A$5:$A$206,H350)&gt;0,"Yes","Not on stock sheet"))</f>
        <v/>
      </c>
    </row>
    <row r="351" customFormat="false" ht="14.25" hidden="false" customHeight="true" outlineLevel="0" collapsed="false">
      <c r="E351" s="17"/>
      <c r="H351" s="17" t="str">
        <f aca="false">IF(TRIM(C351)="","",IFERROR(INDEX('Code Aliases'!$B:$B,MATCH(TRIM(C351),'Code Aliases'!$A:$A,0)),TRIM(C351)))</f>
        <v/>
      </c>
      <c r="I351" s="17" t="str">
        <f aca="false">IF(TRIM(B351)="","",UPPER(TRIM(B351)))</f>
        <v/>
      </c>
      <c r="J351" s="17" t="str">
        <f aca="false">IF(H351="","",IF(COUNTIF('Master Stock'!$A$5:$A$206,H351)&gt;0,"Yes","Not on stock sheet"))</f>
        <v/>
      </c>
    </row>
    <row r="352" customFormat="false" ht="14.25" hidden="false" customHeight="true" outlineLevel="0" collapsed="false">
      <c r="E352" s="17"/>
      <c r="H352" s="17" t="str">
        <f aca="false">IF(TRIM(C352)="","",IFERROR(INDEX('Code Aliases'!$B:$B,MATCH(TRIM(C352),'Code Aliases'!$A:$A,0)),TRIM(C352)))</f>
        <v/>
      </c>
      <c r="I352" s="17" t="str">
        <f aca="false">IF(TRIM(B352)="","",UPPER(TRIM(B352)))</f>
        <v/>
      </c>
      <c r="J352" s="17" t="str">
        <f aca="false">IF(H352="","",IF(COUNTIF('Master Stock'!$A$5:$A$206,H352)&gt;0,"Yes","Not on stock sheet"))</f>
        <v/>
      </c>
    </row>
    <row r="353" customFormat="false" ht="14.25" hidden="false" customHeight="true" outlineLevel="0" collapsed="false">
      <c r="E353" s="17"/>
      <c r="H353" s="17" t="str">
        <f aca="false">IF(TRIM(C353)="","",IFERROR(INDEX('Code Aliases'!$B:$B,MATCH(TRIM(C353),'Code Aliases'!$A:$A,0)),TRIM(C353)))</f>
        <v/>
      </c>
      <c r="I353" s="17" t="str">
        <f aca="false">IF(TRIM(B353)="","",UPPER(TRIM(B353)))</f>
        <v/>
      </c>
      <c r="J353" s="17" t="str">
        <f aca="false">IF(H353="","",IF(COUNTIF('Master Stock'!$A$5:$A$206,H353)&gt;0,"Yes","Not on stock sheet"))</f>
        <v/>
      </c>
    </row>
    <row r="354" customFormat="false" ht="14.25" hidden="false" customHeight="true" outlineLevel="0" collapsed="false">
      <c r="E354" s="17"/>
      <c r="H354" s="17" t="str">
        <f aca="false">IF(TRIM(C354)="","",IFERROR(INDEX('Code Aliases'!$B:$B,MATCH(TRIM(C354),'Code Aliases'!$A:$A,0)),TRIM(C354)))</f>
        <v/>
      </c>
      <c r="I354" s="17" t="str">
        <f aca="false">IF(TRIM(B354)="","",UPPER(TRIM(B354)))</f>
        <v/>
      </c>
      <c r="J354" s="17" t="str">
        <f aca="false">IF(H354="","",IF(COUNTIF('Master Stock'!$A$5:$A$206,H354)&gt;0,"Yes","Not on stock sheet"))</f>
        <v/>
      </c>
    </row>
    <row r="355" customFormat="false" ht="14.25" hidden="false" customHeight="true" outlineLevel="0" collapsed="false">
      <c r="E355" s="17"/>
      <c r="H355" s="17" t="str">
        <f aca="false">IF(TRIM(C355)="","",IFERROR(INDEX('Code Aliases'!$B:$B,MATCH(TRIM(C355),'Code Aliases'!$A:$A,0)),TRIM(C355)))</f>
        <v/>
      </c>
      <c r="I355" s="17" t="str">
        <f aca="false">IF(TRIM(B355)="","",UPPER(TRIM(B355)))</f>
        <v/>
      </c>
      <c r="J355" s="17" t="str">
        <f aca="false">IF(H355="","",IF(COUNTIF('Master Stock'!$A$5:$A$206,H355)&gt;0,"Yes","Not on stock sheet"))</f>
        <v/>
      </c>
    </row>
    <row r="356" customFormat="false" ht="14.25" hidden="false" customHeight="true" outlineLevel="0" collapsed="false">
      <c r="E356" s="17"/>
      <c r="H356" s="17" t="str">
        <f aca="false">IF(TRIM(C356)="","",IFERROR(INDEX('Code Aliases'!$B:$B,MATCH(TRIM(C356),'Code Aliases'!$A:$A,0)),TRIM(C356)))</f>
        <v/>
      </c>
      <c r="I356" s="17" t="str">
        <f aca="false">IF(TRIM(B356)="","",UPPER(TRIM(B356)))</f>
        <v/>
      </c>
      <c r="J356" s="17" t="str">
        <f aca="false">IF(H356="","",IF(COUNTIF('Master Stock'!$A$5:$A$206,H356)&gt;0,"Yes","Not on stock sheet"))</f>
        <v/>
      </c>
    </row>
    <row r="357" customFormat="false" ht="14.25" hidden="false" customHeight="true" outlineLevel="0" collapsed="false">
      <c r="E357" s="17"/>
      <c r="H357" s="17" t="str">
        <f aca="false">IF(TRIM(C357)="","",IFERROR(INDEX('Code Aliases'!$B:$B,MATCH(TRIM(C357),'Code Aliases'!$A:$A,0)),TRIM(C357)))</f>
        <v/>
      </c>
      <c r="I357" s="17" t="str">
        <f aca="false">IF(TRIM(B357)="","",UPPER(TRIM(B357)))</f>
        <v/>
      </c>
      <c r="J357" s="17" t="str">
        <f aca="false">IF(H357="","",IF(COUNTIF('Master Stock'!$A$5:$A$206,H357)&gt;0,"Yes","Not on stock sheet"))</f>
        <v/>
      </c>
    </row>
    <row r="358" customFormat="false" ht="14.25" hidden="false" customHeight="true" outlineLevel="0" collapsed="false">
      <c r="E358" s="17"/>
      <c r="H358" s="17" t="str">
        <f aca="false">IF(TRIM(C358)="","",IFERROR(INDEX('Code Aliases'!$B:$B,MATCH(TRIM(C358),'Code Aliases'!$A:$A,0)),TRIM(C358)))</f>
        <v/>
      </c>
      <c r="I358" s="17" t="str">
        <f aca="false">IF(TRIM(B358)="","",UPPER(TRIM(B358)))</f>
        <v/>
      </c>
      <c r="J358" s="17" t="str">
        <f aca="false">IF(H358="","",IF(COUNTIF('Master Stock'!$A$5:$A$206,H358)&gt;0,"Yes","Not on stock sheet"))</f>
        <v/>
      </c>
    </row>
    <row r="359" customFormat="false" ht="14.25" hidden="false" customHeight="true" outlineLevel="0" collapsed="false">
      <c r="E359" s="17"/>
      <c r="H359" s="17" t="str">
        <f aca="false">IF(TRIM(C359)="","",IFERROR(INDEX('Code Aliases'!$B:$B,MATCH(TRIM(C359),'Code Aliases'!$A:$A,0)),TRIM(C359)))</f>
        <v/>
      </c>
      <c r="I359" s="17" t="str">
        <f aca="false">IF(TRIM(B359)="","",UPPER(TRIM(B359)))</f>
        <v/>
      </c>
      <c r="J359" s="17" t="str">
        <f aca="false">IF(H359="","",IF(COUNTIF('Master Stock'!$A$5:$A$206,H359)&gt;0,"Yes","Not on stock sheet"))</f>
        <v/>
      </c>
    </row>
    <row r="360" customFormat="false" ht="14.25" hidden="false" customHeight="true" outlineLevel="0" collapsed="false">
      <c r="E360" s="17"/>
      <c r="H360" s="17" t="str">
        <f aca="false">IF(TRIM(C360)="","",IFERROR(INDEX('Code Aliases'!$B:$B,MATCH(TRIM(C360),'Code Aliases'!$A:$A,0)),TRIM(C360)))</f>
        <v/>
      </c>
      <c r="I360" s="17" t="str">
        <f aca="false">IF(TRIM(B360)="","",UPPER(TRIM(B360)))</f>
        <v/>
      </c>
      <c r="J360" s="17" t="str">
        <f aca="false">IF(H360="","",IF(COUNTIF('Master Stock'!$A$5:$A$206,H360)&gt;0,"Yes","Not on stock sheet"))</f>
        <v/>
      </c>
    </row>
    <row r="361" customFormat="false" ht="14.25" hidden="false" customHeight="true" outlineLevel="0" collapsed="false">
      <c r="E361" s="17"/>
      <c r="H361" s="17" t="str">
        <f aca="false">IF(TRIM(C361)="","",IFERROR(INDEX('Code Aliases'!$B:$B,MATCH(TRIM(C361),'Code Aliases'!$A:$A,0)),TRIM(C361)))</f>
        <v/>
      </c>
      <c r="I361" s="17" t="str">
        <f aca="false">IF(TRIM(B361)="","",UPPER(TRIM(B361)))</f>
        <v/>
      </c>
      <c r="J361" s="17" t="str">
        <f aca="false">IF(H361="","",IF(COUNTIF('Master Stock'!$A$5:$A$206,H361)&gt;0,"Yes","Not on stock sheet"))</f>
        <v/>
      </c>
    </row>
    <row r="362" customFormat="false" ht="14.25" hidden="false" customHeight="true" outlineLevel="0" collapsed="false">
      <c r="E362" s="17"/>
      <c r="H362" s="17" t="str">
        <f aca="false">IF(TRIM(C362)="","",IFERROR(INDEX('Code Aliases'!$B:$B,MATCH(TRIM(C362),'Code Aliases'!$A:$A,0)),TRIM(C362)))</f>
        <v/>
      </c>
      <c r="I362" s="17" t="str">
        <f aca="false">IF(TRIM(B362)="","",UPPER(TRIM(B362)))</f>
        <v/>
      </c>
      <c r="J362" s="17" t="str">
        <f aca="false">IF(H362="","",IF(COUNTIF('Master Stock'!$A$5:$A$206,H362)&gt;0,"Yes","Not on stock sheet"))</f>
        <v/>
      </c>
    </row>
    <row r="363" customFormat="false" ht="14.25" hidden="false" customHeight="true" outlineLevel="0" collapsed="false">
      <c r="E363" s="17"/>
      <c r="H363" s="17" t="str">
        <f aca="false">IF(TRIM(C363)="","",IFERROR(INDEX('Code Aliases'!$B:$B,MATCH(TRIM(C363),'Code Aliases'!$A:$A,0)),TRIM(C363)))</f>
        <v/>
      </c>
      <c r="I363" s="17" t="str">
        <f aca="false">IF(TRIM(B363)="","",UPPER(TRIM(B363)))</f>
        <v/>
      </c>
      <c r="J363" s="17" t="str">
        <f aca="false">IF(H363="","",IF(COUNTIF('Master Stock'!$A$5:$A$206,H363)&gt;0,"Yes","Not on stock sheet"))</f>
        <v/>
      </c>
    </row>
    <row r="364" customFormat="false" ht="14.25" hidden="false" customHeight="true" outlineLevel="0" collapsed="false">
      <c r="E364" s="17"/>
      <c r="H364" s="17" t="str">
        <f aca="false">IF(TRIM(C364)="","",IFERROR(INDEX('Code Aliases'!$B:$B,MATCH(TRIM(C364),'Code Aliases'!$A:$A,0)),TRIM(C364)))</f>
        <v/>
      </c>
      <c r="I364" s="17" t="str">
        <f aca="false">IF(TRIM(B364)="","",UPPER(TRIM(B364)))</f>
        <v/>
      </c>
      <c r="J364" s="17" t="str">
        <f aca="false">IF(H364="","",IF(COUNTIF('Master Stock'!$A$5:$A$206,H364)&gt;0,"Yes","Not on stock sheet"))</f>
        <v/>
      </c>
    </row>
    <row r="365" customFormat="false" ht="14.25" hidden="false" customHeight="true" outlineLevel="0" collapsed="false">
      <c r="E365" s="17"/>
      <c r="H365" s="17" t="str">
        <f aca="false">IF(TRIM(C365)="","",IFERROR(INDEX('Code Aliases'!$B:$B,MATCH(TRIM(C365),'Code Aliases'!$A:$A,0)),TRIM(C365)))</f>
        <v/>
      </c>
      <c r="I365" s="17" t="str">
        <f aca="false">IF(TRIM(B365)="","",UPPER(TRIM(B365)))</f>
        <v/>
      </c>
      <c r="J365" s="17" t="str">
        <f aca="false">IF(H365="","",IF(COUNTIF('Master Stock'!$A$5:$A$206,H365)&gt;0,"Yes","Not on stock sheet"))</f>
        <v/>
      </c>
    </row>
    <row r="366" customFormat="false" ht="14.25" hidden="false" customHeight="true" outlineLevel="0" collapsed="false">
      <c r="E366" s="17"/>
      <c r="H366" s="17" t="str">
        <f aca="false">IF(TRIM(C366)="","",IFERROR(INDEX('Code Aliases'!$B:$B,MATCH(TRIM(C366),'Code Aliases'!$A:$A,0)),TRIM(C366)))</f>
        <v/>
      </c>
      <c r="I366" s="17" t="str">
        <f aca="false">IF(TRIM(B366)="","",UPPER(TRIM(B366)))</f>
        <v/>
      </c>
      <c r="J366" s="17" t="str">
        <f aca="false">IF(H366="","",IF(COUNTIF('Master Stock'!$A$5:$A$206,H366)&gt;0,"Yes","Not on stock sheet"))</f>
        <v/>
      </c>
    </row>
    <row r="367" customFormat="false" ht="14.25" hidden="false" customHeight="true" outlineLevel="0" collapsed="false">
      <c r="E367" s="17"/>
      <c r="H367" s="17" t="str">
        <f aca="false">IF(TRIM(C367)="","",IFERROR(INDEX('Code Aliases'!$B:$B,MATCH(TRIM(C367),'Code Aliases'!$A:$A,0)),TRIM(C367)))</f>
        <v/>
      </c>
      <c r="I367" s="17" t="str">
        <f aca="false">IF(TRIM(B367)="","",UPPER(TRIM(B367)))</f>
        <v/>
      </c>
      <c r="J367" s="17" t="str">
        <f aca="false">IF(H367="","",IF(COUNTIF('Master Stock'!$A$5:$A$206,H367)&gt;0,"Yes","Not on stock sheet"))</f>
        <v/>
      </c>
    </row>
    <row r="368" customFormat="false" ht="14.25" hidden="false" customHeight="true" outlineLevel="0" collapsed="false">
      <c r="E368" s="17"/>
      <c r="H368" s="17" t="str">
        <f aca="false">IF(TRIM(C368)="","",IFERROR(INDEX('Code Aliases'!$B:$B,MATCH(TRIM(C368),'Code Aliases'!$A:$A,0)),TRIM(C368)))</f>
        <v/>
      </c>
      <c r="I368" s="17" t="str">
        <f aca="false">IF(TRIM(B368)="","",UPPER(TRIM(B368)))</f>
        <v/>
      </c>
      <c r="J368" s="17" t="str">
        <f aca="false">IF(H368="","",IF(COUNTIF('Master Stock'!$A$5:$A$206,H368)&gt;0,"Yes","Not on stock sheet"))</f>
        <v/>
      </c>
    </row>
    <row r="369" customFormat="false" ht="14.25" hidden="false" customHeight="true" outlineLevel="0" collapsed="false">
      <c r="E369" s="17"/>
      <c r="H369" s="17" t="str">
        <f aca="false">IF(TRIM(C369)="","",IFERROR(INDEX('Code Aliases'!$B:$B,MATCH(TRIM(C369),'Code Aliases'!$A:$A,0)),TRIM(C369)))</f>
        <v/>
      </c>
      <c r="I369" s="17" t="str">
        <f aca="false">IF(TRIM(B369)="","",UPPER(TRIM(B369)))</f>
        <v/>
      </c>
      <c r="J369" s="17" t="str">
        <f aca="false">IF(H369="","",IF(COUNTIF('Master Stock'!$A$5:$A$206,H369)&gt;0,"Yes","Not on stock sheet"))</f>
        <v/>
      </c>
    </row>
    <row r="370" customFormat="false" ht="14.25" hidden="false" customHeight="true" outlineLevel="0" collapsed="false">
      <c r="E370" s="17"/>
      <c r="H370" s="17" t="str">
        <f aca="false">IF(TRIM(C370)="","",IFERROR(INDEX('Code Aliases'!$B:$B,MATCH(TRIM(C370),'Code Aliases'!$A:$A,0)),TRIM(C370)))</f>
        <v/>
      </c>
      <c r="I370" s="17" t="str">
        <f aca="false">IF(TRIM(B370)="","",UPPER(TRIM(B370)))</f>
        <v/>
      </c>
      <c r="J370" s="17" t="str">
        <f aca="false">IF(H370="","",IF(COUNTIF('Master Stock'!$A$5:$A$206,H370)&gt;0,"Yes","Not on stock sheet"))</f>
        <v/>
      </c>
    </row>
    <row r="371" customFormat="false" ht="14.25" hidden="false" customHeight="true" outlineLevel="0" collapsed="false">
      <c r="E371" s="17"/>
      <c r="H371" s="17" t="str">
        <f aca="false">IF(TRIM(C371)="","",IFERROR(INDEX('Code Aliases'!$B:$B,MATCH(TRIM(C371),'Code Aliases'!$A:$A,0)),TRIM(C371)))</f>
        <v/>
      </c>
      <c r="I371" s="17" t="str">
        <f aca="false">IF(TRIM(B371)="","",UPPER(TRIM(B371)))</f>
        <v/>
      </c>
      <c r="J371" s="17" t="str">
        <f aca="false">IF(H371="","",IF(COUNTIF('Master Stock'!$A$5:$A$206,H371)&gt;0,"Yes","Not on stock sheet"))</f>
        <v/>
      </c>
    </row>
    <row r="372" customFormat="false" ht="14.25" hidden="false" customHeight="true" outlineLevel="0" collapsed="false">
      <c r="E372" s="17"/>
      <c r="H372" s="17" t="str">
        <f aca="false">IF(TRIM(C372)="","",IFERROR(INDEX('Code Aliases'!$B:$B,MATCH(TRIM(C372),'Code Aliases'!$A:$A,0)),TRIM(C372)))</f>
        <v/>
      </c>
      <c r="I372" s="17" t="str">
        <f aca="false">IF(TRIM(B372)="","",UPPER(TRIM(B372)))</f>
        <v/>
      </c>
      <c r="J372" s="17" t="str">
        <f aca="false">IF(H372="","",IF(COUNTIF('Master Stock'!$A$5:$A$206,H372)&gt;0,"Yes","Not on stock sheet"))</f>
        <v/>
      </c>
    </row>
    <row r="373" customFormat="false" ht="14.25" hidden="false" customHeight="true" outlineLevel="0" collapsed="false">
      <c r="E373" s="17"/>
      <c r="H373" s="17" t="str">
        <f aca="false">IF(TRIM(C373)="","",IFERROR(INDEX('Code Aliases'!$B:$B,MATCH(TRIM(C373),'Code Aliases'!$A:$A,0)),TRIM(C373)))</f>
        <v/>
      </c>
      <c r="I373" s="17" t="str">
        <f aca="false">IF(TRIM(B373)="","",UPPER(TRIM(B373)))</f>
        <v/>
      </c>
      <c r="J373" s="17" t="str">
        <f aca="false">IF(H373="","",IF(COUNTIF('Master Stock'!$A$5:$A$206,H373)&gt;0,"Yes","Not on stock sheet"))</f>
        <v/>
      </c>
    </row>
    <row r="374" customFormat="false" ht="14.25" hidden="false" customHeight="true" outlineLevel="0" collapsed="false">
      <c r="E374" s="17"/>
      <c r="H374" s="17" t="str">
        <f aca="false">IF(TRIM(C374)="","",IFERROR(INDEX('Code Aliases'!$B:$B,MATCH(TRIM(C374),'Code Aliases'!$A:$A,0)),TRIM(C374)))</f>
        <v/>
      </c>
      <c r="I374" s="17" t="str">
        <f aca="false">IF(TRIM(B374)="","",UPPER(TRIM(B374)))</f>
        <v/>
      </c>
      <c r="J374" s="17" t="str">
        <f aca="false">IF(H374="","",IF(COUNTIF('Master Stock'!$A$5:$A$206,H374)&gt;0,"Yes","Not on stock sheet"))</f>
        <v/>
      </c>
    </row>
    <row r="375" customFormat="false" ht="14.25" hidden="false" customHeight="true" outlineLevel="0" collapsed="false">
      <c r="E375" s="17"/>
      <c r="H375" s="17" t="str">
        <f aca="false">IF(TRIM(C375)="","",IFERROR(INDEX('Code Aliases'!$B:$B,MATCH(TRIM(C375),'Code Aliases'!$A:$A,0)),TRIM(C375)))</f>
        <v/>
      </c>
      <c r="I375" s="17" t="str">
        <f aca="false">IF(TRIM(B375)="","",UPPER(TRIM(B375)))</f>
        <v/>
      </c>
      <c r="J375" s="17" t="str">
        <f aca="false">IF(H375="","",IF(COUNTIF('Master Stock'!$A$5:$A$206,H375)&gt;0,"Yes","Not on stock sheet"))</f>
        <v/>
      </c>
    </row>
    <row r="376" customFormat="false" ht="14.25" hidden="false" customHeight="true" outlineLevel="0" collapsed="false">
      <c r="E376" s="17"/>
      <c r="H376" s="17" t="str">
        <f aca="false">IF(TRIM(C376)="","",IFERROR(INDEX('Code Aliases'!$B:$B,MATCH(TRIM(C376),'Code Aliases'!$A:$A,0)),TRIM(C376)))</f>
        <v/>
      </c>
      <c r="I376" s="17" t="str">
        <f aca="false">IF(TRIM(B376)="","",UPPER(TRIM(B376)))</f>
        <v/>
      </c>
      <c r="J376" s="17" t="str">
        <f aca="false">IF(H376="","",IF(COUNTIF('Master Stock'!$A$5:$A$206,H376)&gt;0,"Yes","Not on stock sheet"))</f>
        <v/>
      </c>
    </row>
    <row r="377" customFormat="false" ht="14.25" hidden="false" customHeight="true" outlineLevel="0" collapsed="false">
      <c r="E377" s="17"/>
      <c r="H377" s="17" t="str">
        <f aca="false">IF(TRIM(C377)="","",IFERROR(INDEX('Code Aliases'!$B:$B,MATCH(TRIM(C377),'Code Aliases'!$A:$A,0)),TRIM(C377)))</f>
        <v/>
      </c>
      <c r="I377" s="17" t="str">
        <f aca="false">IF(TRIM(B377)="","",UPPER(TRIM(B377)))</f>
        <v/>
      </c>
      <c r="J377" s="17" t="str">
        <f aca="false">IF(H377="","",IF(COUNTIF('Master Stock'!$A$5:$A$206,H377)&gt;0,"Yes","Not on stock sheet"))</f>
        <v/>
      </c>
    </row>
    <row r="378" customFormat="false" ht="14.25" hidden="false" customHeight="true" outlineLevel="0" collapsed="false">
      <c r="E378" s="17"/>
      <c r="H378" s="17" t="str">
        <f aca="false">IF(TRIM(C378)="","",IFERROR(INDEX('Code Aliases'!$B:$B,MATCH(TRIM(C378),'Code Aliases'!$A:$A,0)),TRIM(C378)))</f>
        <v/>
      </c>
      <c r="I378" s="17" t="str">
        <f aca="false">IF(TRIM(B378)="","",UPPER(TRIM(B378)))</f>
        <v/>
      </c>
      <c r="J378" s="17" t="str">
        <f aca="false">IF(H378="","",IF(COUNTIF('Master Stock'!$A$5:$A$206,H378)&gt;0,"Yes","Not on stock sheet"))</f>
        <v/>
      </c>
    </row>
    <row r="379" customFormat="false" ht="14.25" hidden="false" customHeight="true" outlineLevel="0" collapsed="false">
      <c r="E379" s="17"/>
      <c r="H379" s="17" t="str">
        <f aca="false">IF(TRIM(C379)="","",IFERROR(INDEX('Code Aliases'!$B:$B,MATCH(TRIM(C379),'Code Aliases'!$A:$A,0)),TRIM(C379)))</f>
        <v/>
      </c>
      <c r="I379" s="17" t="str">
        <f aca="false">IF(TRIM(B379)="","",UPPER(TRIM(B379)))</f>
        <v/>
      </c>
      <c r="J379" s="17" t="str">
        <f aca="false">IF(H379="","",IF(COUNTIF('Master Stock'!$A$5:$A$206,H379)&gt;0,"Yes","Not on stock sheet"))</f>
        <v/>
      </c>
    </row>
    <row r="380" customFormat="false" ht="14.25" hidden="false" customHeight="true" outlineLevel="0" collapsed="false">
      <c r="E380" s="17"/>
      <c r="H380" s="17" t="str">
        <f aca="false">IF(TRIM(C380)="","",IFERROR(INDEX('Code Aliases'!$B:$B,MATCH(TRIM(C380),'Code Aliases'!$A:$A,0)),TRIM(C380)))</f>
        <v/>
      </c>
      <c r="I380" s="17" t="str">
        <f aca="false">IF(TRIM(B380)="","",UPPER(TRIM(B380)))</f>
        <v/>
      </c>
      <c r="J380" s="17" t="str">
        <f aca="false">IF(H380="","",IF(COUNTIF('Master Stock'!$A$5:$A$206,H380)&gt;0,"Yes","Not on stock sheet"))</f>
        <v/>
      </c>
    </row>
    <row r="381" customFormat="false" ht="14.25" hidden="false" customHeight="true" outlineLevel="0" collapsed="false">
      <c r="E381" s="17"/>
      <c r="H381" s="17" t="str">
        <f aca="false">IF(TRIM(C381)="","",IFERROR(INDEX('Code Aliases'!$B:$B,MATCH(TRIM(C381),'Code Aliases'!$A:$A,0)),TRIM(C381)))</f>
        <v/>
      </c>
      <c r="I381" s="17" t="str">
        <f aca="false">IF(TRIM(B381)="","",UPPER(TRIM(B381)))</f>
        <v/>
      </c>
      <c r="J381" s="17" t="str">
        <f aca="false">IF(H381="","",IF(COUNTIF('Master Stock'!$A$5:$A$206,H381)&gt;0,"Yes","Not on stock sheet"))</f>
        <v/>
      </c>
    </row>
    <row r="382" customFormat="false" ht="14.25" hidden="false" customHeight="true" outlineLevel="0" collapsed="false">
      <c r="E382" s="17"/>
      <c r="H382" s="17" t="str">
        <f aca="false">IF(TRIM(C382)="","",IFERROR(INDEX('Code Aliases'!$B:$B,MATCH(TRIM(C382),'Code Aliases'!$A:$A,0)),TRIM(C382)))</f>
        <v/>
      </c>
      <c r="I382" s="17" t="str">
        <f aca="false">IF(TRIM(B382)="","",UPPER(TRIM(B382)))</f>
        <v/>
      </c>
      <c r="J382" s="17" t="str">
        <f aca="false">IF(H382="","",IF(COUNTIF('Master Stock'!$A$5:$A$206,H382)&gt;0,"Yes","Not on stock sheet"))</f>
        <v/>
      </c>
    </row>
    <row r="383" customFormat="false" ht="14.25" hidden="false" customHeight="true" outlineLevel="0" collapsed="false">
      <c r="E383" s="17"/>
      <c r="H383" s="17" t="str">
        <f aca="false">IF(TRIM(C383)="","",IFERROR(INDEX('Code Aliases'!$B:$B,MATCH(TRIM(C383),'Code Aliases'!$A:$A,0)),TRIM(C383)))</f>
        <v/>
      </c>
      <c r="I383" s="17" t="str">
        <f aca="false">IF(TRIM(B383)="","",UPPER(TRIM(B383)))</f>
        <v/>
      </c>
      <c r="J383" s="17" t="str">
        <f aca="false">IF(H383="","",IF(COUNTIF('Master Stock'!$A$5:$A$206,H383)&gt;0,"Yes","Not on stock sheet"))</f>
        <v/>
      </c>
    </row>
    <row r="384" customFormat="false" ht="14.25" hidden="false" customHeight="true" outlineLevel="0" collapsed="false">
      <c r="E384" s="17"/>
      <c r="H384" s="17" t="str">
        <f aca="false">IF(TRIM(C384)="","",IFERROR(INDEX('Code Aliases'!$B:$B,MATCH(TRIM(C384),'Code Aliases'!$A:$A,0)),TRIM(C384)))</f>
        <v/>
      </c>
      <c r="I384" s="17" t="str">
        <f aca="false">IF(TRIM(B384)="","",UPPER(TRIM(B384)))</f>
        <v/>
      </c>
      <c r="J384" s="17" t="str">
        <f aca="false">IF(H384="","",IF(COUNTIF('Master Stock'!$A$5:$A$206,H384)&gt;0,"Yes","Not on stock sheet"))</f>
        <v/>
      </c>
    </row>
    <row r="385" customFormat="false" ht="14.25" hidden="false" customHeight="true" outlineLevel="0" collapsed="false">
      <c r="E385" s="17"/>
      <c r="H385" s="17" t="str">
        <f aca="false">IF(TRIM(C385)="","",IFERROR(INDEX('Code Aliases'!$B:$B,MATCH(TRIM(C385),'Code Aliases'!$A:$A,0)),TRIM(C385)))</f>
        <v/>
      </c>
      <c r="I385" s="17" t="str">
        <f aca="false">IF(TRIM(B385)="","",UPPER(TRIM(B385)))</f>
        <v/>
      </c>
      <c r="J385" s="17" t="str">
        <f aca="false">IF(H385="","",IF(COUNTIF('Master Stock'!$A$5:$A$206,H385)&gt;0,"Yes","Not on stock sheet"))</f>
        <v/>
      </c>
    </row>
    <row r="386" customFormat="false" ht="14.25" hidden="false" customHeight="true" outlineLevel="0" collapsed="false">
      <c r="E386" s="17"/>
      <c r="H386" s="17" t="str">
        <f aca="false">IF(TRIM(C386)="","",IFERROR(INDEX('Code Aliases'!$B:$B,MATCH(TRIM(C386),'Code Aliases'!$A:$A,0)),TRIM(C386)))</f>
        <v/>
      </c>
      <c r="I386" s="17" t="str">
        <f aca="false">IF(TRIM(B386)="","",UPPER(TRIM(B386)))</f>
        <v/>
      </c>
      <c r="J386" s="17" t="str">
        <f aca="false">IF(H386="","",IF(COUNTIF('Master Stock'!$A$5:$A$206,H386)&gt;0,"Yes","Not on stock sheet"))</f>
        <v/>
      </c>
    </row>
    <row r="387" customFormat="false" ht="14.25" hidden="false" customHeight="true" outlineLevel="0" collapsed="false">
      <c r="E387" s="17"/>
      <c r="H387" s="17" t="str">
        <f aca="false">IF(TRIM(C387)="","",IFERROR(INDEX('Code Aliases'!$B:$B,MATCH(TRIM(C387),'Code Aliases'!$A:$A,0)),TRIM(C387)))</f>
        <v/>
      </c>
      <c r="I387" s="17" t="str">
        <f aca="false">IF(TRIM(B387)="","",UPPER(TRIM(B387)))</f>
        <v/>
      </c>
      <c r="J387" s="17" t="str">
        <f aca="false">IF(H387="","",IF(COUNTIF('Master Stock'!$A$5:$A$206,H387)&gt;0,"Yes","Not on stock sheet"))</f>
        <v/>
      </c>
    </row>
    <row r="388" customFormat="false" ht="14.25" hidden="false" customHeight="true" outlineLevel="0" collapsed="false">
      <c r="E388" s="17"/>
      <c r="H388" s="17" t="str">
        <f aca="false">IF(TRIM(C388)="","",IFERROR(INDEX('Code Aliases'!$B:$B,MATCH(TRIM(C388),'Code Aliases'!$A:$A,0)),TRIM(C388)))</f>
        <v/>
      </c>
      <c r="I388" s="17" t="str">
        <f aca="false">IF(TRIM(B388)="","",UPPER(TRIM(B388)))</f>
        <v/>
      </c>
      <c r="J388" s="17" t="str">
        <f aca="false">IF(H388="","",IF(COUNTIF('Master Stock'!$A$5:$A$206,H388)&gt;0,"Yes","Not on stock sheet"))</f>
        <v/>
      </c>
    </row>
    <row r="389" customFormat="false" ht="14.25" hidden="false" customHeight="true" outlineLevel="0" collapsed="false">
      <c r="E389" s="17"/>
      <c r="H389" s="17" t="str">
        <f aca="false">IF(TRIM(C389)="","",IFERROR(INDEX('Code Aliases'!$B:$B,MATCH(TRIM(C389),'Code Aliases'!$A:$A,0)),TRIM(C389)))</f>
        <v/>
      </c>
      <c r="I389" s="17" t="str">
        <f aca="false">IF(TRIM(B389)="","",UPPER(TRIM(B389)))</f>
        <v/>
      </c>
      <c r="J389" s="17" t="str">
        <f aca="false">IF(H389="","",IF(COUNTIF('Master Stock'!$A$5:$A$206,H389)&gt;0,"Yes","Not on stock sheet"))</f>
        <v/>
      </c>
    </row>
    <row r="390" customFormat="false" ht="14.25" hidden="false" customHeight="true" outlineLevel="0" collapsed="false">
      <c r="E390" s="17"/>
      <c r="H390" s="17" t="str">
        <f aca="false">IF(TRIM(C390)="","",IFERROR(INDEX('Code Aliases'!$B:$B,MATCH(TRIM(C390),'Code Aliases'!$A:$A,0)),TRIM(C390)))</f>
        <v/>
      </c>
      <c r="I390" s="17" t="str">
        <f aca="false">IF(TRIM(B390)="","",UPPER(TRIM(B390)))</f>
        <v/>
      </c>
      <c r="J390" s="17" t="str">
        <f aca="false">IF(H390="","",IF(COUNTIF('Master Stock'!$A$5:$A$206,H390)&gt;0,"Yes","Not on stock sheet"))</f>
        <v/>
      </c>
    </row>
    <row r="391" customFormat="false" ht="14.25" hidden="false" customHeight="true" outlineLevel="0" collapsed="false">
      <c r="E391" s="17"/>
      <c r="H391" s="17" t="str">
        <f aca="false">IF(TRIM(C391)="","",IFERROR(INDEX('Code Aliases'!$B:$B,MATCH(TRIM(C391),'Code Aliases'!$A:$A,0)),TRIM(C391)))</f>
        <v/>
      </c>
      <c r="I391" s="17" t="str">
        <f aca="false">IF(TRIM(B391)="","",UPPER(TRIM(B391)))</f>
        <v/>
      </c>
      <c r="J391" s="17" t="str">
        <f aca="false">IF(H391="","",IF(COUNTIF('Master Stock'!$A$5:$A$206,H391)&gt;0,"Yes","Not on stock sheet"))</f>
        <v/>
      </c>
    </row>
    <row r="392" customFormat="false" ht="14.25" hidden="false" customHeight="true" outlineLevel="0" collapsed="false">
      <c r="E392" s="17"/>
      <c r="H392" s="17" t="str">
        <f aca="false">IF(TRIM(C392)="","",IFERROR(INDEX('Code Aliases'!$B:$B,MATCH(TRIM(C392),'Code Aliases'!$A:$A,0)),TRIM(C392)))</f>
        <v/>
      </c>
      <c r="I392" s="17" t="str">
        <f aca="false">IF(TRIM(B392)="","",UPPER(TRIM(B392)))</f>
        <v/>
      </c>
      <c r="J392" s="17" t="str">
        <f aca="false">IF(H392="","",IF(COUNTIF('Master Stock'!$A$5:$A$206,H392)&gt;0,"Yes","Not on stock sheet"))</f>
        <v/>
      </c>
    </row>
    <row r="393" customFormat="false" ht="14.25" hidden="false" customHeight="true" outlineLevel="0" collapsed="false">
      <c r="E393" s="17"/>
      <c r="H393" s="17" t="str">
        <f aca="false">IF(TRIM(C393)="","",IFERROR(INDEX('Code Aliases'!$B:$B,MATCH(TRIM(C393),'Code Aliases'!$A:$A,0)),TRIM(C393)))</f>
        <v/>
      </c>
      <c r="I393" s="17" t="str">
        <f aca="false">IF(TRIM(B393)="","",UPPER(TRIM(B393)))</f>
        <v/>
      </c>
      <c r="J393" s="17" t="str">
        <f aca="false">IF(H393="","",IF(COUNTIF('Master Stock'!$A$5:$A$206,H393)&gt;0,"Yes","Not on stock sheet"))</f>
        <v/>
      </c>
    </row>
    <row r="394" customFormat="false" ht="14.25" hidden="false" customHeight="true" outlineLevel="0" collapsed="false">
      <c r="E394" s="17"/>
      <c r="H394" s="17" t="str">
        <f aca="false">IF(TRIM(C394)="","",IFERROR(INDEX('Code Aliases'!$B:$B,MATCH(TRIM(C394),'Code Aliases'!$A:$A,0)),TRIM(C394)))</f>
        <v/>
      </c>
      <c r="I394" s="17" t="str">
        <f aca="false">IF(TRIM(B394)="","",UPPER(TRIM(B394)))</f>
        <v/>
      </c>
      <c r="J394" s="17" t="str">
        <f aca="false">IF(H394="","",IF(COUNTIF('Master Stock'!$A$5:$A$206,H394)&gt;0,"Yes","Not on stock sheet"))</f>
        <v/>
      </c>
    </row>
    <row r="395" customFormat="false" ht="14.25" hidden="false" customHeight="true" outlineLevel="0" collapsed="false">
      <c r="E395" s="17"/>
      <c r="H395" s="17" t="str">
        <f aca="false">IF(TRIM(C395)="","",IFERROR(INDEX('Code Aliases'!$B:$B,MATCH(TRIM(C395),'Code Aliases'!$A:$A,0)),TRIM(C395)))</f>
        <v/>
      </c>
      <c r="I395" s="17" t="str">
        <f aca="false">IF(TRIM(B395)="","",UPPER(TRIM(B395)))</f>
        <v/>
      </c>
      <c r="J395" s="17" t="str">
        <f aca="false">IF(H395="","",IF(COUNTIF('Master Stock'!$A$5:$A$206,H395)&gt;0,"Yes","Not on stock sheet"))</f>
        <v/>
      </c>
    </row>
    <row r="396" customFormat="false" ht="14.25" hidden="false" customHeight="true" outlineLevel="0" collapsed="false">
      <c r="E396" s="17"/>
      <c r="H396" s="17" t="str">
        <f aca="false">IF(TRIM(C396)="","",IFERROR(INDEX('Code Aliases'!$B:$B,MATCH(TRIM(C396),'Code Aliases'!$A:$A,0)),TRIM(C396)))</f>
        <v/>
      </c>
      <c r="I396" s="17" t="str">
        <f aca="false">IF(TRIM(B396)="","",UPPER(TRIM(B396)))</f>
        <v/>
      </c>
      <c r="J396" s="17" t="str">
        <f aca="false">IF(H396="","",IF(COUNTIF('Master Stock'!$A$5:$A$206,H396)&gt;0,"Yes","Not on stock sheet"))</f>
        <v/>
      </c>
    </row>
    <row r="397" customFormat="false" ht="14.25" hidden="false" customHeight="true" outlineLevel="0" collapsed="false">
      <c r="E397" s="17"/>
      <c r="H397" s="17" t="str">
        <f aca="false">IF(TRIM(C397)="","",IFERROR(INDEX('Code Aliases'!$B:$B,MATCH(TRIM(C397),'Code Aliases'!$A:$A,0)),TRIM(C397)))</f>
        <v/>
      </c>
      <c r="I397" s="17" t="str">
        <f aca="false">IF(TRIM(B397)="","",UPPER(TRIM(B397)))</f>
        <v/>
      </c>
      <c r="J397" s="17" t="str">
        <f aca="false">IF(H397="","",IF(COUNTIF('Master Stock'!$A$5:$A$206,H397)&gt;0,"Yes","Not on stock sheet"))</f>
        <v/>
      </c>
    </row>
    <row r="398" customFormat="false" ht="14.25" hidden="false" customHeight="true" outlineLevel="0" collapsed="false">
      <c r="E398" s="17"/>
      <c r="H398" s="17" t="str">
        <f aca="false">IF(TRIM(C398)="","",IFERROR(INDEX('Code Aliases'!$B:$B,MATCH(TRIM(C398),'Code Aliases'!$A:$A,0)),TRIM(C398)))</f>
        <v/>
      </c>
      <c r="I398" s="17" t="str">
        <f aca="false">IF(TRIM(B398)="","",UPPER(TRIM(B398)))</f>
        <v/>
      </c>
      <c r="J398" s="17" t="str">
        <f aca="false">IF(H398="","",IF(COUNTIF('Master Stock'!$A$5:$A$206,H398)&gt;0,"Yes","Not on stock sheet"))</f>
        <v/>
      </c>
    </row>
    <row r="399" customFormat="false" ht="14.25" hidden="false" customHeight="true" outlineLevel="0" collapsed="false">
      <c r="E399" s="17"/>
      <c r="H399" s="17" t="str">
        <f aca="false">IF(TRIM(C399)="","",IFERROR(INDEX('Code Aliases'!$B:$B,MATCH(TRIM(C399),'Code Aliases'!$A:$A,0)),TRIM(C399)))</f>
        <v/>
      </c>
      <c r="I399" s="17" t="str">
        <f aca="false">IF(TRIM(B399)="","",UPPER(TRIM(B399)))</f>
        <v/>
      </c>
      <c r="J399" s="17" t="str">
        <f aca="false">IF(H399="","",IF(COUNTIF('Master Stock'!$A$5:$A$206,H399)&gt;0,"Yes","Not on stock sheet"))</f>
        <v/>
      </c>
    </row>
    <row r="400" customFormat="false" ht="14.25" hidden="false" customHeight="true" outlineLevel="0" collapsed="false">
      <c r="E400" s="17"/>
      <c r="H400" s="17" t="str">
        <f aca="false">IF(TRIM(C400)="","",IFERROR(INDEX('Code Aliases'!$B:$B,MATCH(TRIM(C400),'Code Aliases'!$A:$A,0)),TRIM(C400)))</f>
        <v/>
      </c>
      <c r="I400" s="17" t="str">
        <f aca="false">IF(TRIM(B400)="","",UPPER(TRIM(B400)))</f>
        <v/>
      </c>
      <c r="J400" s="17" t="str">
        <f aca="false">IF(H400="","",IF(COUNTIF('Master Stock'!$A$5:$A$206,H400)&gt;0,"Yes","Not on stock sheet"))</f>
        <v/>
      </c>
    </row>
    <row r="401" customFormat="false" ht="14.25" hidden="false" customHeight="true" outlineLevel="0" collapsed="false">
      <c r="E401" s="17"/>
      <c r="H401" s="17" t="str">
        <f aca="false">IF(TRIM(C401)="","",IFERROR(INDEX('Code Aliases'!$B:$B,MATCH(TRIM(C401),'Code Aliases'!$A:$A,0)),TRIM(C401)))</f>
        <v/>
      </c>
      <c r="I401" s="17" t="str">
        <f aca="false">IF(TRIM(B401)="","",UPPER(TRIM(B401)))</f>
        <v/>
      </c>
      <c r="J401" s="17" t="str">
        <f aca="false">IF(H401="","",IF(COUNTIF('Master Stock'!$A$5:$A$206,H401)&gt;0,"Yes","Not on stock sheet"))</f>
        <v/>
      </c>
    </row>
    <row r="402" customFormat="false" ht="14.25" hidden="false" customHeight="true" outlineLevel="0" collapsed="false">
      <c r="E402" s="17"/>
      <c r="H402" s="17" t="str">
        <f aca="false">IF(TRIM(C402)="","",IFERROR(INDEX('Code Aliases'!$B:$B,MATCH(TRIM(C402),'Code Aliases'!$A:$A,0)),TRIM(C402)))</f>
        <v/>
      </c>
      <c r="I402" s="17" t="str">
        <f aca="false">IF(TRIM(B402)="","",UPPER(TRIM(B402)))</f>
        <v/>
      </c>
      <c r="J402" s="17" t="str">
        <f aca="false">IF(H402="","",IF(COUNTIF('Master Stock'!$A$5:$A$206,H402)&gt;0,"Yes","Not on stock sheet"))</f>
        <v/>
      </c>
    </row>
    <row r="403" customFormat="false" ht="14.25" hidden="false" customHeight="true" outlineLevel="0" collapsed="false">
      <c r="E403" s="17"/>
      <c r="H403" s="17" t="str">
        <f aca="false">IF(TRIM(C403)="","",IFERROR(INDEX('Code Aliases'!$B:$B,MATCH(TRIM(C403),'Code Aliases'!$A:$A,0)),TRIM(C403)))</f>
        <v/>
      </c>
      <c r="I403" s="17" t="str">
        <f aca="false">IF(TRIM(B403)="","",UPPER(TRIM(B403)))</f>
        <v/>
      </c>
      <c r="J403" s="17" t="str">
        <f aca="false">IF(H403="","",IF(COUNTIF('Master Stock'!$A$5:$A$206,H403)&gt;0,"Yes","Not on stock sheet"))</f>
        <v/>
      </c>
    </row>
    <row r="404" customFormat="false" ht="14.25" hidden="false" customHeight="true" outlineLevel="0" collapsed="false">
      <c r="E404" s="17"/>
      <c r="H404" s="17" t="str">
        <f aca="false">IF(TRIM(C404)="","",IFERROR(INDEX('Code Aliases'!$B:$B,MATCH(TRIM(C404),'Code Aliases'!$A:$A,0)),TRIM(C404)))</f>
        <v/>
      </c>
      <c r="I404" s="17" t="str">
        <f aca="false">IF(TRIM(B404)="","",UPPER(TRIM(B404)))</f>
        <v/>
      </c>
      <c r="J404" s="17" t="str">
        <f aca="false">IF(H404="","",IF(COUNTIF('Master Stock'!$A$5:$A$206,H404)&gt;0,"Yes","Not on stock sheet"))</f>
        <v/>
      </c>
    </row>
    <row r="405" customFormat="false" ht="14.25" hidden="false" customHeight="true" outlineLevel="0" collapsed="false">
      <c r="E405" s="17"/>
      <c r="H405" s="17" t="str">
        <f aca="false">IF(TRIM(C405)="","",IFERROR(INDEX('Code Aliases'!$B:$B,MATCH(TRIM(C405),'Code Aliases'!$A:$A,0)),TRIM(C405)))</f>
        <v/>
      </c>
      <c r="I405" s="17" t="str">
        <f aca="false">IF(TRIM(B405)="","",UPPER(TRIM(B405)))</f>
        <v/>
      </c>
      <c r="J405" s="17" t="str">
        <f aca="false">IF(H405="","",IF(COUNTIF('Master Stock'!$A$5:$A$206,H405)&gt;0,"Yes","Not on stock sheet"))</f>
        <v/>
      </c>
    </row>
    <row r="406" customFormat="false" ht="14.25" hidden="false" customHeight="true" outlineLevel="0" collapsed="false">
      <c r="E406" s="17"/>
      <c r="H406" s="17" t="str">
        <f aca="false">IF(TRIM(C406)="","",IFERROR(INDEX('Code Aliases'!$B:$B,MATCH(TRIM(C406),'Code Aliases'!$A:$A,0)),TRIM(C406)))</f>
        <v/>
      </c>
      <c r="I406" s="17" t="str">
        <f aca="false">IF(TRIM(B406)="","",UPPER(TRIM(B406)))</f>
        <v/>
      </c>
      <c r="J406" s="17" t="str">
        <f aca="false">IF(H406="","",IF(COUNTIF('Master Stock'!$A$5:$A$206,H406)&gt;0,"Yes","Not on stock sheet"))</f>
        <v/>
      </c>
    </row>
    <row r="407" customFormat="false" ht="14.25" hidden="false" customHeight="true" outlineLevel="0" collapsed="false">
      <c r="E407" s="17"/>
      <c r="H407" s="17" t="str">
        <f aca="false">IF(TRIM(C407)="","",IFERROR(INDEX('Code Aliases'!$B:$B,MATCH(TRIM(C407),'Code Aliases'!$A:$A,0)),TRIM(C407)))</f>
        <v/>
      </c>
      <c r="I407" s="17" t="str">
        <f aca="false">IF(TRIM(B407)="","",UPPER(TRIM(B407)))</f>
        <v/>
      </c>
      <c r="J407" s="17" t="str">
        <f aca="false">IF(H407="","",IF(COUNTIF('Master Stock'!$A$5:$A$206,H407)&gt;0,"Yes","Not on stock sheet"))</f>
        <v/>
      </c>
    </row>
    <row r="408" customFormat="false" ht="14.25" hidden="false" customHeight="true" outlineLevel="0" collapsed="false">
      <c r="E408" s="17"/>
      <c r="H408" s="17" t="str">
        <f aca="false">IF(TRIM(C408)="","",IFERROR(INDEX('Code Aliases'!$B:$B,MATCH(TRIM(C408),'Code Aliases'!$A:$A,0)),TRIM(C408)))</f>
        <v/>
      </c>
      <c r="I408" s="17" t="str">
        <f aca="false">IF(TRIM(B408)="","",UPPER(TRIM(B408)))</f>
        <v/>
      </c>
      <c r="J408" s="17" t="str">
        <f aca="false">IF(H408="","",IF(COUNTIF('Master Stock'!$A$5:$A$206,H408)&gt;0,"Yes","Not on stock sheet"))</f>
        <v/>
      </c>
    </row>
    <row r="409" customFormat="false" ht="14.25" hidden="false" customHeight="true" outlineLevel="0" collapsed="false">
      <c r="E409" s="17"/>
      <c r="H409" s="17" t="str">
        <f aca="false">IF(TRIM(C409)="","",IFERROR(INDEX('Code Aliases'!$B:$B,MATCH(TRIM(C409),'Code Aliases'!$A:$A,0)),TRIM(C409)))</f>
        <v/>
      </c>
      <c r="I409" s="17" t="str">
        <f aca="false">IF(TRIM(B409)="","",UPPER(TRIM(B409)))</f>
        <v/>
      </c>
      <c r="J409" s="17" t="str">
        <f aca="false">IF(H409="","",IF(COUNTIF('Master Stock'!$A$5:$A$206,H409)&gt;0,"Yes","Not on stock sheet"))</f>
        <v/>
      </c>
    </row>
    <row r="410" customFormat="false" ht="14.25" hidden="false" customHeight="true" outlineLevel="0" collapsed="false">
      <c r="E410" s="17"/>
      <c r="H410" s="17" t="str">
        <f aca="false">IF(TRIM(C410)="","",IFERROR(INDEX('Code Aliases'!$B:$B,MATCH(TRIM(C410),'Code Aliases'!$A:$A,0)),TRIM(C410)))</f>
        <v/>
      </c>
      <c r="I410" s="17" t="str">
        <f aca="false">IF(TRIM(B410)="","",UPPER(TRIM(B410)))</f>
        <v/>
      </c>
      <c r="J410" s="17" t="str">
        <f aca="false">IF(H410="","",IF(COUNTIF('Master Stock'!$A$5:$A$206,H410)&gt;0,"Yes","Not on stock sheet"))</f>
        <v/>
      </c>
    </row>
    <row r="411" customFormat="false" ht="14.25" hidden="false" customHeight="true" outlineLevel="0" collapsed="false">
      <c r="E411" s="17"/>
      <c r="H411" s="17" t="str">
        <f aca="false">IF(TRIM(C411)="","",IFERROR(INDEX('Code Aliases'!$B:$B,MATCH(TRIM(C411),'Code Aliases'!$A:$A,0)),TRIM(C411)))</f>
        <v/>
      </c>
      <c r="I411" s="17" t="str">
        <f aca="false">IF(TRIM(B411)="","",UPPER(TRIM(B411)))</f>
        <v/>
      </c>
      <c r="J411" s="17" t="str">
        <f aca="false">IF(H411="","",IF(COUNTIF('Master Stock'!$A$5:$A$206,H411)&gt;0,"Yes","Not on stock sheet"))</f>
        <v/>
      </c>
    </row>
    <row r="412" customFormat="false" ht="14.25" hidden="false" customHeight="true" outlineLevel="0" collapsed="false">
      <c r="E412" s="17"/>
      <c r="H412" s="17" t="str">
        <f aca="false">IF(TRIM(C412)="","",IFERROR(INDEX('Code Aliases'!$B:$B,MATCH(TRIM(C412),'Code Aliases'!$A:$A,0)),TRIM(C412)))</f>
        <v/>
      </c>
      <c r="I412" s="17" t="str">
        <f aca="false">IF(TRIM(B412)="","",UPPER(TRIM(B412)))</f>
        <v/>
      </c>
      <c r="J412" s="17" t="str">
        <f aca="false">IF(H412="","",IF(COUNTIF('Master Stock'!$A$5:$A$206,H412)&gt;0,"Yes","Not on stock sheet"))</f>
        <v/>
      </c>
    </row>
    <row r="413" customFormat="false" ht="14.25" hidden="false" customHeight="true" outlineLevel="0" collapsed="false">
      <c r="E413" s="17"/>
      <c r="H413" s="17" t="str">
        <f aca="false">IF(TRIM(C413)="","",IFERROR(INDEX('Code Aliases'!$B:$B,MATCH(TRIM(C413),'Code Aliases'!$A:$A,0)),TRIM(C413)))</f>
        <v/>
      </c>
      <c r="I413" s="17" t="str">
        <f aca="false">IF(TRIM(B413)="","",UPPER(TRIM(B413)))</f>
        <v/>
      </c>
      <c r="J413" s="17" t="str">
        <f aca="false">IF(H413="","",IF(COUNTIF('Master Stock'!$A$5:$A$206,H413)&gt;0,"Yes","Not on stock sheet"))</f>
        <v/>
      </c>
    </row>
    <row r="414" customFormat="false" ht="14.25" hidden="false" customHeight="true" outlineLevel="0" collapsed="false">
      <c r="E414" s="17"/>
      <c r="H414" s="17" t="str">
        <f aca="false">IF(TRIM(C414)="","",IFERROR(INDEX('Code Aliases'!$B:$B,MATCH(TRIM(C414),'Code Aliases'!$A:$A,0)),TRIM(C414)))</f>
        <v/>
      </c>
      <c r="I414" s="17" t="str">
        <f aca="false">IF(TRIM(B414)="","",UPPER(TRIM(B414)))</f>
        <v/>
      </c>
      <c r="J414" s="17" t="str">
        <f aca="false">IF(H414="","",IF(COUNTIF('Master Stock'!$A$5:$A$206,H414)&gt;0,"Yes","Not on stock sheet"))</f>
        <v/>
      </c>
    </row>
    <row r="415" customFormat="false" ht="14.25" hidden="false" customHeight="true" outlineLevel="0" collapsed="false">
      <c r="E415" s="17"/>
      <c r="H415" s="17" t="str">
        <f aca="false">IF(TRIM(C415)="","",IFERROR(INDEX('Code Aliases'!$B:$B,MATCH(TRIM(C415),'Code Aliases'!$A:$A,0)),TRIM(C415)))</f>
        <v/>
      </c>
      <c r="I415" s="17" t="str">
        <f aca="false">IF(TRIM(B415)="","",UPPER(TRIM(B415)))</f>
        <v/>
      </c>
      <c r="J415" s="17" t="str">
        <f aca="false">IF(H415="","",IF(COUNTIF('Master Stock'!$A$5:$A$206,H415)&gt;0,"Yes","Not on stock sheet"))</f>
        <v/>
      </c>
    </row>
    <row r="416" customFormat="false" ht="14.25" hidden="false" customHeight="true" outlineLevel="0" collapsed="false">
      <c r="E416" s="17"/>
      <c r="H416" s="17" t="str">
        <f aca="false">IF(TRIM(C416)="","",IFERROR(INDEX('Code Aliases'!$B:$B,MATCH(TRIM(C416),'Code Aliases'!$A:$A,0)),TRIM(C416)))</f>
        <v/>
      </c>
      <c r="I416" s="17" t="str">
        <f aca="false">IF(TRIM(B416)="","",UPPER(TRIM(B416)))</f>
        <v/>
      </c>
      <c r="J416" s="17" t="str">
        <f aca="false">IF(H416="","",IF(COUNTIF('Master Stock'!$A$5:$A$206,H416)&gt;0,"Yes","Not on stock sheet"))</f>
        <v/>
      </c>
    </row>
    <row r="417" customFormat="false" ht="14.25" hidden="false" customHeight="true" outlineLevel="0" collapsed="false">
      <c r="E417" s="17"/>
      <c r="H417" s="17" t="str">
        <f aca="false">IF(TRIM(C417)="","",IFERROR(INDEX('Code Aliases'!$B:$B,MATCH(TRIM(C417),'Code Aliases'!$A:$A,0)),TRIM(C417)))</f>
        <v/>
      </c>
      <c r="I417" s="17" t="str">
        <f aca="false">IF(TRIM(B417)="","",UPPER(TRIM(B417)))</f>
        <v/>
      </c>
      <c r="J417" s="17" t="str">
        <f aca="false">IF(H417="","",IF(COUNTIF('Master Stock'!$A$5:$A$206,H417)&gt;0,"Yes","Not on stock sheet"))</f>
        <v/>
      </c>
    </row>
    <row r="418" customFormat="false" ht="14.25" hidden="false" customHeight="true" outlineLevel="0" collapsed="false">
      <c r="E418" s="17"/>
      <c r="H418" s="17" t="str">
        <f aca="false">IF(TRIM(C418)="","",IFERROR(INDEX('Code Aliases'!$B:$B,MATCH(TRIM(C418),'Code Aliases'!$A:$A,0)),TRIM(C418)))</f>
        <v/>
      </c>
      <c r="I418" s="17" t="str">
        <f aca="false">IF(TRIM(B418)="","",UPPER(TRIM(B418)))</f>
        <v/>
      </c>
      <c r="J418" s="17" t="str">
        <f aca="false">IF(H418="","",IF(COUNTIF('Master Stock'!$A$5:$A$206,H418)&gt;0,"Yes","Not on stock sheet"))</f>
        <v/>
      </c>
    </row>
    <row r="419" customFormat="false" ht="14.25" hidden="false" customHeight="true" outlineLevel="0" collapsed="false">
      <c r="E419" s="17"/>
      <c r="H419" s="17" t="str">
        <f aca="false">IF(TRIM(C419)="","",IFERROR(INDEX('Code Aliases'!$B:$B,MATCH(TRIM(C419),'Code Aliases'!$A:$A,0)),TRIM(C419)))</f>
        <v/>
      </c>
      <c r="I419" s="17" t="str">
        <f aca="false">IF(TRIM(B419)="","",UPPER(TRIM(B419)))</f>
        <v/>
      </c>
      <c r="J419" s="17" t="str">
        <f aca="false">IF(H419="","",IF(COUNTIF('Master Stock'!$A$5:$A$206,H419)&gt;0,"Yes","Not on stock sheet"))</f>
        <v/>
      </c>
    </row>
    <row r="420" customFormat="false" ht="14.25" hidden="false" customHeight="true" outlineLevel="0" collapsed="false">
      <c r="E420" s="17"/>
      <c r="H420" s="17" t="str">
        <f aca="false">IF(TRIM(C420)="","",IFERROR(INDEX('Code Aliases'!$B:$B,MATCH(TRIM(C420),'Code Aliases'!$A:$A,0)),TRIM(C420)))</f>
        <v/>
      </c>
      <c r="I420" s="17" t="str">
        <f aca="false">IF(TRIM(B420)="","",UPPER(TRIM(B420)))</f>
        <v/>
      </c>
      <c r="J420" s="17" t="str">
        <f aca="false">IF(H420="","",IF(COUNTIF('Master Stock'!$A$5:$A$206,H420)&gt;0,"Yes","Not on stock sheet"))</f>
        <v/>
      </c>
    </row>
    <row r="421" customFormat="false" ht="14.25" hidden="false" customHeight="true" outlineLevel="0" collapsed="false">
      <c r="E421" s="17"/>
      <c r="H421" s="17" t="str">
        <f aca="false">IF(TRIM(C421)="","",IFERROR(INDEX('Code Aliases'!$B:$B,MATCH(TRIM(C421),'Code Aliases'!$A:$A,0)),TRIM(C421)))</f>
        <v/>
      </c>
      <c r="I421" s="17" t="str">
        <f aca="false">IF(TRIM(B421)="","",UPPER(TRIM(B421)))</f>
        <v/>
      </c>
      <c r="J421" s="17" t="str">
        <f aca="false">IF(H421="","",IF(COUNTIF('Master Stock'!$A$5:$A$206,H421)&gt;0,"Yes","Not on stock sheet"))</f>
        <v/>
      </c>
    </row>
    <row r="422" customFormat="false" ht="14.25" hidden="false" customHeight="true" outlineLevel="0" collapsed="false">
      <c r="E422" s="17"/>
      <c r="H422" s="17" t="str">
        <f aca="false">IF(TRIM(C422)="","",IFERROR(INDEX('Code Aliases'!$B:$B,MATCH(TRIM(C422),'Code Aliases'!$A:$A,0)),TRIM(C422)))</f>
        <v/>
      </c>
      <c r="I422" s="17" t="str">
        <f aca="false">IF(TRIM(B422)="","",UPPER(TRIM(B422)))</f>
        <v/>
      </c>
      <c r="J422" s="17" t="str">
        <f aca="false">IF(H422="","",IF(COUNTIF('Master Stock'!$A$5:$A$206,H422)&gt;0,"Yes","Not on stock sheet"))</f>
        <v/>
      </c>
    </row>
    <row r="423" customFormat="false" ht="14.25" hidden="false" customHeight="true" outlineLevel="0" collapsed="false">
      <c r="E423" s="17"/>
      <c r="H423" s="17" t="str">
        <f aca="false">IF(TRIM(C423)="","",IFERROR(INDEX('Code Aliases'!$B:$B,MATCH(TRIM(C423),'Code Aliases'!$A:$A,0)),TRIM(C423)))</f>
        <v/>
      </c>
      <c r="I423" s="17" t="str">
        <f aca="false">IF(TRIM(B423)="","",UPPER(TRIM(B423)))</f>
        <v/>
      </c>
      <c r="J423" s="17" t="str">
        <f aca="false">IF(H423="","",IF(COUNTIF('Master Stock'!$A$5:$A$206,H423)&gt;0,"Yes","Not on stock sheet"))</f>
        <v/>
      </c>
    </row>
    <row r="424" customFormat="false" ht="14.25" hidden="false" customHeight="true" outlineLevel="0" collapsed="false">
      <c r="E424" s="17"/>
      <c r="H424" s="17" t="str">
        <f aca="false">IF(TRIM(C424)="","",IFERROR(INDEX('Code Aliases'!$B:$B,MATCH(TRIM(C424),'Code Aliases'!$A:$A,0)),TRIM(C424)))</f>
        <v/>
      </c>
      <c r="I424" s="17" t="str">
        <f aca="false">IF(TRIM(B424)="","",UPPER(TRIM(B424)))</f>
        <v/>
      </c>
      <c r="J424" s="17" t="str">
        <f aca="false">IF(H424="","",IF(COUNTIF('Master Stock'!$A$5:$A$206,H424)&gt;0,"Yes","Not on stock sheet"))</f>
        <v/>
      </c>
    </row>
    <row r="425" customFormat="false" ht="14.25" hidden="false" customHeight="true" outlineLevel="0" collapsed="false">
      <c r="E425" s="17"/>
      <c r="H425" s="17" t="str">
        <f aca="false">IF(TRIM(C425)="","",IFERROR(INDEX('Code Aliases'!$B:$B,MATCH(TRIM(C425),'Code Aliases'!$A:$A,0)),TRIM(C425)))</f>
        <v/>
      </c>
      <c r="I425" s="17" t="str">
        <f aca="false">IF(TRIM(B425)="","",UPPER(TRIM(B425)))</f>
        <v/>
      </c>
      <c r="J425" s="17" t="str">
        <f aca="false">IF(H425="","",IF(COUNTIF('Master Stock'!$A$5:$A$206,H425)&gt;0,"Yes","Not on stock sheet"))</f>
        <v/>
      </c>
    </row>
    <row r="426" customFormat="false" ht="14.25" hidden="false" customHeight="true" outlineLevel="0" collapsed="false">
      <c r="E426" s="17"/>
      <c r="H426" s="17" t="str">
        <f aca="false">IF(TRIM(C426)="","",IFERROR(INDEX('Code Aliases'!$B:$B,MATCH(TRIM(C426),'Code Aliases'!$A:$A,0)),TRIM(C426)))</f>
        <v/>
      </c>
      <c r="I426" s="17" t="str">
        <f aca="false">IF(TRIM(B426)="","",UPPER(TRIM(B426)))</f>
        <v/>
      </c>
      <c r="J426" s="17" t="str">
        <f aca="false">IF(H426="","",IF(COUNTIF('Master Stock'!$A$5:$A$206,H426)&gt;0,"Yes","Not on stock sheet"))</f>
        <v/>
      </c>
    </row>
    <row r="427" customFormat="false" ht="14.25" hidden="false" customHeight="true" outlineLevel="0" collapsed="false">
      <c r="E427" s="17"/>
      <c r="H427" s="17" t="str">
        <f aca="false">IF(TRIM(C427)="","",IFERROR(INDEX('Code Aliases'!$B:$B,MATCH(TRIM(C427),'Code Aliases'!$A:$A,0)),TRIM(C427)))</f>
        <v/>
      </c>
      <c r="I427" s="17" t="str">
        <f aca="false">IF(TRIM(B427)="","",UPPER(TRIM(B427)))</f>
        <v/>
      </c>
      <c r="J427" s="17" t="str">
        <f aca="false">IF(H427="","",IF(COUNTIF('Master Stock'!$A$5:$A$206,H427)&gt;0,"Yes","Not on stock sheet"))</f>
        <v/>
      </c>
    </row>
    <row r="428" customFormat="false" ht="14.25" hidden="false" customHeight="true" outlineLevel="0" collapsed="false">
      <c r="E428" s="17"/>
      <c r="H428" s="17" t="str">
        <f aca="false">IF(TRIM(C428)="","",IFERROR(INDEX('Code Aliases'!$B:$B,MATCH(TRIM(C428),'Code Aliases'!$A:$A,0)),TRIM(C428)))</f>
        <v/>
      </c>
      <c r="I428" s="17" t="str">
        <f aca="false">IF(TRIM(B428)="","",UPPER(TRIM(B428)))</f>
        <v/>
      </c>
      <c r="J428" s="17" t="str">
        <f aca="false">IF(H428="","",IF(COUNTIF('Master Stock'!$A$5:$A$206,H428)&gt;0,"Yes","Not on stock sheet"))</f>
        <v/>
      </c>
    </row>
    <row r="429" customFormat="false" ht="14.25" hidden="false" customHeight="true" outlineLevel="0" collapsed="false">
      <c r="E429" s="17"/>
      <c r="H429" s="17" t="str">
        <f aca="false">IF(TRIM(C429)="","",IFERROR(INDEX('Code Aliases'!$B:$B,MATCH(TRIM(C429),'Code Aliases'!$A:$A,0)),TRIM(C429)))</f>
        <v/>
      </c>
      <c r="I429" s="17" t="str">
        <f aca="false">IF(TRIM(B429)="","",UPPER(TRIM(B429)))</f>
        <v/>
      </c>
      <c r="J429" s="17" t="str">
        <f aca="false">IF(H429="","",IF(COUNTIF('Master Stock'!$A$5:$A$206,H429)&gt;0,"Yes","Not on stock sheet"))</f>
        <v/>
      </c>
    </row>
    <row r="430" customFormat="false" ht="14.25" hidden="false" customHeight="true" outlineLevel="0" collapsed="false">
      <c r="E430" s="17"/>
      <c r="H430" s="17" t="str">
        <f aca="false">IF(TRIM(C430)="","",IFERROR(INDEX('Code Aliases'!$B:$B,MATCH(TRIM(C430),'Code Aliases'!$A:$A,0)),TRIM(C430)))</f>
        <v/>
      </c>
      <c r="I430" s="17" t="str">
        <f aca="false">IF(TRIM(B430)="","",UPPER(TRIM(B430)))</f>
        <v/>
      </c>
      <c r="J430" s="17" t="str">
        <f aca="false">IF(H430="","",IF(COUNTIF('Master Stock'!$A$5:$A$206,H430)&gt;0,"Yes","Not on stock sheet"))</f>
        <v/>
      </c>
    </row>
    <row r="431" customFormat="false" ht="14.25" hidden="false" customHeight="true" outlineLevel="0" collapsed="false">
      <c r="E431" s="17"/>
      <c r="H431" s="17" t="str">
        <f aca="false">IF(TRIM(C431)="","",IFERROR(INDEX('Code Aliases'!$B:$B,MATCH(TRIM(C431),'Code Aliases'!$A:$A,0)),TRIM(C431)))</f>
        <v/>
      </c>
      <c r="I431" s="17" t="str">
        <f aca="false">IF(TRIM(B431)="","",UPPER(TRIM(B431)))</f>
        <v/>
      </c>
      <c r="J431" s="17" t="str">
        <f aca="false">IF(H431="","",IF(COUNTIF('Master Stock'!$A$5:$A$206,H431)&gt;0,"Yes","Not on stock sheet"))</f>
        <v/>
      </c>
    </row>
    <row r="432" customFormat="false" ht="14.25" hidden="false" customHeight="true" outlineLevel="0" collapsed="false">
      <c r="E432" s="17"/>
      <c r="H432" s="17" t="str">
        <f aca="false">IF(TRIM(C432)="","",IFERROR(INDEX('Code Aliases'!$B:$B,MATCH(TRIM(C432),'Code Aliases'!$A:$A,0)),TRIM(C432)))</f>
        <v/>
      </c>
      <c r="I432" s="17" t="str">
        <f aca="false">IF(TRIM(B432)="","",UPPER(TRIM(B432)))</f>
        <v/>
      </c>
      <c r="J432" s="17" t="str">
        <f aca="false">IF(H432="","",IF(COUNTIF('Master Stock'!$A$5:$A$206,H432)&gt;0,"Yes","Not on stock sheet"))</f>
        <v/>
      </c>
    </row>
    <row r="433" customFormat="false" ht="14.25" hidden="false" customHeight="true" outlineLevel="0" collapsed="false">
      <c r="E433" s="17"/>
      <c r="H433" s="17" t="str">
        <f aca="false">IF(TRIM(C433)="","",IFERROR(INDEX('Code Aliases'!$B:$B,MATCH(TRIM(C433),'Code Aliases'!$A:$A,0)),TRIM(C433)))</f>
        <v/>
      </c>
      <c r="I433" s="17" t="str">
        <f aca="false">IF(TRIM(B433)="","",UPPER(TRIM(B433)))</f>
        <v/>
      </c>
      <c r="J433" s="17" t="str">
        <f aca="false">IF(H433="","",IF(COUNTIF('Master Stock'!$A$5:$A$206,H433)&gt;0,"Yes","Not on stock sheet"))</f>
        <v/>
      </c>
    </row>
    <row r="434" customFormat="false" ht="14.25" hidden="false" customHeight="true" outlineLevel="0" collapsed="false">
      <c r="E434" s="17"/>
      <c r="H434" s="17" t="str">
        <f aca="false">IF(TRIM(C434)="","",IFERROR(INDEX('Code Aliases'!$B:$B,MATCH(TRIM(C434),'Code Aliases'!$A:$A,0)),TRIM(C434)))</f>
        <v/>
      </c>
      <c r="I434" s="17" t="str">
        <f aca="false">IF(TRIM(B434)="","",UPPER(TRIM(B434)))</f>
        <v/>
      </c>
      <c r="J434" s="17" t="str">
        <f aca="false">IF(H434="","",IF(COUNTIF('Master Stock'!$A$5:$A$206,H434)&gt;0,"Yes","Not on stock sheet"))</f>
        <v/>
      </c>
    </row>
    <row r="435" customFormat="false" ht="14.25" hidden="false" customHeight="true" outlineLevel="0" collapsed="false">
      <c r="E435" s="17"/>
      <c r="H435" s="17" t="str">
        <f aca="false">IF(TRIM(C435)="","",IFERROR(INDEX('Code Aliases'!$B:$B,MATCH(TRIM(C435),'Code Aliases'!$A:$A,0)),TRIM(C435)))</f>
        <v/>
      </c>
      <c r="I435" s="17" t="str">
        <f aca="false">IF(TRIM(B435)="","",UPPER(TRIM(B435)))</f>
        <v/>
      </c>
      <c r="J435" s="17" t="str">
        <f aca="false">IF(H435="","",IF(COUNTIF('Master Stock'!$A$5:$A$206,H435)&gt;0,"Yes","Not on stock sheet"))</f>
        <v/>
      </c>
    </row>
    <row r="436" customFormat="false" ht="14.25" hidden="false" customHeight="true" outlineLevel="0" collapsed="false">
      <c r="E436" s="17"/>
      <c r="H436" s="17" t="str">
        <f aca="false">IF(TRIM(C436)="","",IFERROR(INDEX('Code Aliases'!$B:$B,MATCH(TRIM(C436),'Code Aliases'!$A:$A,0)),TRIM(C436)))</f>
        <v/>
      </c>
      <c r="I436" s="17" t="str">
        <f aca="false">IF(TRIM(B436)="","",UPPER(TRIM(B436)))</f>
        <v/>
      </c>
      <c r="J436" s="17" t="str">
        <f aca="false">IF(H436="","",IF(COUNTIF('Master Stock'!$A$5:$A$206,H436)&gt;0,"Yes","Not on stock sheet"))</f>
        <v/>
      </c>
    </row>
    <row r="437" customFormat="false" ht="14.25" hidden="false" customHeight="true" outlineLevel="0" collapsed="false">
      <c r="E437" s="17"/>
      <c r="H437" s="17" t="str">
        <f aca="false">IF(TRIM(C437)="","",IFERROR(INDEX('Code Aliases'!$B:$B,MATCH(TRIM(C437),'Code Aliases'!$A:$A,0)),TRIM(C437)))</f>
        <v/>
      </c>
      <c r="I437" s="17" t="str">
        <f aca="false">IF(TRIM(B437)="","",UPPER(TRIM(B437)))</f>
        <v/>
      </c>
      <c r="J437" s="17" t="str">
        <f aca="false">IF(H437="","",IF(COUNTIF('Master Stock'!$A$5:$A$206,H437)&gt;0,"Yes","Not on stock sheet"))</f>
        <v/>
      </c>
    </row>
    <row r="438" customFormat="false" ht="14.25" hidden="false" customHeight="true" outlineLevel="0" collapsed="false">
      <c r="E438" s="17"/>
      <c r="H438" s="17" t="str">
        <f aca="false">IF(TRIM(C438)="","",IFERROR(INDEX('Code Aliases'!$B:$B,MATCH(TRIM(C438),'Code Aliases'!$A:$A,0)),TRIM(C438)))</f>
        <v/>
      </c>
      <c r="I438" s="17" t="str">
        <f aca="false">IF(TRIM(B438)="","",UPPER(TRIM(B438)))</f>
        <v/>
      </c>
      <c r="J438" s="17" t="str">
        <f aca="false">IF(H438="","",IF(COUNTIF('Master Stock'!$A$5:$A$206,H438)&gt;0,"Yes","Not on stock sheet"))</f>
        <v/>
      </c>
    </row>
    <row r="439" customFormat="false" ht="14.25" hidden="false" customHeight="true" outlineLevel="0" collapsed="false">
      <c r="E439" s="17"/>
      <c r="H439" s="17" t="str">
        <f aca="false">IF(TRIM(C439)="","",IFERROR(INDEX('Code Aliases'!$B:$B,MATCH(TRIM(C439),'Code Aliases'!$A:$A,0)),TRIM(C439)))</f>
        <v/>
      </c>
      <c r="I439" s="17" t="str">
        <f aca="false">IF(TRIM(B439)="","",UPPER(TRIM(B439)))</f>
        <v/>
      </c>
      <c r="J439" s="17" t="str">
        <f aca="false">IF(H439="","",IF(COUNTIF('Master Stock'!$A$5:$A$206,H439)&gt;0,"Yes","Not on stock sheet"))</f>
        <v/>
      </c>
    </row>
    <row r="440" customFormat="false" ht="14.25" hidden="false" customHeight="true" outlineLevel="0" collapsed="false">
      <c r="E440" s="17"/>
      <c r="H440" s="17" t="str">
        <f aca="false">IF(TRIM(C440)="","",IFERROR(INDEX('Code Aliases'!$B:$B,MATCH(TRIM(C440),'Code Aliases'!$A:$A,0)),TRIM(C440)))</f>
        <v/>
      </c>
      <c r="I440" s="17" t="str">
        <f aca="false">IF(TRIM(B440)="","",UPPER(TRIM(B440)))</f>
        <v/>
      </c>
      <c r="J440" s="17" t="str">
        <f aca="false">IF(H440="","",IF(COUNTIF('Master Stock'!$A$5:$A$206,H440)&gt;0,"Yes","Not on stock sheet"))</f>
        <v/>
      </c>
    </row>
    <row r="441" customFormat="false" ht="14.25" hidden="false" customHeight="true" outlineLevel="0" collapsed="false">
      <c r="E441" s="17"/>
      <c r="H441" s="17" t="str">
        <f aca="false">IF(TRIM(C441)="","",IFERROR(INDEX('Code Aliases'!$B:$B,MATCH(TRIM(C441),'Code Aliases'!$A:$A,0)),TRIM(C441)))</f>
        <v/>
      </c>
      <c r="I441" s="17" t="str">
        <f aca="false">IF(TRIM(B441)="","",UPPER(TRIM(B441)))</f>
        <v/>
      </c>
      <c r="J441" s="17" t="str">
        <f aca="false">IF(H441="","",IF(COUNTIF('Master Stock'!$A$5:$A$206,H441)&gt;0,"Yes","Not on stock sheet"))</f>
        <v/>
      </c>
    </row>
    <row r="442" customFormat="false" ht="14.25" hidden="false" customHeight="true" outlineLevel="0" collapsed="false">
      <c r="E442" s="17"/>
      <c r="H442" s="17" t="str">
        <f aca="false">IF(TRIM(C442)="","",IFERROR(INDEX('Code Aliases'!$B:$B,MATCH(TRIM(C442),'Code Aliases'!$A:$A,0)),TRIM(C442)))</f>
        <v/>
      </c>
      <c r="I442" s="17" t="str">
        <f aca="false">IF(TRIM(B442)="","",UPPER(TRIM(B442)))</f>
        <v/>
      </c>
      <c r="J442" s="17" t="str">
        <f aca="false">IF(H442="","",IF(COUNTIF('Master Stock'!$A$5:$A$206,H442)&gt;0,"Yes","Not on stock sheet"))</f>
        <v/>
      </c>
    </row>
    <row r="443" customFormat="false" ht="14.25" hidden="false" customHeight="true" outlineLevel="0" collapsed="false">
      <c r="E443" s="17"/>
      <c r="H443" s="17" t="str">
        <f aca="false">IF(TRIM(C443)="","",IFERROR(INDEX('Code Aliases'!$B:$B,MATCH(TRIM(C443),'Code Aliases'!$A:$A,0)),TRIM(C443)))</f>
        <v/>
      </c>
      <c r="I443" s="17" t="str">
        <f aca="false">IF(TRIM(B443)="","",UPPER(TRIM(B443)))</f>
        <v/>
      </c>
      <c r="J443" s="17" t="str">
        <f aca="false">IF(H443="","",IF(COUNTIF('Master Stock'!$A$5:$A$206,H443)&gt;0,"Yes","Not on stock sheet"))</f>
        <v/>
      </c>
    </row>
    <row r="444" customFormat="false" ht="14.25" hidden="false" customHeight="true" outlineLevel="0" collapsed="false">
      <c r="E444" s="17"/>
      <c r="H444" s="17" t="str">
        <f aca="false">IF(TRIM(C444)="","",IFERROR(INDEX('Code Aliases'!$B:$B,MATCH(TRIM(C444),'Code Aliases'!$A:$A,0)),TRIM(C444)))</f>
        <v/>
      </c>
      <c r="I444" s="17" t="str">
        <f aca="false">IF(TRIM(B444)="","",UPPER(TRIM(B444)))</f>
        <v/>
      </c>
      <c r="J444" s="17" t="str">
        <f aca="false">IF(H444="","",IF(COUNTIF('Master Stock'!$A$5:$A$206,H444)&gt;0,"Yes","Not on stock sheet"))</f>
        <v/>
      </c>
    </row>
    <row r="445" customFormat="false" ht="14.25" hidden="false" customHeight="true" outlineLevel="0" collapsed="false">
      <c r="E445" s="17"/>
      <c r="H445" s="17" t="str">
        <f aca="false">IF(TRIM(C445)="","",IFERROR(INDEX('Code Aliases'!$B:$B,MATCH(TRIM(C445),'Code Aliases'!$A:$A,0)),TRIM(C445)))</f>
        <v/>
      </c>
      <c r="I445" s="17" t="str">
        <f aca="false">IF(TRIM(B445)="","",UPPER(TRIM(B445)))</f>
        <v/>
      </c>
      <c r="J445" s="17" t="str">
        <f aca="false">IF(H445="","",IF(COUNTIF('Master Stock'!$A$5:$A$206,H445)&gt;0,"Yes","Not on stock sheet"))</f>
        <v/>
      </c>
    </row>
    <row r="446" customFormat="false" ht="14.25" hidden="false" customHeight="true" outlineLevel="0" collapsed="false">
      <c r="E446" s="17"/>
      <c r="H446" s="17" t="str">
        <f aca="false">IF(TRIM(C446)="","",IFERROR(INDEX('Code Aliases'!$B:$B,MATCH(TRIM(C446),'Code Aliases'!$A:$A,0)),TRIM(C446)))</f>
        <v/>
      </c>
      <c r="I446" s="17" t="str">
        <f aca="false">IF(TRIM(B446)="","",UPPER(TRIM(B446)))</f>
        <v/>
      </c>
      <c r="J446" s="17" t="str">
        <f aca="false">IF(H446="","",IF(COUNTIF('Master Stock'!$A$5:$A$206,H446)&gt;0,"Yes","Not on stock sheet"))</f>
        <v/>
      </c>
    </row>
    <row r="447" customFormat="false" ht="14.25" hidden="false" customHeight="true" outlineLevel="0" collapsed="false">
      <c r="E447" s="17"/>
      <c r="H447" s="17" t="str">
        <f aca="false">IF(TRIM(C447)="","",IFERROR(INDEX('Code Aliases'!$B:$B,MATCH(TRIM(C447),'Code Aliases'!$A:$A,0)),TRIM(C447)))</f>
        <v/>
      </c>
      <c r="I447" s="17" t="str">
        <f aca="false">IF(TRIM(B447)="","",UPPER(TRIM(B447)))</f>
        <v/>
      </c>
      <c r="J447" s="17" t="str">
        <f aca="false">IF(H447="","",IF(COUNTIF('Master Stock'!$A$5:$A$206,H447)&gt;0,"Yes","Not on stock sheet"))</f>
        <v/>
      </c>
    </row>
    <row r="448" customFormat="false" ht="14.25" hidden="false" customHeight="true" outlineLevel="0" collapsed="false">
      <c r="E448" s="17"/>
      <c r="H448" s="17" t="str">
        <f aca="false">IF(TRIM(C448)="","",IFERROR(INDEX('Code Aliases'!$B:$B,MATCH(TRIM(C448),'Code Aliases'!$A:$A,0)),TRIM(C448)))</f>
        <v/>
      </c>
      <c r="I448" s="17" t="str">
        <f aca="false">IF(TRIM(B448)="","",UPPER(TRIM(B448)))</f>
        <v/>
      </c>
      <c r="J448" s="17" t="str">
        <f aca="false">IF(H448="","",IF(COUNTIF('Master Stock'!$A$5:$A$206,H448)&gt;0,"Yes","Not on stock sheet"))</f>
        <v/>
      </c>
    </row>
    <row r="449" customFormat="false" ht="14.25" hidden="false" customHeight="true" outlineLevel="0" collapsed="false">
      <c r="E449" s="17"/>
      <c r="H449" s="17" t="str">
        <f aca="false">IF(TRIM(C449)="","",IFERROR(INDEX('Code Aliases'!$B:$B,MATCH(TRIM(C449),'Code Aliases'!$A:$A,0)),TRIM(C449)))</f>
        <v/>
      </c>
      <c r="I449" s="17" t="str">
        <f aca="false">IF(TRIM(B449)="","",UPPER(TRIM(B449)))</f>
        <v/>
      </c>
      <c r="J449" s="17" t="str">
        <f aca="false">IF(H449="","",IF(COUNTIF('Master Stock'!$A$5:$A$206,H449)&gt;0,"Yes","Not on stock sheet"))</f>
        <v/>
      </c>
    </row>
    <row r="450" customFormat="false" ht="14.25" hidden="false" customHeight="true" outlineLevel="0" collapsed="false">
      <c r="E450" s="17"/>
      <c r="H450" s="17" t="str">
        <f aca="false">IF(TRIM(C450)="","",IFERROR(INDEX('Code Aliases'!$B:$B,MATCH(TRIM(C450),'Code Aliases'!$A:$A,0)),TRIM(C450)))</f>
        <v/>
      </c>
      <c r="I450" s="17" t="str">
        <f aca="false">IF(TRIM(B450)="","",UPPER(TRIM(B450)))</f>
        <v/>
      </c>
      <c r="J450" s="17" t="str">
        <f aca="false">IF(H450="","",IF(COUNTIF('Master Stock'!$A$5:$A$206,H450)&gt;0,"Yes","Not on stock sheet"))</f>
        <v/>
      </c>
    </row>
    <row r="451" customFormat="false" ht="14.25" hidden="false" customHeight="true" outlineLevel="0" collapsed="false">
      <c r="E451" s="17"/>
      <c r="H451" s="17" t="str">
        <f aca="false">IF(TRIM(C451)="","",IFERROR(INDEX('Code Aliases'!$B:$B,MATCH(TRIM(C451),'Code Aliases'!$A:$A,0)),TRIM(C451)))</f>
        <v/>
      </c>
      <c r="I451" s="17" t="str">
        <f aca="false">IF(TRIM(B451)="","",UPPER(TRIM(B451)))</f>
        <v/>
      </c>
      <c r="J451" s="17" t="str">
        <f aca="false">IF(H451="","",IF(COUNTIF('Master Stock'!$A$5:$A$206,H451)&gt;0,"Yes","Not on stock sheet"))</f>
        <v/>
      </c>
    </row>
    <row r="452" customFormat="false" ht="14.25" hidden="false" customHeight="true" outlineLevel="0" collapsed="false">
      <c r="E452" s="17"/>
      <c r="H452" s="17" t="str">
        <f aca="false">IF(TRIM(C452)="","",IFERROR(INDEX('Code Aliases'!$B:$B,MATCH(TRIM(C452),'Code Aliases'!$A:$A,0)),TRIM(C452)))</f>
        <v/>
      </c>
      <c r="I452" s="17" t="str">
        <f aca="false">IF(TRIM(B452)="","",UPPER(TRIM(B452)))</f>
        <v/>
      </c>
      <c r="J452" s="17" t="str">
        <f aca="false">IF(H452="","",IF(COUNTIF('Master Stock'!$A$5:$A$206,H452)&gt;0,"Yes","Not on stock sheet"))</f>
        <v/>
      </c>
    </row>
    <row r="453" customFormat="false" ht="14.25" hidden="false" customHeight="true" outlineLevel="0" collapsed="false">
      <c r="E453" s="17"/>
      <c r="H453" s="17" t="str">
        <f aca="false">IF(TRIM(C453)="","",IFERROR(INDEX('Code Aliases'!$B:$B,MATCH(TRIM(C453),'Code Aliases'!$A:$A,0)),TRIM(C453)))</f>
        <v/>
      </c>
      <c r="I453" s="17" t="str">
        <f aca="false">IF(TRIM(B453)="","",UPPER(TRIM(B453)))</f>
        <v/>
      </c>
      <c r="J453" s="17" t="str">
        <f aca="false">IF(H453="","",IF(COUNTIF('Master Stock'!$A$5:$A$206,H453)&gt;0,"Yes","Not on stock sheet"))</f>
        <v/>
      </c>
    </row>
    <row r="454" customFormat="false" ht="14.25" hidden="false" customHeight="true" outlineLevel="0" collapsed="false">
      <c r="E454" s="17"/>
      <c r="H454" s="17" t="str">
        <f aca="false">IF(TRIM(C454)="","",IFERROR(INDEX('Code Aliases'!$B:$B,MATCH(TRIM(C454),'Code Aliases'!$A:$A,0)),TRIM(C454)))</f>
        <v/>
      </c>
      <c r="I454" s="17" t="str">
        <f aca="false">IF(TRIM(B454)="","",UPPER(TRIM(B454)))</f>
        <v/>
      </c>
      <c r="J454" s="17" t="str">
        <f aca="false">IF(H454="","",IF(COUNTIF('Master Stock'!$A$5:$A$206,H454)&gt;0,"Yes","Not on stock sheet"))</f>
        <v/>
      </c>
    </row>
    <row r="455" customFormat="false" ht="14.25" hidden="false" customHeight="true" outlineLevel="0" collapsed="false">
      <c r="E455" s="17"/>
      <c r="H455" s="17" t="str">
        <f aca="false">IF(TRIM(C455)="","",IFERROR(INDEX('Code Aliases'!$B:$B,MATCH(TRIM(C455),'Code Aliases'!$A:$A,0)),TRIM(C455)))</f>
        <v/>
      </c>
      <c r="I455" s="17" t="str">
        <f aca="false">IF(TRIM(B455)="","",UPPER(TRIM(B455)))</f>
        <v/>
      </c>
      <c r="J455" s="17" t="str">
        <f aca="false">IF(H455="","",IF(COUNTIF('Master Stock'!$A$5:$A$206,H455)&gt;0,"Yes","Not on stock sheet"))</f>
        <v/>
      </c>
    </row>
    <row r="456" customFormat="false" ht="14.25" hidden="false" customHeight="true" outlineLevel="0" collapsed="false">
      <c r="E456" s="17"/>
      <c r="H456" s="17" t="str">
        <f aca="false">IF(TRIM(C456)="","",IFERROR(INDEX('Code Aliases'!$B:$B,MATCH(TRIM(C456),'Code Aliases'!$A:$A,0)),TRIM(C456)))</f>
        <v/>
      </c>
      <c r="I456" s="17" t="str">
        <f aca="false">IF(TRIM(B456)="","",UPPER(TRIM(B456)))</f>
        <v/>
      </c>
      <c r="J456" s="17" t="str">
        <f aca="false">IF(H456="","",IF(COUNTIF('Master Stock'!$A$5:$A$206,H456)&gt;0,"Yes","Not on stock sheet"))</f>
        <v/>
      </c>
    </row>
    <row r="457" customFormat="false" ht="14.25" hidden="false" customHeight="true" outlineLevel="0" collapsed="false">
      <c r="E457" s="17"/>
      <c r="H457" s="17" t="str">
        <f aca="false">IF(TRIM(C457)="","",IFERROR(INDEX('Code Aliases'!$B:$B,MATCH(TRIM(C457),'Code Aliases'!$A:$A,0)),TRIM(C457)))</f>
        <v/>
      </c>
      <c r="I457" s="17" t="str">
        <f aca="false">IF(TRIM(B457)="","",UPPER(TRIM(B457)))</f>
        <v/>
      </c>
      <c r="J457" s="17" t="str">
        <f aca="false">IF(H457="","",IF(COUNTIF('Master Stock'!$A$5:$A$206,H457)&gt;0,"Yes","Not on stock sheet"))</f>
        <v/>
      </c>
    </row>
    <row r="458" customFormat="false" ht="14.25" hidden="false" customHeight="true" outlineLevel="0" collapsed="false">
      <c r="E458" s="17"/>
      <c r="H458" s="17" t="str">
        <f aca="false">IF(TRIM(C458)="","",IFERROR(INDEX('Code Aliases'!$B:$B,MATCH(TRIM(C458),'Code Aliases'!$A:$A,0)),TRIM(C458)))</f>
        <v/>
      </c>
      <c r="I458" s="17" t="str">
        <f aca="false">IF(TRIM(B458)="","",UPPER(TRIM(B458)))</f>
        <v/>
      </c>
      <c r="J458" s="17" t="str">
        <f aca="false">IF(H458="","",IF(COUNTIF('Master Stock'!$A$5:$A$206,H458)&gt;0,"Yes","Not on stock sheet"))</f>
        <v/>
      </c>
    </row>
    <row r="459" customFormat="false" ht="14.25" hidden="false" customHeight="true" outlineLevel="0" collapsed="false">
      <c r="E459" s="17"/>
      <c r="H459" s="17" t="str">
        <f aca="false">IF(TRIM(C459)="","",IFERROR(INDEX('Code Aliases'!$B:$B,MATCH(TRIM(C459),'Code Aliases'!$A:$A,0)),TRIM(C459)))</f>
        <v/>
      </c>
      <c r="I459" s="17" t="str">
        <f aca="false">IF(TRIM(B459)="","",UPPER(TRIM(B459)))</f>
        <v/>
      </c>
      <c r="J459" s="17" t="str">
        <f aca="false">IF(H459="","",IF(COUNTIF('Master Stock'!$A$5:$A$206,H459)&gt;0,"Yes","Not on stock sheet"))</f>
        <v/>
      </c>
    </row>
    <row r="460" customFormat="false" ht="14.25" hidden="false" customHeight="true" outlineLevel="0" collapsed="false">
      <c r="E460" s="17"/>
      <c r="H460" s="17" t="str">
        <f aca="false">IF(TRIM(C460)="","",IFERROR(INDEX('Code Aliases'!$B:$B,MATCH(TRIM(C460),'Code Aliases'!$A:$A,0)),TRIM(C460)))</f>
        <v/>
      </c>
      <c r="I460" s="17" t="str">
        <f aca="false">IF(TRIM(B460)="","",UPPER(TRIM(B460)))</f>
        <v/>
      </c>
      <c r="J460" s="17" t="str">
        <f aca="false">IF(H460="","",IF(COUNTIF('Master Stock'!$A$5:$A$206,H460)&gt;0,"Yes","Not on stock sheet"))</f>
        <v/>
      </c>
    </row>
    <row r="461" customFormat="false" ht="14.25" hidden="false" customHeight="true" outlineLevel="0" collapsed="false">
      <c r="E461" s="17"/>
      <c r="H461" s="17" t="str">
        <f aca="false">IF(TRIM(C461)="","",IFERROR(INDEX('Code Aliases'!$B:$B,MATCH(TRIM(C461),'Code Aliases'!$A:$A,0)),TRIM(C461)))</f>
        <v/>
      </c>
      <c r="I461" s="17" t="str">
        <f aca="false">IF(TRIM(B461)="","",UPPER(TRIM(B461)))</f>
        <v/>
      </c>
      <c r="J461" s="17" t="str">
        <f aca="false">IF(H461="","",IF(COUNTIF('Master Stock'!$A$5:$A$206,H461)&gt;0,"Yes","Not on stock sheet"))</f>
        <v/>
      </c>
    </row>
    <row r="462" customFormat="false" ht="14.25" hidden="false" customHeight="true" outlineLevel="0" collapsed="false">
      <c r="E462" s="17"/>
      <c r="H462" s="17" t="str">
        <f aca="false">IF(TRIM(C462)="","",IFERROR(INDEX('Code Aliases'!$B:$B,MATCH(TRIM(C462),'Code Aliases'!$A:$A,0)),TRIM(C462)))</f>
        <v/>
      </c>
      <c r="I462" s="17" t="str">
        <f aca="false">IF(TRIM(B462)="","",UPPER(TRIM(B462)))</f>
        <v/>
      </c>
      <c r="J462" s="17" t="str">
        <f aca="false">IF(H462="","",IF(COUNTIF('Master Stock'!$A$5:$A$206,H462)&gt;0,"Yes","Not on stock sheet"))</f>
        <v/>
      </c>
    </row>
    <row r="463" customFormat="false" ht="14.25" hidden="false" customHeight="true" outlineLevel="0" collapsed="false">
      <c r="E463" s="17"/>
      <c r="H463" s="17" t="str">
        <f aca="false">IF(TRIM(C463)="","",IFERROR(INDEX('Code Aliases'!$B:$B,MATCH(TRIM(C463),'Code Aliases'!$A:$A,0)),TRIM(C463)))</f>
        <v/>
      </c>
      <c r="I463" s="17" t="str">
        <f aca="false">IF(TRIM(B463)="","",UPPER(TRIM(B463)))</f>
        <v/>
      </c>
      <c r="J463" s="17" t="str">
        <f aca="false">IF(H463="","",IF(COUNTIF('Master Stock'!$A$5:$A$206,H463)&gt;0,"Yes","Not on stock sheet"))</f>
        <v/>
      </c>
    </row>
    <row r="464" customFormat="false" ht="14.25" hidden="false" customHeight="true" outlineLevel="0" collapsed="false">
      <c r="E464" s="17"/>
      <c r="H464" s="17" t="str">
        <f aca="false">IF(TRIM(C464)="","",IFERROR(INDEX('Code Aliases'!$B:$B,MATCH(TRIM(C464),'Code Aliases'!$A:$A,0)),TRIM(C464)))</f>
        <v/>
      </c>
      <c r="I464" s="17" t="str">
        <f aca="false">IF(TRIM(B464)="","",UPPER(TRIM(B464)))</f>
        <v/>
      </c>
      <c r="J464" s="17" t="str">
        <f aca="false">IF(H464="","",IF(COUNTIF('Master Stock'!$A$5:$A$206,H464)&gt;0,"Yes","Not on stock sheet"))</f>
        <v/>
      </c>
    </row>
    <row r="465" customFormat="false" ht="14.25" hidden="false" customHeight="true" outlineLevel="0" collapsed="false">
      <c r="E465" s="17"/>
      <c r="H465" s="17" t="str">
        <f aca="false">IF(TRIM(C465)="","",IFERROR(INDEX('Code Aliases'!$B:$B,MATCH(TRIM(C465),'Code Aliases'!$A:$A,0)),TRIM(C465)))</f>
        <v/>
      </c>
      <c r="I465" s="17" t="str">
        <f aca="false">IF(TRIM(B465)="","",UPPER(TRIM(B465)))</f>
        <v/>
      </c>
      <c r="J465" s="17" t="str">
        <f aca="false">IF(H465="","",IF(COUNTIF('Master Stock'!$A$5:$A$206,H465)&gt;0,"Yes","Not on stock sheet"))</f>
        <v/>
      </c>
    </row>
    <row r="466" customFormat="false" ht="14.25" hidden="false" customHeight="true" outlineLevel="0" collapsed="false">
      <c r="E466" s="17"/>
      <c r="H466" s="17" t="str">
        <f aca="false">IF(TRIM(C466)="","",IFERROR(INDEX('Code Aliases'!$B:$B,MATCH(TRIM(C466),'Code Aliases'!$A:$A,0)),TRIM(C466)))</f>
        <v/>
      </c>
      <c r="I466" s="17" t="str">
        <f aca="false">IF(TRIM(B466)="","",UPPER(TRIM(B466)))</f>
        <v/>
      </c>
      <c r="J466" s="17" t="str">
        <f aca="false">IF(H466="","",IF(COUNTIF('Master Stock'!$A$5:$A$206,H466)&gt;0,"Yes","Not on stock sheet"))</f>
        <v/>
      </c>
    </row>
    <row r="467" customFormat="false" ht="14.25" hidden="false" customHeight="true" outlineLevel="0" collapsed="false">
      <c r="E467" s="17"/>
      <c r="H467" s="17" t="str">
        <f aca="false">IF(TRIM(C467)="","",IFERROR(INDEX('Code Aliases'!$B:$B,MATCH(TRIM(C467),'Code Aliases'!$A:$A,0)),TRIM(C467)))</f>
        <v/>
      </c>
      <c r="I467" s="17" t="str">
        <f aca="false">IF(TRIM(B467)="","",UPPER(TRIM(B467)))</f>
        <v/>
      </c>
      <c r="J467" s="17" t="str">
        <f aca="false">IF(H467="","",IF(COUNTIF('Master Stock'!$A$5:$A$206,H467)&gt;0,"Yes","Not on stock sheet"))</f>
        <v/>
      </c>
    </row>
    <row r="468" customFormat="false" ht="14.25" hidden="false" customHeight="true" outlineLevel="0" collapsed="false">
      <c r="E468" s="17"/>
      <c r="H468" s="17" t="str">
        <f aca="false">IF(TRIM(C468)="","",IFERROR(INDEX('Code Aliases'!$B:$B,MATCH(TRIM(C468),'Code Aliases'!$A:$A,0)),TRIM(C468)))</f>
        <v/>
      </c>
      <c r="I468" s="17" t="str">
        <f aca="false">IF(TRIM(B468)="","",UPPER(TRIM(B468)))</f>
        <v/>
      </c>
      <c r="J468" s="17" t="str">
        <f aca="false">IF(H468="","",IF(COUNTIF('Master Stock'!$A$5:$A$206,H468)&gt;0,"Yes","Not on stock sheet"))</f>
        <v/>
      </c>
    </row>
    <row r="469" customFormat="false" ht="14.25" hidden="false" customHeight="true" outlineLevel="0" collapsed="false">
      <c r="E469" s="17"/>
      <c r="H469" s="17" t="str">
        <f aca="false">IF(TRIM(C469)="","",IFERROR(INDEX('Code Aliases'!$B:$B,MATCH(TRIM(C469),'Code Aliases'!$A:$A,0)),TRIM(C469)))</f>
        <v/>
      </c>
      <c r="I469" s="17" t="str">
        <f aca="false">IF(TRIM(B469)="","",UPPER(TRIM(B469)))</f>
        <v/>
      </c>
      <c r="J469" s="17" t="str">
        <f aca="false">IF(H469="","",IF(COUNTIF('Master Stock'!$A$5:$A$206,H469)&gt;0,"Yes","Not on stock sheet"))</f>
        <v/>
      </c>
    </row>
    <row r="470" customFormat="false" ht="14.25" hidden="false" customHeight="true" outlineLevel="0" collapsed="false">
      <c r="E470" s="17"/>
      <c r="H470" s="17" t="str">
        <f aca="false">IF(TRIM(C470)="","",IFERROR(INDEX('Code Aliases'!$B:$B,MATCH(TRIM(C470),'Code Aliases'!$A:$A,0)),TRIM(C470)))</f>
        <v/>
      </c>
      <c r="I470" s="17" t="str">
        <f aca="false">IF(TRIM(B470)="","",UPPER(TRIM(B470)))</f>
        <v/>
      </c>
      <c r="J470" s="17" t="str">
        <f aca="false">IF(H470="","",IF(COUNTIF('Master Stock'!$A$5:$A$206,H470)&gt;0,"Yes","Not on stock sheet"))</f>
        <v/>
      </c>
    </row>
    <row r="471" customFormat="false" ht="14.25" hidden="false" customHeight="true" outlineLevel="0" collapsed="false">
      <c r="E471" s="17"/>
      <c r="H471" s="17" t="str">
        <f aca="false">IF(TRIM(C471)="","",IFERROR(INDEX('Code Aliases'!$B:$B,MATCH(TRIM(C471),'Code Aliases'!$A:$A,0)),TRIM(C471)))</f>
        <v/>
      </c>
      <c r="I471" s="17" t="str">
        <f aca="false">IF(TRIM(B471)="","",UPPER(TRIM(B471)))</f>
        <v/>
      </c>
      <c r="J471" s="17" t="str">
        <f aca="false">IF(H471="","",IF(COUNTIF('Master Stock'!$A$5:$A$206,H471)&gt;0,"Yes","Not on stock sheet"))</f>
        <v/>
      </c>
    </row>
    <row r="472" customFormat="false" ht="14.25" hidden="false" customHeight="true" outlineLevel="0" collapsed="false">
      <c r="E472" s="17"/>
      <c r="H472" s="17" t="str">
        <f aca="false">IF(TRIM(C472)="","",IFERROR(INDEX('Code Aliases'!$B:$B,MATCH(TRIM(C472),'Code Aliases'!$A:$A,0)),TRIM(C472)))</f>
        <v/>
      </c>
      <c r="I472" s="17" t="str">
        <f aca="false">IF(TRIM(B472)="","",UPPER(TRIM(B472)))</f>
        <v/>
      </c>
      <c r="J472" s="17" t="str">
        <f aca="false">IF(H472="","",IF(COUNTIF('Master Stock'!$A$5:$A$206,H472)&gt;0,"Yes","Not on stock sheet"))</f>
        <v/>
      </c>
    </row>
    <row r="473" customFormat="false" ht="14.25" hidden="false" customHeight="true" outlineLevel="0" collapsed="false">
      <c r="E473" s="17"/>
      <c r="H473" s="17" t="str">
        <f aca="false">IF(TRIM(C473)="","",IFERROR(INDEX('Code Aliases'!$B:$B,MATCH(TRIM(C473),'Code Aliases'!$A:$A,0)),TRIM(C473)))</f>
        <v/>
      </c>
      <c r="I473" s="17" t="str">
        <f aca="false">IF(TRIM(B473)="","",UPPER(TRIM(B473)))</f>
        <v/>
      </c>
      <c r="J473" s="17" t="str">
        <f aca="false">IF(H473="","",IF(COUNTIF('Master Stock'!$A$5:$A$206,H473)&gt;0,"Yes","Not on stock sheet"))</f>
        <v/>
      </c>
    </row>
    <row r="474" customFormat="false" ht="14.25" hidden="false" customHeight="true" outlineLevel="0" collapsed="false">
      <c r="E474" s="17"/>
      <c r="H474" s="17" t="str">
        <f aca="false">IF(TRIM(C474)="","",IFERROR(INDEX('Code Aliases'!$B:$B,MATCH(TRIM(C474),'Code Aliases'!$A:$A,0)),TRIM(C474)))</f>
        <v/>
      </c>
      <c r="I474" s="17" t="str">
        <f aca="false">IF(TRIM(B474)="","",UPPER(TRIM(B474)))</f>
        <v/>
      </c>
      <c r="J474" s="17" t="str">
        <f aca="false">IF(H474="","",IF(COUNTIF('Master Stock'!$A$5:$A$206,H474)&gt;0,"Yes","Not on stock sheet"))</f>
        <v/>
      </c>
    </row>
    <row r="475" customFormat="false" ht="14.25" hidden="false" customHeight="true" outlineLevel="0" collapsed="false">
      <c r="E475" s="17"/>
      <c r="H475" s="17" t="str">
        <f aca="false">IF(TRIM(C475)="","",IFERROR(INDEX('Code Aliases'!$B:$B,MATCH(TRIM(C475),'Code Aliases'!$A:$A,0)),TRIM(C475)))</f>
        <v/>
      </c>
      <c r="I475" s="17" t="str">
        <f aca="false">IF(TRIM(B475)="","",UPPER(TRIM(B475)))</f>
        <v/>
      </c>
      <c r="J475" s="17" t="str">
        <f aca="false">IF(H475="","",IF(COUNTIF('Master Stock'!$A$5:$A$206,H475)&gt;0,"Yes","Not on stock sheet"))</f>
        <v/>
      </c>
    </row>
    <row r="476" customFormat="false" ht="14.25" hidden="false" customHeight="true" outlineLevel="0" collapsed="false">
      <c r="E476" s="17"/>
      <c r="H476" s="17" t="str">
        <f aca="false">IF(TRIM(C476)="","",IFERROR(INDEX('Code Aliases'!$B:$B,MATCH(TRIM(C476),'Code Aliases'!$A:$A,0)),TRIM(C476)))</f>
        <v/>
      </c>
      <c r="I476" s="17" t="str">
        <f aca="false">IF(TRIM(B476)="","",UPPER(TRIM(B476)))</f>
        <v/>
      </c>
      <c r="J476" s="17" t="str">
        <f aca="false">IF(H476="","",IF(COUNTIF('Master Stock'!$A$5:$A$206,H476)&gt;0,"Yes","Not on stock sheet"))</f>
        <v/>
      </c>
    </row>
    <row r="477" customFormat="false" ht="14.25" hidden="false" customHeight="true" outlineLevel="0" collapsed="false">
      <c r="E477" s="17"/>
      <c r="H477" s="17" t="str">
        <f aca="false">IF(TRIM(C477)="","",IFERROR(INDEX('Code Aliases'!$B:$B,MATCH(TRIM(C477),'Code Aliases'!$A:$A,0)),TRIM(C477)))</f>
        <v/>
      </c>
      <c r="I477" s="17" t="str">
        <f aca="false">IF(TRIM(B477)="","",UPPER(TRIM(B477)))</f>
        <v/>
      </c>
      <c r="J477" s="17" t="str">
        <f aca="false">IF(H477="","",IF(COUNTIF('Master Stock'!$A$5:$A$206,H477)&gt;0,"Yes","Not on stock sheet"))</f>
        <v/>
      </c>
    </row>
    <row r="478" customFormat="false" ht="14.25" hidden="false" customHeight="true" outlineLevel="0" collapsed="false">
      <c r="E478" s="17"/>
      <c r="H478" s="17" t="str">
        <f aca="false">IF(TRIM(C478)="","",IFERROR(INDEX('Code Aliases'!$B:$B,MATCH(TRIM(C478),'Code Aliases'!$A:$A,0)),TRIM(C478)))</f>
        <v/>
      </c>
      <c r="I478" s="17" t="str">
        <f aca="false">IF(TRIM(B478)="","",UPPER(TRIM(B478)))</f>
        <v/>
      </c>
      <c r="J478" s="17" t="str">
        <f aca="false">IF(H478="","",IF(COUNTIF('Master Stock'!$A$5:$A$206,H478)&gt;0,"Yes","Not on stock sheet"))</f>
        <v/>
      </c>
    </row>
    <row r="479" customFormat="false" ht="14.25" hidden="false" customHeight="true" outlineLevel="0" collapsed="false">
      <c r="E479" s="17"/>
      <c r="H479" s="17" t="str">
        <f aca="false">IF(TRIM(C479)="","",IFERROR(INDEX('Code Aliases'!$B:$B,MATCH(TRIM(C479),'Code Aliases'!$A:$A,0)),TRIM(C479)))</f>
        <v/>
      </c>
      <c r="I479" s="17" t="str">
        <f aca="false">IF(TRIM(B479)="","",UPPER(TRIM(B479)))</f>
        <v/>
      </c>
      <c r="J479" s="17" t="str">
        <f aca="false">IF(H479="","",IF(COUNTIF('Master Stock'!$A$5:$A$206,H479)&gt;0,"Yes","Not on stock sheet"))</f>
        <v/>
      </c>
    </row>
    <row r="480" customFormat="false" ht="14.25" hidden="false" customHeight="true" outlineLevel="0" collapsed="false">
      <c r="E480" s="17"/>
      <c r="H480" s="17" t="str">
        <f aca="false">IF(TRIM(C480)="","",IFERROR(INDEX('Code Aliases'!$B:$B,MATCH(TRIM(C480),'Code Aliases'!$A:$A,0)),TRIM(C480)))</f>
        <v/>
      </c>
      <c r="I480" s="17" t="str">
        <f aca="false">IF(TRIM(B480)="","",UPPER(TRIM(B480)))</f>
        <v/>
      </c>
      <c r="J480" s="17" t="str">
        <f aca="false">IF(H480="","",IF(COUNTIF('Master Stock'!$A$5:$A$206,H480)&gt;0,"Yes","Not on stock sheet"))</f>
        <v/>
      </c>
    </row>
    <row r="481" customFormat="false" ht="14.25" hidden="false" customHeight="true" outlineLevel="0" collapsed="false">
      <c r="E481" s="17"/>
      <c r="H481" s="17" t="str">
        <f aca="false">IF(TRIM(C481)="","",IFERROR(INDEX('Code Aliases'!$B:$B,MATCH(TRIM(C481),'Code Aliases'!$A:$A,0)),TRIM(C481)))</f>
        <v/>
      </c>
      <c r="I481" s="17" t="str">
        <f aca="false">IF(TRIM(B481)="","",UPPER(TRIM(B481)))</f>
        <v/>
      </c>
      <c r="J481" s="17" t="str">
        <f aca="false">IF(H481="","",IF(COUNTIF('Master Stock'!$A$5:$A$206,H481)&gt;0,"Yes","Not on stock sheet"))</f>
        <v/>
      </c>
    </row>
    <row r="482" customFormat="false" ht="14.25" hidden="false" customHeight="true" outlineLevel="0" collapsed="false">
      <c r="E482" s="17"/>
      <c r="H482" s="17" t="str">
        <f aca="false">IF(TRIM(C482)="","",IFERROR(INDEX('Code Aliases'!$B:$B,MATCH(TRIM(C482),'Code Aliases'!$A:$A,0)),TRIM(C482)))</f>
        <v/>
      </c>
      <c r="I482" s="17" t="str">
        <f aca="false">IF(TRIM(B482)="","",UPPER(TRIM(B482)))</f>
        <v/>
      </c>
      <c r="J482" s="17" t="str">
        <f aca="false">IF(H482="","",IF(COUNTIF('Master Stock'!$A$5:$A$206,H482)&gt;0,"Yes","Not on stock sheet"))</f>
        <v/>
      </c>
    </row>
    <row r="483" customFormat="false" ht="14.25" hidden="false" customHeight="true" outlineLevel="0" collapsed="false">
      <c r="E483" s="17"/>
      <c r="H483" s="17" t="str">
        <f aca="false">IF(TRIM(C483)="","",IFERROR(INDEX('Code Aliases'!$B:$B,MATCH(TRIM(C483),'Code Aliases'!$A:$A,0)),TRIM(C483)))</f>
        <v/>
      </c>
      <c r="I483" s="17" t="str">
        <f aca="false">IF(TRIM(B483)="","",UPPER(TRIM(B483)))</f>
        <v/>
      </c>
      <c r="J483" s="17" t="str">
        <f aca="false">IF(H483="","",IF(COUNTIF('Master Stock'!$A$5:$A$206,H483)&gt;0,"Yes","Not on stock sheet"))</f>
        <v/>
      </c>
    </row>
    <row r="484" customFormat="false" ht="14.25" hidden="false" customHeight="true" outlineLevel="0" collapsed="false">
      <c r="E484" s="17"/>
      <c r="H484" s="17" t="str">
        <f aca="false">IF(TRIM(C484)="","",IFERROR(INDEX('Code Aliases'!$B:$B,MATCH(TRIM(C484),'Code Aliases'!$A:$A,0)),TRIM(C484)))</f>
        <v/>
      </c>
      <c r="I484" s="17" t="str">
        <f aca="false">IF(TRIM(B484)="","",UPPER(TRIM(B484)))</f>
        <v/>
      </c>
      <c r="J484" s="17" t="str">
        <f aca="false">IF(H484="","",IF(COUNTIF('Master Stock'!$A$5:$A$206,H484)&gt;0,"Yes","Not on stock sheet"))</f>
        <v/>
      </c>
    </row>
    <row r="485" customFormat="false" ht="14.25" hidden="false" customHeight="true" outlineLevel="0" collapsed="false">
      <c r="E485" s="17"/>
      <c r="H485" s="17" t="str">
        <f aca="false">IF(TRIM(C485)="","",IFERROR(INDEX('Code Aliases'!$B:$B,MATCH(TRIM(C485),'Code Aliases'!$A:$A,0)),TRIM(C485)))</f>
        <v/>
      </c>
      <c r="I485" s="17" t="str">
        <f aca="false">IF(TRIM(B485)="","",UPPER(TRIM(B485)))</f>
        <v/>
      </c>
      <c r="J485" s="17" t="str">
        <f aca="false">IF(H485="","",IF(COUNTIF('Master Stock'!$A$5:$A$206,H485)&gt;0,"Yes","Not on stock sheet"))</f>
        <v/>
      </c>
    </row>
    <row r="486" customFormat="false" ht="14.25" hidden="false" customHeight="true" outlineLevel="0" collapsed="false">
      <c r="E486" s="17"/>
      <c r="H486" s="17" t="str">
        <f aca="false">IF(TRIM(C486)="","",IFERROR(INDEX('Code Aliases'!$B:$B,MATCH(TRIM(C486),'Code Aliases'!$A:$A,0)),TRIM(C486)))</f>
        <v/>
      </c>
      <c r="I486" s="17" t="str">
        <f aca="false">IF(TRIM(B486)="","",UPPER(TRIM(B486)))</f>
        <v/>
      </c>
      <c r="J486" s="17" t="str">
        <f aca="false">IF(H486="","",IF(COUNTIF('Master Stock'!$A$5:$A$206,H486)&gt;0,"Yes","Not on stock sheet"))</f>
        <v/>
      </c>
    </row>
    <row r="487" customFormat="false" ht="14.25" hidden="false" customHeight="true" outlineLevel="0" collapsed="false">
      <c r="E487" s="17"/>
      <c r="H487" s="17" t="str">
        <f aca="false">IF(TRIM(C487)="","",IFERROR(INDEX('Code Aliases'!$B:$B,MATCH(TRIM(C487),'Code Aliases'!$A:$A,0)),TRIM(C487)))</f>
        <v/>
      </c>
      <c r="I487" s="17" t="str">
        <f aca="false">IF(TRIM(B487)="","",UPPER(TRIM(B487)))</f>
        <v/>
      </c>
      <c r="J487" s="17" t="str">
        <f aca="false">IF(H487="","",IF(COUNTIF('Master Stock'!$A$5:$A$206,H487)&gt;0,"Yes","Not on stock sheet"))</f>
        <v/>
      </c>
    </row>
    <row r="488" customFormat="false" ht="14.25" hidden="false" customHeight="true" outlineLevel="0" collapsed="false">
      <c r="E488" s="17"/>
      <c r="H488" s="17" t="str">
        <f aca="false">IF(TRIM(C488)="","",IFERROR(INDEX('Code Aliases'!$B:$B,MATCH(TRIM(C488),'Code Aliases'!$A:$A,0)),TRIM(C488)))</f>
        <v/>
      </c>
      <c r="I488" s="17" t="str">
        <f aca="false">IF(TRIM(B488)="","",UPPER(TRIM(B488)))</f>
        <v/>
      </c>
      <c r="J488" s="17" t="str">
        <f aca="false">IF(H488="","",IF(COUNTIF('Master Stock'!$A$5:$A$206,H488)&gt;0,"Yes","Not on stock sheet"))</f>
        <v/>
      </c>
    </row>
    <row r="489" customFormat="false" ht="14.25" hidden="false" customHeight="true" outlineLevel="0" collapsed="false">
      <c r="E489" s="17"/>
      <c r="H489" s="17" t="str">
        <f aca="false">IF(TRIM(C489)="","",IFERROR(INDEX('Code Aliases'!$B:$B,MATCH(TRIM(C489),'Code Aliases'!$A:$A,0)),TRIM(C489)))</f>
        <v/>
      </c>
      <c r="I489" s="17" t="str">
        <f aca="false">IF(TRIM(B489)="","",UPPER(TRIM(B489)))</f>
        <v/>
      </c>
      <c r="J489" s="17" t="str">
        <f aca="false">IF(H489="","",IF(COUNTIF('Master Stock'!$A$5:$A$206,H489)&gt;0,"Yes","Not on stock sheet"))</f>
        <v/>
      </c>
    </row>
    <row r="490" customFormat="false" ht="14.25" hidden="false" customHeight="true" outlineLevel="0" collapsed="false">
      <c r="E490" s="17"/>
      <c r="H490" s="17" t="str">
        <f aca="false">IF(TRIM(C490)="","",IFERROR(INDEX('Code Aliases'!$B:$B,MATCH(TRIM(C490),'Code Aliases'!$A:$A,0)),TRIM(C490)))</f>
        <v/>
      </c>
      <c r="I490" s="17" t="str">
        <f aca="false">IF(TRIM(B490)="","",UPPER(TRIM(B490)))</f>
        <v/>
      </c>
      <c r="J490" s="17" t="str">
        <f aca="false">IF(H490="","",IF(COUNTIF('Master Stock'!$A$5:$A$206,H490)&gt;0,"Yes","Not on stock sheet"))</f>
        <v/>
      </c>
    </row>
    <row r="491" customFormat="false" ht="14.25" hidden="false" customHeight="true" outlineLevel="0" collapsed="false">
      <c r="E491" s="17"/>
      <c r="H491" s="17" t="str">
        <f aca="false">IF(TRIM(C491)="","",IFERROR(INDEX('Code Aliases'!$B:$B,MATCH(TRIM(C491),'Code Aliases'!$A:$A,0)),TRIM(C491)))</f>
        <v/>
      </c>
      <c r="I491" s="17" t="str">
        <f aca="false">IF(TRIM(B491)="","",UPPER(TRIM(B491)))</f>
        <v/>
      </c>
      <c r="J491" s="17" t="str">
        <f aca="false">IF(H491="","",IF(COUNTIF('Master Stock'!$A$5:$A$206,H491)&gt;0,"Yes","Not on stock sheet"))</f>
        <v/>
      </c>
    </row>
    <row r="492" customFormat="false" ht="14.25" hidden="false" customHeight="true" outlineLevel="0" collapsed="false">
      <c r="E492" s="17"/>
      <c r="H492" s="17" t="str">
        <f aca="false">IF(TRIM(C492)="","",IFERROR(INDEX('Code Aliases'!$B:$B,MATCH(TRIM(C492),'Code Aliases'!$A:$A,0)),TRIM(C492)))</f>
        <v/>
      </c>
      <c r="I492" s="17" t="str">
        <f aca="false">IF(TRIM(B492)="","",UPPER(TRIM(B492)))</f>
        <v/>
      </c>
      <c r="J492" s="17" t="str">
        <f aca="false">IF(H492="","",IF(COUNTIF('Master Stock'!$A$5:$A$206,H492)&gt;0,"Yes","Not on stock sheet"))</f>
        <v/>
      </c>
    </row>
    <row r="493" customFormat="false" ht="14.25" hidden="false" customHeight="true" outlineLevel="0" collapsed="false">
      <c r="E493" s="17"/>
      <c r="H493" s="17" t="str">
        <f aca="false">IF(TRIM(C493)="","",IFERROR(INDEX('Code Aliases'!$B:$B,MATCH(TRIM(C493),'Code Aliases'!$A:$A,0)),TRIM(C493)))</f>
        <v/>
      </c>
      <c r="I493" s="17" t="str">
        <f aca="false">IF(TRIM(B493)="","",UPPER(TRIM(B493)))</f>
        <v/>
      </c>
      <c r="J493" s="17" t="str">
        <f aca="false">IF(H493="","",IF(COUNTIF('Master Stock'!$A$5:$A$206,H493)&gt;0,"Yes","Not on stock sheet"))</f>
        <v/>
      </c>
    </row>
    <row r="494" customFormat="false" ht="14.25" hidden="false" customHeight="true" outlineLevel="0" collapsed="false">
      <c r="E494" s="17"/>
      <c r="H494" s="17" t="str">
        <f aca="false">IF(TRIM(C494)="","",IFERROR(INDEX('Code Aliases'!$B:$B,MATCH(TRIM(C494),'Code Aliases'!$A:$A,0)),TRIM(C494)))</f>
        <v/>
      </c>
      <c r="I494" s="17" t="str">
        <f aca="false">IF(TRIM(B494)="","",UPPER(TRIM(B494)))</f>
        <v/>
      </c>
      <c r="J494" s="17" t="str">
        <f aca="false">IF(H494="","",IF(COUNTIF('Master Stock'!$A$5:$A$206,H494)&gt;0,"Yes","Not on stock sheet"))</f>
        <v/>
      </c>
    </row>
    <row r="495" customFormat="false" ht="14.25" hidden="false" customHeight="true" outlineLevel="0" collapsed="false">
      <c r="E495" s="17"/>
      <c r="H495" s="17" t="str">
        <f aca="false">IF(TRIM(C495)="","",IFERROR(INDEX('Code Aliases'!$B:$B,MATCH(TRIM(C495),'Code Aliases'!$A:$A,0)),TRIM(C495)))</f>
        <v/>
      </c>
      <c r="I495" s="17" t="str">
        <f aca="false">IF(TRIM(B495)="","",UPPER(TRIM(B495)))</f>
        <v/>
      </c>
      <c r="J495" s="17" t="str">
        <f aca="false">IF(H495="","",IF(COUNTIF('Master Stock'!$A$5:$A$206,H495)&gt;0,"Yes","Not on stock sheet"))</f>
        <v/>
      </c>
    </row>
    <row r="496" customFormat="false" ht="14.25" hidden="false" customHeight="true" outlineLevel="0" collapsed="false">
      <c r="E496" s="17"/>
      <c r="H496" s="17" t="str">
        <f aca="false">IF(TRIM(C496)="","",IFERROR(INDEX('Code Aliases'!$B:$B,MATCH(TRIM(C496),'Code Aliases'!$A:$A,0)),TRIM(C496)))</f>
        <v/>
      </c>
      <c r="I496" s="17" t="str">
        <f aca="false">IF(TRIM(B496)="","",UPPER(TRIM(B496)))</f>
        <v/>
      </c>
      <c r="J496" s="17" t="str">
        <f aca="false">IF(H496="","",IF(COUNTIF('Master Stock'!$A$5:$A$206,H496)&gt;0,"Yes","Not on stock sheet"))</f>
        <v/>
      </c>
    </row>
    <row r="497" customFormat="false" ht="14.25" hidden="false" customHeight="true" outlineLevel="0" collapsed="false">
      <c r="E497" s="17"/>
      <c r="H497" s="17" t="str">
        <f aca="false">IF(TRIM(C497)="","",IFERROR(INDEX('Code Aliases'!$B:$B,MATCH(TRIM(C497),'Code Aliases'!$A:$A,0)),TRIM(C497)))</f>
        <v/>
      </c>
      <c r="I497" s="17" t="str">
        <f aca="false">IF(TRIM(B497)="","",UPPER(TRIM(B497)))</f>
        <v/>
      </c>
      <c r="J497" s="17" t="str">
        <f aca="false">IF(H497="","",IF(COUNTIF('Master Stock'!$A$5:$A$206,H497)&gt;0,"Yes","Not on stock sheet"))</f>
        <v/>
      </c>
    </row>
    <row r="498" customFormat="false" ht="14.25" hidden="false" customHeight="true" outlineLevel="0" collapsed="false">
      <c r="E498" s="17"/>
      <c r="H498" s="17" t="str">
        <f aca="false">IF(TRIM(C498)="","",IFERROR(INDEX('Code Aliases'!$B:$B,MATCH(TRIM(C498),'Code Aliases'!$A:$A,0)),TRIM(C498)))</f>
        <v/>
      </c>
      <c r="I498" s="17" t="str">
        <f aca="false">IF(TRIM(B498)="","",UPPER(TRIM(B498)))</f>
        <v/>
      </c>
      <c r="J498" s="17" t="str">
        <f aca="false">IF(H498="","",IF(COUNTIF('Master Stock'!$A$5:$A$206,H498)&gt;0,"Yes","Not on stock sheet"))</f>
        <v/>
      </c>
    </row>
    <row r="499" customFormat="false" ht="14.25" hidden="false" customHeight="true" outlineLevel="0" collapsed="false">
      <c r="E499" s="17"/>
      <c r="H499" s="17" t="str">
        <f aca="false">IF(TRIM(C499)="","",IFERROR(INDEX('Code Aliases'!$B:$B,MATCH(TRIM(C499),'Code Aliases'!$A:$A,0)),TRIM(C499)))</f>
        <v/>
      </c>
      <c r="I499" s="17" t="str">
        <f aca="false">IF(TRIM(B499)="","",UPPER(TRIM(B499)))</f>
        <v/>
      </c>
      <c r="J499" s="17" t="str">
        <f aca="false">IF(H499="","",IF(COUNTIF('Master Stock'!$A$5:$A$206,H499)&gt;0,"Yes","Not on stock sheet"))</f>
        <v/>
      </c>
    </row>
    <row r="500" customFormat="false" ht="14.25" hidden="false" customHeight="true" outlineLevel="0" collapsed="false">
      <c r="E500" s="17"/>
      <c r="H500" s="17" t="str">
        <f aca="false">IF(TRIM(C500)="","",IFERROR(INDEX('Code Aliases'!$B:$B,MATCH(TRIM(C500),'Code Aliases'!$A:$A,0)),TRIM(C500)))</f>
        <v/>
      </c>
      <c r="I500" s="17" t="str">
        <f aca="false">IF(TRIM(B500)="","",UPPER(TRIM(B500)))</f>
        <v/>
      </c>
      <c r="J500" s="17" t="str">
        <f aca="false">IF(H500="","",IF(COUNTIF('Master Stock'!$A$5:$A$206,H500)&gt;0,"Yes","Not on stock sheet"))</f>
        <v/>
      </c>
    </row>
    <row r="501" customFormat="false" ht="14.25" hidden="false" customHeight="true" outlineLevel="0" collapsed="false">
      <c r="E501" s="17"/>
      <c r="H501" s="17" t="str">
        <f aca="false">IF(TRIM(C501)="","",IFERROR(INDEX('Code Aliases'!$B:$B,MATCH(TRIM(C501),'Code Aliases'!$A:$A,0)),TRIM(C501)))</f>
        <v/>
      </c>
      <c r="I501" s="17" t="str">
        <f aca="false">IF(TRIM(B501)="","",UPPER(TRIM(B501)))</f>
        <v/>
      </c>
      <c r="J501" s="17" t="str">
        <f aca="false">IF(H501="","",IF(COUNTIF('Master Stock'!$A$5:$A$206,H501)&gt;0,"Yes","Not on stock sheet"))</f>
        <v/>
      </c>
    </row>
    <row r="502" customFormat="false" ht="14.25" hidden="false" customHeight="true" outlineLevel="0" collapsed="false">
      <c r="E502" s="17"/>
      <c r="H502" s="17" t="str">
        <f aca="false">IF(TRIM(C502)="","",IFERROR(INDEX('Code Aliases'!$B:$B,MATCH(TRIM(C502),'Code Aliases'!$A:$A,0)),TRIM(C502)))</f>
        <v/>
      </c>
      <c r="I502" s="17" t="str">
        <f aca="false">IF(TRIM(B502)="","",UPPER(TRIM(B502)))</f>
        <v/>
      </c>
      <c r="J502" s="17" t="str">
        <f aca="false">IF(H502="","",IF(COUNTIF('Master Stock'!$A$5:$A$206,H502)&gt;0,"Yes","Not on stock sheet"))</f>
        <v/>
      </c>
    </row>
    <row r="503" customFormat="false" ht="14.25" hidden="false" customHeight="true" outlineLevel="0" collapsed="false">
      <c r="E503" s="17"/>
      <c r="H503" s="17" t="str">
        <f aca="false">IF(TRIM(C503)="","",IFERROR(INDEX('Code Aliases'!$B:$B,MATCH(TRIM(C503),'Code Aliases'!$A:$A,0)),TRIM(C503)))</f>
        <v/>
      </c>
      <c r="I503" s="17" t="str">
        <f aca="false">IF(TRIM(B503)="","",UPPER(TRIM(B503)))</f>
        <v/>
      </c>
      <c r="J503" s="17" t="str">
        <f aca="false">IF(H503="","",IF(COUNTIF('Master Stock'!$A$5:$A$206,H503)&gt;0,"Yes","Not on stock sheet"))</f>
        <v/>
      </c>
    </row>
    <row r="504" customFormat="false" ht="14.25" hidden="false" customHeight="true" outlineLevel="0" collapsed="false">
      <c r="E504" s="17"/>
      <c r="H504" s="17" t="str">
        <f aca="false">IF(TRIM(C504)="","",IFERROR(INDEX('Code Aliases'!$B:$B,MATCH(TRIM(C504),'Code Aliases'!$A:$A,0)),TRIM(C504)))</f>
        <v/>
      </c>
      <c r="I504" s="17" t="str">
        <f aca="false">IF(TRIM(B504)="","",UPPER(TRIM(B504)))</f>
        <v/>
      </c>
      <c r="J504" s="17" t="str">
        <f aca="false">IF(H504="","",IF(COUNTIF('Master Stock'!$A$5:$A$206,H504)&gt;0,"Yes","Not on stock sheet"))</f>
        <v/>
      </c>
    </row>
    <row r="505" customFormat="false" ht="14.25" hidden="false" customHeight="true" outlineLevel="0" collapsed="false">
      <c r="E505" s="17"/>
      <c r="H505" s="17" t="str">
        <f aca="false">IF(TRIM(C505)="","",IFERROR(INDEX('Code Aliases'!$B:$B,MATCH(TRIM(C505),'Code Aliases'!$A:$A,0)),TRIM(C505)))</f>
        <v/>
      </c>
      <c r="I505" s="17" t="str">
        <f aca="false">IF(TRIM(B505)="","",UPPER(TRIM(B505)))</f>
        <v/>
      </c>
      <c r="J505" s="17" t="str">
        <f aca="false">IF(H505="","",IF(COUNTIF('Master Stock'!$A$5:$A$206,H505)&gt;0,"Yes","Not on stock sheet"))</f>
        <v/>
      </c>
    </row>
    <row r="506" customFormat="false" ht="14.25" hidden="false" customHeight="true" outlineLevel="0" collapsed="false">
      <c r="E506" s="17"/>
      <c r="H506" s="17" t="str">
        <f aca="false">IF(TRIM(C506)="","",IFERROR(INDEX('Code Aliases'!$B:$B,MATCH(TRIM(C506),'Code Aliases'!$A:$A,0)),TRIM(C506)))</f>
        <v/>
      </c>
      <c r="I506" s="17" t="str">
        <f aca="false">IF(TRIM(B506)="","",UPPER(TRIM(B506)))</f>
        <v/>
      </c>
      <c r="J506" s="17" t="str">
        <f aca="false">IF(H506="","",IF(COUNTIF('Master Stock'!$A$5:$A$206,H506)&gt;0,"Yes","Not on stock sheet"))</f>
        <v/>
      </c>
    </row>
    <row r="507" customFormat="false" ht="14.25" hidden="false" customHeight="true" outlineLevel="0" collapsed="false">
      <c r="E507" s="17"/>
      <c r="H507" s="17" t="str">
        <f aca="false">IF(TRIM(C507)="","",IFERROR(INDEX('Code Aliases'!$B:$B,MATCH(TRIM(C507),'Code Aliases'!$A:$A,0)),TRIM(C507)))</f>
        <v/>
      </c>
      <c r="I507" s="17" t="str">
        <f aca="false">IF(TRIM(B507)="","",UPPER(TRIM(B507)))</f>
        <v/>
      </c>
      <c r="J507" s="17" t="str">
        <f aca="false">IF(H507="","",IF(COUNTIF('Master Stock'!$A$5:$A$206,H507)&gt;0,"Yes","Not on stock sheet"))</f>
        <v/>
      </c>
    </row>
    <row r="508" customFormat="false" ht="14.25" hidden="false" customHeight="true" outlineLevel="0" collapsed="false">
      <c r="E508" s="17"/>
      <c r="H508" s="17" t="str">
        <f aca="false">IF(TRIM(C508)="","",IFERROR(INDEX('Code Aliases'!$B:$B,MATCH(TRIM(C508),'Code Aliases'!$A:$A,0)),TRIM(C508)))</f>
        <v/>
      </c>
      <c r="I508" s="17" t="str">
        <f aca="false">IF(TRIM(B508)="","",UPPER(TRIM(B508)))</f>
        <v/>
      </c>
      <c r="J508" s="17" t="str">
        <f aca="false">IF(H508="","",IF(COUNTIF('Master Stock'!$A$5:$A$206,H508)&gt;0,"Yes","Not on stock sheet"))</f>
        <v/>
      </c>
    </row>
    <row r="509" customFormat="false" ht="14.25" hidden="false" customHeight="true" outlineLevel="0" collapsed="false">
      <c r="E509" s="17"/>
      <c r="H509" s="17" t="str">
        <f aca="false">IF(TRIM(C509)="","",IFERROR(INDEX('Code Aliases'!$B:$B,MATCH(TRIM(C509),'Code Aliases'!$A:$A,0)),TRIM(C509)))</f>
        <v/>
      </c>
      <c r="I509" s="17" t="str">
        <f aca="false">IF(TRIM(B509)="","",UPPER(TRIM(B509)))</f>
        <v/>
      </c>
      <c r="J509" s="17" t="str">
        <f aca="false">IF(H509="","",IF(COUNTIF('Master Stock'!$A$5:$A$206,H509)&gt;0,"Yes","Not on stock sheet"))</f>
        <v/>
      </c>
    </row>
    <row r="510" customFormat="false" ht="14.25" hidden="false" customHeight="true" outlineLevel="0" collapsed="false">
      <c r="E510" s="17"/>
      <c r="H510" s="17" t="str">
        <f aca="false">IF(TRIM(C510)="","",IFERROR(INDEX('Code Aliases'!$B:$B,MATCH(TRIM(C510),'Code Aliases'!$A:$A,0)),TRIM(C510)))</f>
        <v/>
      </c>
      <c r="I510" s="17" t="str">
        <f aca="false">IF(TRIM(B510)="","",UPPER(TRIM(B510)))</f>
        <v/>
      </c>
      <c r="J510" s="17" t="str">
        <f aca="false">IF(H510="","",IF(COUNTIF('Master Stock'!$A$5:$A$206,H510)&gt;0,"Yes","Not on stock sheet"))</f>
        <v/>
      </c>
    </row>
    <row r="511" customFormat="false" ht="14.25" hidden="false" customHeight="true" outlineLevel="0" collapsed="false">
      <c r="E511" s="17"/>
      <c r="H511" s="17" t="str">
        <f aca="false">IF(TRIM(C511)="","",IFERROR(INDEX('Code Aliases'!$B:$B,MATCH(TRIM(C511),'Code Aliases'!$A:$A,0)),TRIM(C511)))</f>
        <v/>
      </c>
      <c r="I511" s="17" t="str">
        <f aca="false">IF(TRIM(B511)="","",UPPER(TRIM(B511)))</f>
        <v/>
      </c>
      <c r="J511" s="17" t="str">
        <f aca="false">IF(H511="","",IF(COUNTIF('Master Stock'!$A$5:$A$206,H511)&gt;0,"Yes","Not on stock sheet"))</f>
        <v/>
      </c>
    </row>
    <row r="512" customFormat="false" ht="14.25" hidden="false" customHeight="true" outlineLevel="0" collapsed="false">
      <c r="E512" s="17"/>
      <c r="H512" s="17" t="str">
        <f aca="false">IF(TRIM(C512)="","",IFERROR(INDEX('Code Aliases'!$B:$B,MATCH(TRIM(C512),'Code Aliases'!$A:$A,0)),TRIM(C512)))</f>
        <v/>
      </c>
      <c r="I512" s="17" t="str">
        <f aca="false">IF(TRIM(B512)="","",UPPER(TRIM(B512)))</f>
        <v/>
      </c>
      <c r="J512" s="17" t="str">
        <f aca="false">IF(H512="","",IF(COUNTIF('Master Stock'!$A$5:$A$206,H512)&gt;0,"Yes","Not on stock sheet"))</f>
        <v/>
      </c>
    </row>
    <row r="513" customFormat="false" ht="14.25" hidden="false" customHeight="true" outlineLevel="0" collapsed="false">
      <c r="E513" s="17"/>
      <c r="H513" s="17" t="str">
        <f aca="false">IF(TRIM(C513)="","",IFERROR(INDEX('Code Aliases'!$B:$B,MATCH(TRIM(C513),'Code Aliases'!$A:$A,0)),TRIM(C513)))</f>
        <v/>
      </c>
      <c r="I513" s="17" t="str">
        <f aca="false">IF(TRIM(B513)="","",UPPER(TRIM(B513)))</f>
        <v/>
      </c>
      <c r="J513" s="17" t="str">
        <f aca="false">IF(H513="","",IF(COUNTIF('Master Stock'!$A$5:$A$206,H513)&gt;0,"Yes","Not on stock sheet"))</f>
        <v/>
      </c>
    </row>
    <row r="514" customFormat="false" ht="14.25" hidden="false" customHeight="true" outlineLevel="0" collapsed="false">
      <c r="E514" s="17"/>
      <c r="H514" s="17" t="str">
        <f aca="false">IF(TRIM(C514)="","",IFERROR(INDEX('Code Aliases'!$B:$B,MATCH(TRIM(C514),'Code Aliases'!$A:$A,0)),TRIM(C514)))</f>
        <v/>
      </c>
      <c r="I514" s="17" t="str">
        <f aca="false">IF(TRIM(B514)="","",UPPER(TRIM(B514)))</f>
        <v/>
      </c>
      <c r="J514" s="17" t="str">
        <f aca="false">IF(H514="","",IF(COUNTIF('Master Stock'!$A$5:$A$206,H514)&gt;0,"Yes","Not on stock sheet"))</f>
        <v/>
      </c>
    </row>
    <row r="515" customFormat="false" ht="14.25" hidden="false" customHeight="true" outlineLevel="0" collapsed="false">
      <c r="E515" s="17"/>
      <c r="H515" s="17" t="str">
        <f aca="false">IF(TRIM(C515)="","",IFERROR(INDEX('Code Aliases'!$B:$B,MATCH(TRIM(C515),'Code Aliases'!$A:$A,0)),TRIM(C515)))</f>
        <v/>
      </c>
      <c r="I515" s="17" t="str">
        <f aca="false">IF(TRIM(B515)="","",UPPER(TRIM(B515)))</f>
        <v/>
      </c>
      <c r="J515" s="17" t="str">
        <f aca="false">IF(H515="","",IF(COUNTIF('Master Stock'!$A$5:$A$206,H515)&gt;0,"Yes","Not on stock sheet"))</f>
        <v/>
      </c>
    </row>
    <row r="516" customFormat="false" ht="14.25" hidden="false" customHeight="true" outlineLevel="0" collapsed="false">
      <c r="E516" s="17"/>
      <c r="H516" s="17" t="str">
        <f aca="false">IF(TRIM(C516)="","",IFERROR(INDEX('Code Aliases'!$B:$B,MATCH(TRIM(C516),'Code Aliases'!$A:$A,0)),TRIM(C516)))</f>
        <v/>
      </c>
      <c r="I516" s="17" t="str">
        <f aca="false">IF(TRIM(B516)="","",UPPER(TRIM(B516)))</f>
        <v/>
      </c>
      <c r="J516" s="17" t="str">
        <f aca="false">IF(H516="","",IF(COUNTIF('Master Stock'!$A$5:$A$206,H516)&gt;0,"Yes","Not on stock sheet"))</f>
        <v/>
      </c>
    </row>
    <row r="517" customFormat="false" ht="14.25" hidden="false" customHeight="true" outlineLevel="0" collapsed="false">
      <c r="E517" s="17"/>
      <c r="H517" s="17" t="str">
        <f aca="false">IF(TRIM(C517)="","",IFERROR(INDEX('Code Aliases'!$B:$B,MATCH(TRIM(C517),'Code Aliases'!$A:$A,0)),TRIM(C517)))</f>
        <v/>
      </c>
      <c r="I517" s="17" t="str">
        <f aca="false">IF(TRIM(B517)="","",UPPER(TRIM(B517)))</f>
        <v/>
      </c>
      <c r="J517" s="17" t="str">
        <f aca="false">IF(H517="","",IF(COUNTIF('Master Stock'!$A$5:$A$206,H517)&gt;0,"Yes","Not on stock sheet"))</f>
        <v/>
      </c>
    </row>
    <row r="518" customFormat="false" ht="14.25" hidden="false" customHeight="true" outlineLevel="0" collapsed="false">
      <c r="E518" s="17"/>
      <c r="H518" s="17" t="str">
        <f aca="false">IF(TRIM(C518)="","",IFERROR(INDEX('Code Aliases'!$B:$B,MATCH(TRIM(C518),'Code Aliases'!$A:$A,0)),TRIM(C518)))</f>
        <v/>
      </c>
      <c r="I518" s="17" t="str">
        <f aca="false">IF(TRIM(B518)="","",UPPER(TRIM(B518)))</f>
        <v/>
      </c>
      <c r="J518" s="17" t="str">
        <f aca="false">IF(H518="","",IF(COUNTIF('Master Stock'!$A$5:$A$206,H518)&gt;0,"Yes","Not on stock sheet"))</f>
        <v/>
      </c>
    </row>
    <row r="519" customFormat="false" ht="14.25" hidden="false" customHeight="true" outlineLevel="0" collapsed="false">
      <c r="E519" s="17"/>
      <c r="H519" s="17" t="str">
        <f aca="false">IF(TRIM(C519)="","",IFERROR(INDEX('Code Aliases'!$B:$B,MATCH(TRIM(C519),'Code Aliases'!$A:$A,0)),TRIM(C519)))</f>
        <v/>
      </c>
      <c r="I519" s="17" t="str">
        <f aca="false">IF(TRIM(B519)="","",UPPER(TRIM(B519)))</f>
        <v/>
      </c>
      <c r="J519" s="17" t="str">
        <f aca="false">IF(H519="","",IF(COUNTIF('Master Stock'!$A$5:$A$206,H519)&gt;0,"Yes","Not on stock sheet"))</f>
        <v/>
      </c>
    </row>
    <row r="520" customFormat="false" ht="14.25" hidden="false" customHeight="true" outlineLevel="0" collapsed="false">
      <c r="E520" s="17"/>
      <c r="H520" s="17" t="str">
        <f aca="false">IF(TRIM(C520)="","",IFERROR(INDEX('Code Aliases'!$B:$B,MATCH(TRIM(C520),'Code Aliases'!$A:$A,0)),TRIM(C520)))</f>
        <v/>
      </c>
      <c r="I520" s="17" t="str">
        <f aca="false">IF(TRIM(B520)="","",UPPER(TRIM(B520)))</f>
        <v/>
      </c>
      <c r="J520" s="17" t="str">
        <f aca="false">IF(H520="","",IF(COUNTIF('Master Stock'!$A$5:$A$206,H520)&gt;0,"Yes","Not on stock sheet"))</f>
        <v/>
      </c>
    </row>
    <row r="521" customFormat="false" ht="14.25" hidden="false" customHeight="true" outlineLevel="0" collapsed="false">
      <c r="E521" s="17"/>
      <c r="H521" s="17" t="str">
        <f aca="false">IF(TRIM(C521)="","",IFERROR(INDEX('Code Aliases'!$B:$B,MATCH(TRIM(C521),'Code Aliases'!$A:$A,0)),TRIM(C521)))</f>
        <v/>
      </c>
      <c r="I521" s="17" t="str">
        <f aca="false">IF(TRIM(B521)="","",UPPER(TRIM(B521)))</f>
        <v/>
      </c>
      <c r="J521" s="17" t="str">
        <f aca="false">IF(H521="","",IF(COUNTIF('Master Stock'!$A$5:$A$206,H521)&gt;0,"Yes","Not on stock sheet"))</f>
        <v/>
      </c>
    </row>
    <row r="522" customFormat="false" ht="14.25" hidden="false" customHeight="true" outlineLevel="0" collapsed="false">
      <c r="E522" s="17"/>
      <c r="H522" s="17" t="str">
        <f aca="false">IF(TRIM(C522)="","",IFERROR(INDEX('Code Aliases'!$B:$B,MATCH(TRIM(C522),'Code Aliases'!$A:$A,0)),TRIM(C522)))</f>
        <v/>
      </c>
      <c r="I522" s="17" t="str">
        <f aca="false">IF(TRIM(B522)="","",UPPER(TRIM(B522)))</f>
        <v/>
      </c>
      <c r="J522" s="17" t="str">
        <f aca="false">IF(H522="","",IF(COUNTIF('Master Stock'!$A$5:$A$206,H522)&gt;0,"Yes","Not on stock sheet"))</f>
        <v/>
      </c>
    </row>
    <row r="523" customFormat="false" ht="14.25" hidden="false" customHeight="true" outlineLevel="0" collapsed="false">
      <c r="E523" s="17"/>
      <c r="H523" s="17" t="str">
        <f aca="false">IF(TRIM(C523)="","",IFERROR(INDEX('Code Aliases'!$B:$B,MATCH(TRIM(C523),'Code Aliases'!$A:$A,0)),TRIM(C523)))</f>
        <v/>
      </c>
      <c r="I523" s="17" t="str">
        <f aca="false">IF(TRIM(B523)="","",UPPER(TRIM(B523)))</f>
        <v/>
      </c>
      <c r="J523" s="17" t="str">
        <f aca="false">IF(H523="","",IF(COUNTIF('Master Stock'!$A$5:$A$206,H523)&gt;0,"Yes","Not on stock sheet"))</f>
        <v/>
      </c>
    </row>
    <row r="524" customFormat="false" ht="14.25" hidden="false" customHeight="true" outlineLevel="0" collapsed="false">
      <c r="E524" s="17"/>
      <c r="H524" s="17" t="str">
        <f aca="false">IF(TRIM(C524)="","",IFERROR(INDEX('Code Aliases'!$B:$B,MATCH(TRIM(C524),'Code Aliases'!$A:$A,0)),TRIM(C524)))</f>
        <v/>
      </c>
      <c r="I524" s="17" t="str">
        <f aca="false">IF(TRIM(B524)="","",UPPER(TRIM(B524)))</f>
        <v/>
      </c>
      <c r="J524" s="17" t="str">
        <f aca="false">IF(H524="","",IF(COUNTIF('Master Stock'!$A$5:$A$206,H524)&gt;0,"Yes","Not on stock sheet"))</f>
        <v/>
      </c>
    </row>
    <row r="525" customFormat="false" ht="14.25" hidden="false" customHeight="true" outlineLevel="0" collapsed="false">
      <c r="E525" s="17"/>
      <c r="H525" s="17" t="str">
        <f aca="false">IF(TRIM(C525)="","",IFERROR(INDEX('Code Aliases'!$B:$B,MATCH(TRIM(C525),'Code Aliases'!$A:$A,0)),TRIM(C525)))</f>
        <v/>
      </c>
      <c r="I525" s="17" t="str">
        <f aca="false">IF(TRIM(B525)="","",UPPER(TRIM(B525)))</f>
        <v/>
      </c>
      <c r="J525" s="17" t="str">
        <f aca="false">IF(H525="","",IF(COUNTIF('Master Stock'!$A$5:$A$206,H525)&gt;0,"Yes","Not on stock sheet"))</f>
        <v/>
      </c>
    </row>
    <row r="526" customFormat="false" ht="14.25" hidden="false" customHeight="true" outlineLevel="0" collapsed="false">
      <c r="E526" s="17"/>
      <c r="H526" s="17" t="str">
        <f aca="false">IF(TRIM(C526)="","",IFERROR(INDEX('Code Aliases'!$B:$B,MATCH(TRIM(C526),'Code Aliases'!$A:$A,0)),TRIM(C526)))</f>
        <v/>
      </c>
      <c r="I526" s="17" t="str">
        <f aca="false">IF(TRIM(B526)="","",UPPER(TRIM(B526)))</f>
        <v/>
      </c>
      <c r="J526" s="17" t="str">
        <f aca="false">IF(H526="","",IF(COUNTIF('Master Stock'!$A$5:$A$206,H526)&gt;0,"Yes","Not on stock sheet"))</f>
        <v/>
      </c>
    </row>
    <row r="527" customFormat="false" ht="14.25" hidden="false" customHeight="true" outlineLevel="0" collapsed="false">
      <c r="E527" s="17"/>
      <c r="H527" s="17" t="str">
        <f aca="false">IF(TRIM(C527)="","",IFERROR(INDEX('Code Aliases'!$B:$B,MATCH(TRIM(C527),'Code Aliases'!$A:$A,0)),TRIM(C527)))</f>
        <v/>
      </c>
      <c r="I527" s="17" t="str">
        <f aca="false">IF(TRIM(B527)="","",UPPER(TRIM(B527)))</f>
        <v/>
      </c>
      <c r="J527" s="17" t="str">
        <f aca="false">IF(H527="","",IF(COUNTIF('Master Stock'!$A$5:$A$206,H527)&gt;0,"Yes","Not on stock sheet"))</f>
        <v/>
      </c>
    </row>
    <row r="528" customFormat="false" ht="14.25" hidden="false" customHeight="true" outlineLevel="0" collapsed="false">
      <c r="E528" s="17"/>
      <c r="H528" s="17" t="str">
        <f aca="false">IF(TRIM(C528)="","",IFERROR(INDEX('Code Aliases'!$B:$B,MATCH(TRIM(C528),'Code Aliases'!$A:$A,0)),TRIM(C528)))</f>
        <v/>
      </c>
      <c r="I528" s="17" t="str">
        <f aca="false">IF(TRIM(B528)="","",UPPER(TRIM(B528)))</f>
        <v/>
      </c>
      <c r="J528" s="17" t="str">
        <f aca="false">IF(H528="","",IF(COUNTIF('Master Stock'!$A$5:$A$206,H528)&gt;0,"Yes","Not on stock sheet"))</f>
        <v/>
      </c>
    </row>
    <row r="529" customFormat="false" ht="14.25" hidden="false" customHeight="true" outlineLevel="0" collapsed="false">
      <c r="E529" s="17"/>
      <c r="H529" s="17" t="str">
        <f aca="false">IF(TRIM(C529)="","",IFERROR(INDEX('Code Aliases'!$B:$B,MATCH(TRIM(C529),'Code Aliases'!$A:$A,0)),TRIM(C529)))</f>
        <v/>
      </c>
      <c r="I529" s="17" t="str">
        <f aca="false">IF(TRIM(B529)="","",UPPER(TRIM(B529)))</f>
        <v/>
      </c>
      <c r="J529" s="17" t="str">
        <f aca="false">IF(H529="","",IF(COUNTIF('Master Stock'!$A$5:$A$206,H529)&gt;0,"Yes","Not on stock sheet"))</f>
        <v/>
      </c>
    </row>
    <row r="530" customFormat="false" ht="14.25" hidden="false" customHeight="true" outlineLevel="0" collapsed="false">
      <c r="E530" s="17"/>
      <c r="H530" s="17" t="str">
        <f aca="false">IF(TRIM(C530)="","",IFERROR(INDEX('Code Aliases'!$B:$B,MATCH(TRIM(C530),'Code Aliases'!$A:$A,0)),TRIM(C530)))</f>
        <v/>
      </c>
      <c r="I530" s="17" t="str">
        <f aca="false">IF(TRIM(B530)="","",UPPER(TRIM(B530)))</f>
        <v/>
      </c>
      <c r="J530" s="17" t="str">
        <f aca="false">IF(H530="","",IF(COUNTIF('Master Stock'!$A$5:$A$206,H530)&gt;0,"Yes","Not on stock sheet"))</f>
        <v/>
      </c>
    </row>
    <row r="531" customFormat="false" ht="14.25" hidden="false" customHeight="true" outlineLevel="0" collapsed="false">
      <c r="E531" s="17"/>
      <c r="H531" s="17" t="str">
        <f aca="false">IF(TRIM(C531)="","",IFERROR(INDEX('Code Aliases'!$B:$B,MATCH(TRIM(C531),'Code Aliases'!$A:$A,0)),TRIM(C531)))</f>
        <v/>
      </c>
      <c r="I531" s="17" t="str">
        <f aca="false">IF(TRIM(B531)="","",UPPER(TRIM(B531)))</f>
        <v/>
      </c>
      <c r="J531" s="17" t="str">
        <f aca="false">IF(H531="","",IF(COUNTIF('Master Stock'!$A$5:$A$206,H531)&gt;0,"Yes","Not on stock sheet"))</f>
        <v/>
      </c>
    </row>
    <row r="532" customFormat="false" ht="14.25" hidden="false" customHeight="true" outlineLevel="0" collapsed="false">
      <c r="E532" s="17"/>
      <c r="H532" s="17" t="str">
        <f aca="false">IF(TRIM(C532)="","",IFERROR(INDEX('Code Aliases'!$B:$B,MATCH(TRIM(C532),'Code Aliases'!$A:$A,0)),TRIM(C532)))</f>
        <v/>
      </c>
      <c r="I532" s="17" t="str">
        <f aca="false">IF(TRIM(B532)="","",UPPER(TRIM(B532)))</f>
        <v/>
      </c>
      <c r="J532" s="17" t="str">
        <f aca="false">IF(H532="","",IF(COUNTIF('Master Stock'!$A$5:$A$206,H532)&gt;0,"Yes","Not on stock sheet"))</f>
        <v/>
      </c>
    </row>
    <row r="533" customFormat="false" ht="14.25" hidden="false" customHeight="true" outlineLevel="0" collapsed="false">
      <c r="E533" s="17"/>
      <c r="H533" s="17" t="str">
        <f aca="false">IF(TRIM(C533)="","",IFERROR(INDEX('Code Aliases'!$B:$B,MATCH(TRIM(C533),'Code Aliases'!$A:$A,0)),TRIM(C533)))</f>
        <v/>
      </c>
      <c r="I533" s="17" t="str">
        <f aca="false">IF(TRIM(B533)="","",UPPER(TRIM(B533)))</f>
        <v/>
      </c>
      <c r="J533" s="17" t="str">
        <f aca="false">IF(H533="","",IF(COUNTIF('Master Stock'!$A$5:$A$206,H533)&gt;0,"Yes","Not on stock sheet"))</f>
        <v/>
      </c>
    </row>
    <row r="534" customFormat="false" ht="14.25" hidden="false" customHeight="true" outlineLevel="0" collapsed="false">
      <c r="E534" s="17"/>
      <c r="H534" s="17" t="str">
        <f aca="false">IF(TRIM(C534)="","",IFERROR(INDEX('Code Aliases'!$B:$B,MATCH(TRIM(C534),'Code Aliases'!$A:$A,0)),TRIM(C534)))</f>
        <v/>
      </c>
      <c r="I534" s="17" t="str">
        <f aca="false">IF(TRIM(B534)="","",UPPER(TRIM(B534)))</f>
        <v/>
      </c>
      <c r="J534" s="17" t="str">
        <f aca="false">IF(H534="","",IF(COUNTIF('Master Stock'!$A$5:$A$206,H534)&gt;0,"Yes","Not on stock sheet"))</f>
        <v/>
      </c>
    </row>
    <row r="535" customFormat="false" ht="14.25" hidden="false" customHeight="true" outlineLevel="0" collapsed="false">
      <c r="E535" s="17"/>
      <c r="H535" s="17" t="str">
        <f aca="false">IF(TRIM(C535)="","",IFERROR(INDEX('Code Aliases'!$B:$B,MATCH(TRIM(C535),'Code Aliases'!$A:$A,0)),TRIM(C535)))</f>
        <v/>
      </c>
      <c r="I535" s="17" t="str">
        <f aca="false">IF(TRIM(B535)="","",UPPER(TRIM(B535)))</f>
        <v/>
      </c>
      <c r="J535" s="17" t="str">
        <f aca="false">IF(H535="","",IF(COUNTIF('Master Stock'!$A$5:$A$206,H535)&gt;0,"Yes","Not on stock sheet"))</f>
        <v/>
      </c>
    </row>
    <row r="536" customFormat="false" ht="14.25" hidden="false" customHeight="true" outlineLevel="0" collapsed="false">
      <c r="E536" s="17"/>
      <c r="H536" s="17" t="str">
        <f aca="false">IF(TRIM(C536)="","",IFERROR(INDEX('Code Aliases'!$B:$B,MATCH(TRIM(C536),'Code Aliases'!$A:$A,0)),TRIM(C536)))</f>
        <v/>
      </c>
      <c r="I536" s="17" t="str">
        <f aca="false">IF(TRIM(B536)="","",UPPER(TRIM(B536)))</f>
        <v/>
      </c>
      <c r="J536" s="17" t="str">
        <f aca="false">IF(H536="","",IF(COUNTIF('Master Stock'!$A$5:$A$206,H536)&gt;0,"Yes","Not on stock sheet"))</f>
        <v/>
      </c>
    </row>
    <row r="537" customFormat="false" ht="14.25" hidden="false" customHeight="true" outlineLevel="0" collapsed="false">
      <c r="E537" s="17"/>
      <c r="H537" s="17" t="str">
        <f aca="false">IF(TRIM(C537)="","",IFERROR(INDEX('Code Aliases'!$B:$B,MATCH(TRIM(C537),'Code Aliases'!$A:$A,0)),TRIM(C537)))</f>
        <v/>
      </c>
      <c r="I537" s="17" t="str">
        <f aca="false">IF(TRIM(B537)="","",UPPER(TRIM(B537)))</f>
        <v/>
      </c>
      <c r="J537" s="17" t="str">
        <f aca="false">IF(H537="","",IF(COUNTIF('Master Stock'!$A$5:$A$206,H537)&gt;0,"Yes","Not on stock sheet"))</f>
        <v/>
      </c>
    </row>
    <row r="538" customFormat="false" ht="14.25" hidden="false" customHeight="true" outlineLevel="0" collapsed="false">
      <c r="E538" s="17"/>
      <c r="H538" s="17" t="str">
        <f aca="false">IF(TRIM(C538)="","",IFERROR(INDEX('Code Aliases'!$B:$B,MATCH(TRIM(C538),'Code Aliases'!$A:$A,0)),TRIM(C538)))</f>
        <v/>
      </c>
      <c r="I538" s="17" t="str">
        <f aca="false">IF(TRIM(B538)="","",UPPER(TRIM(B538)))</f>
        <v/>
      </c>
      <c r="J538" s="17" t="str">
        <f aca="false">IF(H538="","",IF(COUNTIF('Master Stock'!$A$5:$A$206,H538)&gt;0,"Yes","Not on stock sheet"))</f>
        <v/>
      </c>
    </row>
    <row r="539" customFormat="false" ht="14.25" hidden="false" customHeight="true" outlineLevel="0" collapsed="false">
      <c r="E539" s="17"/>
      <c r="H539" s="17" t="str">
        <f aca="false">IF(TRIM(C539)="","",IFERROR(INDEX('Code Aliases'!$B:$B,MATCH(TRIM(C539),'Code Aliases'!$A:$A,0)),TRIM(C539)))</f>
        <v/>
      </c>
      <c r="I539" s="17" t="str">
        <f aca="false">IF(TRIM(B539)="","",UPPER(TRIM(B539)))</f>
        <v/>
      </c>
      <c r="J539" s="17" t="str">
        <f aca="false">IF(H539="","",IF(COUNTIF('Master Stock'!$A$5:$A$206,H539)&gt;0,"Yes","Not on stock sheet"))</f>
        <v/>
      </c>
    </row>
    <row r="540" customFormat="false" ht="14.25" hidden="false" customHeight="true" outlineLevel="0" collapsed="false">
      <c r="E540" s="17"/>
      <c r="H540" s="17" t="str">
        <f aca="false">IF(TRIM(C540)="","",IFERROR(INDEX('Code Aliases'!$B:$B,MATCH(TRIM(C540),'Code Aliases'!$A:$A,0)),TRIM(C540)))</f>
        <v/>
      </c>
      <c r="I540" s="17" t="str">
        <f aca="false">IF(TRIM(B540)="","",UPPER(TRIM(B540)))</f>
        <v/>
      </c>
      <c r="J540" s="17" t="str">
        <f aca="false">IF(H540="","",IF(COUNTIF('Master Stock'!$A$5:$A$206,H540)&gt;0,"Yes","Not on stock sheet"))</f>
        <v/>
      </c>
    </row>
    <row r="541" customFormat="false" ht="14.25" hidden="false" customHeight="true" outlineLevel="0" collapsed="false">
      <c r="E541" s="17"/>
      <c r="H541" s="17" t="str">
        <f aca="false">IF(TRIM(C541)="","",IFERROR(INDEX('Code Aliases'!$B:$B,MATCH(TRIM(C541),'Code Aliases'!$A:$A,0)),TRIM(C541)))</f>
        <v/>
      </c>
      <c r="I541" s="17" t="str">
        <f aca="false">IF(TRIM(B541)="","",UPPER(TRIM(B541)))</f>
        <v/>
      </c>
      <c r="J541" s="17" t="str">
        <f aca="false">IF(H541="","",IF(COUNTIF('Master Stock'!$A$5:$A$206,H541)&gt;0,"Yes","Not on stock sheet"))</f>
        <v/>
      </c>
    </row>
    <row r="542" customFormat="false" ht="14.25" hidden="false" customHeight="true" outlineLevel="0" collapsed="false">
      <c r="E542" s="17"/>
      <c r="H542" s="17" t="str">
        <f aca="false">IF(TRIM(C542)="","",IFERROR(INDEX('Code Aliases'!$B:$B,MATCH(TRIM(C542),'Code Aliases'!$A:$A,0)),TRIM(C542)))</f>
        <v/>
      </c>
      <c r="I542" s="17" t="str">
        <f aca="false">IF(TRIM(B542)="","",UPPER(TRIM(B542)))</f>
        <v/>
      </c>
      <c r="J542" s="17" t="str">
        <f aca="false">IF(H542="","",IF(COUNTIF('Master Stock'!$A$5:$A$206,H542)&gt;0,"Yes","Not on stock sheet"))</f>
        <v/>
      </c>
    </row>
    <row r="543" customFormat="false" ht="14.25" hidden="false" customHeight="true" outlineLevel="0" collapsed="false">
      <c r="E543" s="17"/>
      <c r="H543" s="17" t="str">
        <f aca="false">IF(TRIM(C543)="","",IFERROR(INDEX('Code Aliases'!$B:$B,MATCH(TRIM(C543),'Code Aliases'!$A:$A,0)),TRIM(C543)))</f>
        <v/>
      </c>
      <c r="I543" s="17" t="str">
        <f aca="false">IF(TRIM(B543)="","",UPPER(TRIM(B543)))</f>
        <v/>
      </c>
      <c r="J543" s="17" t="str">
        <f aca="false">IF(H543="","",IF(COUNTIF('Master Stock'!$A$5:$A$206,H543)&gt;0,"Yes","Not on stock sheet"))</f>
        <v/>
      </c>
    </row>
    <row r="544" customFormat="false" ht="14.25" hidden="false" customHeight="true" outlineLevel="0" collapsed="false">
      <c r="E544" s="17"/>
      <c r="H544" s="17" t="str">
        <f aca="false">IF(TRIM(C544)="","",IFERROR(INDEX('Code Aliases'!$B:$B,MATCH(TRIM(C544),'Code Aliases'!$A:$A,0)),TRIM(C544)))</f>
        <v/>
      </c>
      <c r="I544" s="17" t="str">
        <f aca="false">IF(TRIM(B544)="","",UPPER(TRIM(B544)))</f>
        <v/>
      </c>
      <c r="J544" s="17" t="str">
        <f aca="false">IF(H544="","",IF(COUNTIF('Master Stock'!$A$5:$A$206,H544)&gt;0,"Yes","Not on stock sheet"))</f>
        <v/>
      </c>
    </row>
    <row r="545" customFormat="false" ht="14.25" hidden="false" customHeight="true" outlineLevel="0" collapsed="false">
      <c r="E545" s="17"/>
      <c r="H545" s="17" t="str">
        <f aca="false">IF(TRIM(C545)="","",IFERROR(INDEX('Code Aliases'!$B:$B,MATCH(TRIM(C545),'Code Aliases'!$A:$A,0)),TRIM(C545)))</f>
        <v/>
      </c>
      <c r="I545" s="17" t="str">
        <f aca="false">IF(TRIM(B545)="","",UPPER(TRIM(B545)))</f>
        <v/>
      </c>
      <c r="J545" s="17" t="str">
        <f aca="false">IF(H545="","",IF(COUNTIF('Master Stock'!$A$5:$A$206,H545)&gt;0,"Yes","Not on stock sheet"))</f>
        <v/>
      </c>
    </row>
    <row r="546" customFormat="false" ht="14.25" hidden="false" customHeight="true" outlineLevel="0" collapsed="false">
      <c r="E546" s="17"/>
      <c r="H546" s="17" t="str">
        <f aca="false">IF(TRIM(C546)="","",IFERROR(INDEX('Code Aliases'!$B:$B,MATCH(TRIM(C546),'Code Aliases'!$A:$A,0)),TRIM(C546)))</f>
        <v/>
      </c>
      <c r="I546" s="17" t="str">
        <f aca="false">IF(TRIM(B546)="","",UPPER(TRIM(B546)))</f>
        <v/>
      </c>
      <c r="J546" s="17" t="str">
        <f aca="false">IF(H546="","",IF(COUNTIF('Master Stock'!$A$5:$A$206,H546)&gt;0,"Yes","Not on stock sheet"))</f>
        <v/>
      </c>
    </row>
    <row r="547" customFormat="false" ht="14.25" hidden="false" customHeight="true" outlineLevel="0" collapsed="false">
      <c r="E547" s="17"/>
      <c r="H547" s="17" t="str">
        <f aca="false">IF(TRIM(C547)="","",IFERROR(INDEX('Code Aliases'!$B:$B,MATCH(TRIM(C547),'Code Aliases'!$A:$A,0)),TRIM(C547)))</f>
        <v/>
      </c>
      <c r="I547" s="17" t="str">
        <f aca="false">IF(TRIM(B547)="","",UPPER(TRIM(B547)))</f>
        <v/>
      </c>
      <c r="J547" s="17" t="str">
        <f aca="false">IF(H547="","",IF(COUNTIF('Master Stock'!$A$5:$A$206,H547)&gt;0,"Yes","Not on stock sheet"))</f>
        <v/>
      </c>
    </row>
    <row r="548" customFormat="false" ht="14.25" hidden="false" customHeight="true" outlineLevel="0" collapsed="false">
      <c r="E548" s="17"/>
      <c r="H548" s="17" t="str">
        <f aca="false">IF(TRIM(C548)="","",IFERROR(INDEX('Code Aliases'!$B:$B,MATCH(TRIM(C548),'Code Aliases'!$A:$A,0)),TRIM(C548)))</f>
        <v/>
      </c>
      <c r="I548" s="17" t="str">
        <f aca="false">IF(TRIM(B548)="","",UPPER(TRIM(B548)))</f>
        <v/>
      </c>
      <c r="J548" s="17" t="str">
        <f aca="false">IF(H548="","",IF(COUNTIF('Master Stock'!$A$5:$A$206,H548)&gt;0,"Yes","Not on stock sheet"))</f>
        <v/>
      </c>
    </row>
    <row r="549" customFormat="false" ht="14.25" hidden="false" customHeight="true" outlineLevel="0" collapsed="false">
      <c r="E549" s="17"/>
      <c r="H549" s="17" t="str">
        <f aca="false">IF(TRIM(C549)="","",IFERROR(INDEX('Code Aliases'!$B:$B,MATCH(TRIM(C549),'Code Aliases'!$A:$A,0)),TRIM(C549)))</f>
        <v/>
      </c>
      <c r="I549" s="17" t="str">
        <f aca="false">IF(TRIM(B549)="","",UPPER(TRIM(B549)))</f>
        <v/>
      </c>
      <c r="J549" s="17" t="str">
        <f aca="false">IF(H549="","",IF(COUNTIF('Master Stock'!$A$5:$A$206,H549)&gt;0,"Yes","Not on stock sheet"))</f>
        <v/>
      </c>
    </row>
    <row r="550" customFormat="false" ht="14.25" hidden="false" customHeight="true" outlineLevel="0" collapsed="false">
      <c r="E550" s="17"/>
      <c r="H550" s="17" t="str">
        <f aca="false">IF(TRIM(C550)="","",IFERROR(INDEX('Code Aliases'!$B:$B,MATCH(TRIM(C550),'Code Aliases'!$A:$A,0)),TRIM(C550)))</f>
        <v/>
      </c>
      <c r="I550" s="17" t="str">
        <f aca="false">IF(TRIM(B550)="","",UPPER(TRIM(B550)))</f>
        <v/>
      </c>
      <c r="J550" s="17" t="str">
        <f aca="false">IF(H550="","",IF(COUNTIF('Master Stock'!$A$5:$A$206,H550)&gt;0,"Yes","Not on stock sheet"))</f>
        <v/>
      </c>
    </row>
    <row r="551" customFormat="false" ht="14.25" hidden="false" customHeight="true" outlineLevel="0" collapsed="false">
      <c r="E551" s="17"/>
      <c r="H551" s="17" t="str">
        <f aca="false">IF(TRIM(C551)="","",IFERROR(INDEX('Code Aliases'!$B:$B,MATCH(TRIM(C551),'Code Aliases'!$A:$A,0)),TRIM(C551)))</f>
        <v/>
      </c>
      <c r="I551" s="17" t="str">
        <f aca="false">IF(TRIM(B551)="","",UPPER(TRIM(B551)))</f>
        <v/>
      </c>
      <c r="J551" s="17" t="str">
        <f aca="false">IF(H551="","",IF(COUNTIF('Master Stock'!$A$5:$A$206,H551)&gt;0,"Yes","Not on stock sheet"))</f>
        <v/>
      </c>
    </row>
    <row r="552" customFormat="false" ht="14.25" hidden="false" customHeight="true" outlineLevel="0" collapsed="false">
      <c r="E552" s="17"/>
      <c r="H552" s="17" t="str">
        <f aca="false">IF(TRIM(C552)="","",IFERROR(INDEX('Code Aliases'!$B:$B,MATCH(TRIM(C552),'Code Aliases'!$A:$A,0)),TRIM(C552)))</f>
        <v/>
      </c>
      <c r="I552" s="17" t="str">
        <f aca="false">IF(TRIM(B552)="","",UPPER(TRIM(B552)))</f>
        <v/>
      </c>
      <c r="J552" s="17" t="str">
        <f aca="false">IF(H552="","",IF(COUNTIF('Master Stock'!$A$5:$A$206,H552)&gt;0,"Yes","Not on stock sheet"))</f>
        <v/>
      </c>
    </row>
    <row r="553" customFormat="false" ht="14.25" hidden="false" customHeight="true" outlineLevel="0" collapsed="false">
      <c r="E553" s="17"/>
      <c r="H553" s="17" t="str">
        <f aca="false">IF(TRIM(C553)="","",IFERROR(INDEX('Code Aliases'!$B:$B,MATCH(TRIM(C553),'Code Aliases'!$A:$A,0)),TRIM(C553)))</f>
        <v/>
      </c>
      <c r="I553" s="17" t="str">
        <f aca="false">IF(TRIM(B553)="","",UPPER(TRIM(B553)))</f>
        <v/>
      </c>
      <c r="J553" s="17" t="str">
        <f aca="false">IF(H553="","",IF(COUNTIF('Master Stock'!$A$5:$A$206,H553)&gt;0,"Yes","Not on stock sheet"))</f>
        <v/>
      </c>
    </row>
    <row r="554" customFormat="false" ht="14.25" hidden="false" customHeight="true" outlineLevel="0" collapsed="false">
      <c r="E554" s="17"/>
      <c r="H554" s="17" t="str">
        <f aca="false">IF(TRIM(C554)="","",IFERROR(INDEX('Code Aliases'!$B:$B,MATCH(TRIM(C554),'Code Aliases'!$A:$A,0)),TRIM(C554)))</f>
        <v/>
      </c>
      <c r="I554" s="17" t="str">
        <f aca="false">IF(TRIM(B554)="","",UPPER(TRIM(B554)))</f>
        <v/>
      </c>
      <c r="J554" s="17" t="str">
        <f aca="false">IF(H554="","",IF(COUNTIF('Master Stock'!$A$5:$A$206,H554)&gt;0,"Yes","Not on stock sheet"))</f>
        <v/>
      </c>
    </row>
    <row r="555" customFormat="false" ht="14.25" hidden="false" customHeight="true" outlineLevel="0" collapsed="false">
      <c r="E555" s="17"/>
      <c r="H555" s="17" t="str">
        <f aca="false">IF(TRIM(C555)="","",IFERROR(INDEX('Code Aliases'!$B:$B,MATCH(TRIM(C555),'Code Aliases'!$A:$A,0)),TRIM(C555)))</f>
        <v/>
      </c>
      <c r="I555" s="17" t="str">
        <f aca="false">IF(TRIM(B555)="","",UPPER(TRIM(B555)))</f>
        <v/>
      </c>
      <c r="J555" s="17" t="str">
        <f aca="false">IF(H555="","",IF(COUNTIF('Master Stock'!$A$5:$A$206,H555)&gt;0,"Yes","Not on stock sheet"))</f>
        <v/>
      </c>
    </row>
    <row r="556" customFormat="false" ht="14.25" hidden="false" customHeight="true" outlineLevel="0" collapsed="false">
      <c r="E556" s="17"/>
      <c r="H556" s="17" t="str">
        <f aca="false">IF(TRIM(C556)="","",IFERROR(INDEX('Code Aliases'!$B:$B,MATCH(TRIM(C556),'Code Aliases'!$A:$A,0)),TRIM(C556)))</f>
        <v/>
      </c>
      <c r="I556" s="17" t="str">
        <f aca="false">IF(TRIM(B556)="","",UPPER(TRIM(B556)))</f>
        <v/>
      </c>
      <c r="J556" s="17" t="str">
        <f aca="false">IF(H556="","",IF(COUNTIF('Master Stock'!$A$5:$A$206,H556)&gt;0,"Yes","Not on stock sheet"))</f>
        <v/>
      </c>
    </row>
    <row r="557" customFormat="false" ht="14.25" hidden="false" customHeight="true" outlineLevel="0" collapsed="false">
      <c r="E557" s="17"/>
      <c r="H557" s="17" t="str">
        <f aca="false">IF(TRIM(C557)="","",IFERROR(INDEX('Code Aliases'!$B:$B,MATCH(TRIM(C557),'Code Aliases'!$A:$A,0)),TRIM(C557)))</f>
        <v/>
      </c>
      <c r="I557" s="17" t="str">
        <f aca="false">IF(TRIM(B557)="","",UPPER(TRIM(B557)))</f>
        <v/>
      </c>
      <c r="J557" s="17" t="str">
        <f aca="false">IF(H557="","",IF(COUNTIF('Master Stock'!$A$5:$A$206,H557)&gt;0,"Yes","Not on stock sheet"))</f>
        <v/>
      </c>
    </row>
    <row r="558" customFormat="false" ht="14.25" hidden="false" customHeight="true" outlineLevel="0" collapsed="false">
      <c r="E558" s="17"/>
      <c r="H558" s="17" t="str">
        <f aca="false">IF(TRIM(C558)="","",IFERROR(INDEX('Code Aliases'!$B:$B,MATCH(TRIM(C558),'Code Aliases'!$A:$A,0)),TRIM(C558)))</f>
        <v/>
      </c>
      <c r="I558" s="17" t="str">
        <f aca="false">IF(TRIM(B558)="","",UPPER(TRIM(B558)))</f>
        <v/>
      </c>
      <c r="J558" s="17" t="str">
        <f aca="false">IF(H558="","",IF(COUNTIF('Master Stock'!$A$5:$A$206,H558)&gt;0,"Yes","Not on stock sheet"))</f>
        <v/>
      </c>
    </row>
    <row r="559" customFormat="false" ht="14.25" hidden="false" customHeight="true" outlineLevel="0" collapsed="false">
      <c r="E559" s="17"/>
      <c r="H559" s="17" t="str">
        <f aca="false">IF(TRIM(C559)="","",IFERROR(INDEX('Code Aliases'!$B:$B,MATCH(TRIM(C559),'Code Aliases'!$A:$A,0)),TRIM(C559)))</f>
        <v/>
      </c>
      <c r="I559" s="17" t="str">
        <f aca="false">IF(TRIM(B559)="","",UPPER(TRIM(B559)))</f>
        <v/>
      </c>
      <c r="J559" s="17" t="str">
        <f aca="false">IF(H559="","",IF(COUNTIF('Master Stock'!$A$5:$A$206,H559)&gt;0,"Yes","Not on stock sheet"))</f>
        <v/>
      </c>
    </row>
    <row r="560" customFormat="false" ht="14.25" hidden="false" customHeight="true" outlineLevel="0" collapsed="false">
      <c r="E560" s="17"/>
      <c r="H560" s="17" t="str">
        <f aca="false">IF(TRIM(C560)="","",IFERROR(INDEX('Code Aliases'!$B:$B,MATCH(TRIM(C560),'Code Aliases'!$A:$A,0)),TRIM(C560)))</f>
        <v/>
      </c>
      <c r="I560" s="17" t="str">
        <f aca="false">IF(TRIM(B560)="","",UPPER(TRIM(B560)))</f>
        <v/>
      </c>
      <c r="J560" s="17" t="str">
        <f aca="false">IF(H560="","",IF(COUNTIF('Master Stock'!$A$5:$A$206,H560)&gt;0,"Yes","Not on stock sheet"))</f>
        <v/>
      </c>
    </row>
    <row r="561" customFormat="false" ht="14.25" hidden="false" customHeight="true" outlineLevel="0" collapsed="false">
      <c r="E561" s="17"/>
      <c r="H561" s="17" t="str">
        <f aca="false">IF(TRIM(C561)="","",IFERROR(INDEX('Code Aliases'!$B:$B,MATCH(TRIM(C561),'Code Aliases'!$A:$A,0)),TRIM(C561)))</f>
        <v/>
      </c>
      <c r="I561" s="17" t="str">
        <f aca="false">IF(TRIM(B561)="","",UPPER(TRIM(B561)))</f>
        <v/>
      </c>
      <c r="J561" s="17" t="str">
        <f aca="false">IF(H561="","",IF(COUNTIF('Master Stock'!$A$5:$A$206,H561)&gt;0,"Yes","Not on stock sheet"))</f>
        <v/>
      </c>
    </row>
    <row r="562" customFormat="false" ht="14.25" hidden="false" customHeight="true" outlineLevel="0" collapsed="false">
      <c r="E562" s="17"/>
      <c r="H562" s="17" t="str">
        <f aca="false">IF(TRIM(C562)="","",IFERROR(INDEX('Code Aliases'!$B:$B,MATCH(TRIM(C562),'Code Aliases'!$A:$A,0)),TRIM(C562)))</f>
        <v/>
      </c>
      <c r="I562" s="17" t="str">
        <f aca="false">IF(TRIM(B562)="","",UPPER(TRIM(B562)))</f>
        <v/>
      </c>
      <c r="J562" s="17" t="str">
        <f aca="false">IF(H562="","",IF(COUNTIF('Master Stock'!$A$5:$A$206,H562)&gt;0,"Yes","Not on stock sheet"))</f>
        <v/>
      </c>
    </row>
    <row r="563" customFormat="false" ht="14.25" hidden="false" customHeight="true" outlineLevel="0" collapsed="false">
      <c r="E563" s="17"/>
      <c r="H563" s="17" t="str">
        <f aca="false">IF(TRIM(C563)="","",IFERROR(INDEX('Code Aliases'!$B:$B,MATCH(TRIM(C563),'Code Aliases'!$A:$A,0)),TRIM(C563)))</f>
        <v/>
      </c>
      <c r="I563" s="17" t="str">
        <f aca="false">IF(TRIM(B563)="","",UPPER(TRIM(B563)))</f>
        <v/>
      </c>
      <c r="J563" s="17" t="str">
        <f aca="false">IF(H563="","",IF(COUNTIF('Master Stock'!$A$5:$A$206,H563)&gt;0,"Yes","Not on stock sheet"))</f>
        <v/>
      </c>
    </row>
    <row r="564" customFormat="false" ht="14.25" hidden="false" customHeight="true" outlineLevel="0" collapsed="false">
      <c r="E564" s="17"/>
      <c r="H564" s="17" t="str">
        <f aca="false">IF(TRIM(C564)="","",IFERROR(INDEX('Code Aliases'!$B:$B,MATCH(TRIM(C564),'Code Aliases'!$A:$A,0)),TRIM(C564)))</f>
        <v/>
      </c>
      <c r="I564" s="17" t="str">
        <f aca="false">IF(TRIM(B564)="","",UPPER(TRIM(B564)))</f>
        <v/>
      </c>
      <c r="J564" s="17" t="str">
        <f aca="false">IF(H564="","",IF(COUNTIF('Master Stock'!$A$5:$A$206,H564)&gt;0,"Yes","Not on stock sheet"))</f>
        <v/>
      </c>
    </row>
    <row r="565" customFormat="false" ht="14.25" hidden="false" customHeight="true" outlineLevel="0" collapsed="false">
      <c r="E565" s="17"/>
      <c r="H565" s="17" t="str">
        <f aca="false">IF(TRIM(C565)="","",IFERROR(INDEX('Code Aliases'!$B:$B,MATCH(TRIM(C565),'Code Aliases'!$A:$A,0)),TRIM(C565)))</f>
        <v/>
      </c>
      <c r="I565" s="17" t="str">
        <f aca="false">IF(TRIM(B565)="","",UPPER(TRIM(B565)))</f>
        <v/>
      </c>
      <c r="J565" s="17" t="str">
        <f aca="false">IF(H565="","",IF(COUNTIF('Master Stock'!$A$5:$A$206,H565)&gt;0,"Yes","Not on stock sheet"))</f>
        <v/>
      </c>
    </row>
    <row r="566" customFormat="false" ht="14.25" hidden="false" customHeight="true" outlineLevel="0" collapsed="false">
      <c r="E566" s="17"/>
      <c r="H566" s="17" t="str">
        <f aca="false">IF(TRIM(C566)="","",IFERROR(INDEX('Code Aliases'!$B:$B,MATCH(TRIM(C566),'Code Aliases'!$A:$A,0)),TRIM(C566)))</f>
        <v/>
      </c>
      <c r="I566" s="17" t="str">
        <f aca="false">IF(TRIM(B566)="","",UPPER(TRIM(B566)))</f>
        <v/>
      </c>
      <c r="J566" s="17" t="str">
        <f aca="false">IF(H566="","",IF(COUNTIF('Master Stock'!$A$5:$A$206,H566)&gt;0,"Yes","Not on stock sheet"))</f>
        <v/>
      </c>
    </row>
    <row r="567" customFormat="false" ht="14.25" hidden="false" customHeight="true" outlineLevel="0" collapsed="false">
      <c r="E567" s="17"/>
      <c r="H567" s="17" t="str">
        <f aca="false">IF(TRIM(C567)="","",IFERROR(INDEX('Code Aliases'!$B:$B,MATCH(TRIM(C567),'Code Aliases'!$A:$A,0)),TRIM(C567)))</f>
        <v/>
      </c>
      <c r="I567" s="17" t="str">
        <f aca="false">IF(TRIM(B567)="","",UPPER(TRIM(B567)))</f>
        <v/>
      </c>
      <c r="J567" s="17" t="str">
        <f aca="false">IF(H567="","",IF(COUNTIF('Master Stock'!$A$5:$A$206,H567)&gt;0,"Yes","Not on stock sheet"))</f>
        <v/>
      </c>
    </row>
    <row r="568" customFormat="false" ht="14.25" hidden="false" customHeight="true" outlineLevel="0" collapsed="false">
      <c r="E568" s="17"/>
      <c r="H568" s="17" t="str">
        <f aca="false">IF(TRIM(C568)="","",IFERROR(INDEX('Code Aliases'!$B:$B,MATCH(TRIM(C568),'Code Aliases'!$A:$A,0)),TRIM(C568)))</f>
        <v/>
      </c>
      <c r="I568" s="17" t="str">
        <f aca="false">IF(TRIM(B568)="","",UPPER(TRIM(B568)))</f>
        <v/>
      </c>
      <c r="J568" s="17" t="str">
        <f aca="false">IF(H568="","",IF(COUNTIF('Master Stock'!$A$5:$A$206,H568)&gt;0,"Yes","Not on stock sheet"))</f>
        <v/>
      </c>
    </row>
    <row r="569" customFormat="false" ht="14.25" hidden="false" customHeight="true" outlineLevel="0" collapsed="false">
      <c r="E569" s="17"/>
      <c r="H569" s="17" t="str">
        <f aca="false">IF(TRIM(C569)="","",IFERROR(INDEX('Code Aliases'!$B:$B,MATCH(TRIM(C569),'Code Aliases'!$A:$A,0)),TRIM(C569)))</f>
        <v/>
      </c>
      <c r="I569" s="17" t="str">
        <f aca="false">IF(TRIM(B569)="","",UPPER(TRIM(B569)))</f>
        <v/>
      </c>
      <c r="J569" s="17" t="str">
        <f aca="false">IF(H569="","",IF(COUNTIF('Master Stock'!$A$5:$A$206,H569)&gt;0,"Yes","Not on stock sheet"))</f>
        <v/>
      </c>
    </row>
    <row r="570" customFormat="false" ht="14.25" hidden="false" customHeight="true" outlineLevel="0" collapsed="false">
      <c r="E570" s="17"/>
      <c r="H570" s="17" t="str">
        <f aca="false">IF(TRIM(C570)="","",IFERROR(INDEX('Code Aliases'!$B:$B,MATCH(TRIM(C570),'Code Aliases'!$A:$A,0)),TRIM(C570)))</f>
        <v/>
      </c>
      <c r="I570" s="17" t="str">
        <f aca="false">IF(TRIM(B570)="","",UPPER(TRIM(B570)))</f>
        <v/>
      </c>
      <c r="J570" s="17" t="str">
        <f aca="false">IF(H570="","",IF(COUNTIF('Master Stock'!$A$5:$A$206,H570)&gt;0,"Yes","Not on stock sheet"))</f>
        <v/>
      </c>
    </row>
    <row r="571" customFormat="false" ht="14.25" hidden="false" customHeight="true" outlineLevel="0" collapsed="false">
      <c r="E571" s="17"/>
      <c r="H571" s="17" t="str">
        <f aca="false">IF(TRIM(C571)="","",IFERROR(INDEX('Code Aliases'!$B:$B,MATCH(TRIM(C571),'Code Aliases'!$A:$A,0)),TRIM(C571)))</f>
        <v/>
      </c>
      <c r="I571" s="17" t="str">
        <f aca="false">IF(TRIM(B571)="","",UPPER(TRIM(B571)))</f>
        <v/>
      </c>
      <c r="J571" s="17" t="str">
        <f aca="false">IF(H571="","",IF(COUNTIF('Master Stock'!$A$5:$A$206,H571)&gt;0,"Yes","Not on stock sheet"))</f>
        <v/>
      </c>
    </row>
    <row r="572" customFormat="false" ht="14.25" hidden="false" customHeight="true" outlineLevel="0" collapsed="false">
      <c r="E572" s="17"/>
      <c r="H572" s="17" t="str">
        <f aca="false">IF(TRIM(C572)="","",IFERROR(INDEX('Code Aliases'!$B:$B,MATCH(TRIM(C572),'Code Aliases'!$A:$A,0)),TRIM(C572)))</f>
        <v/>
      </c>
      <c r="I572" s="17" t="str">
        <f aca="false">IF(TRIM(B572)="","",UPPER(TRIM(B572)))</f>
        <v/>
      </c>
      <c r="J572" s="17" t="str">
        <f aca="false">IF(H572="","",IF(COUNTIF('Master Stock'!$A$5:$A$206,H572)&gt;0,"Yes","Not on stock sheet"))</f>
        <v/>
      </c>
    </row>
    <row r="573" customFormat="false" ht="14.25" hidden="false" customHeight="true" outlineLevel="0" collapsed="false">
      <c r="E573" s="17"/>
      <c r="H573" s="17" t="str">
        <f aca="false">IF(TRIM(C573)="","",IFERROR(INDEX('Code Aliases'!$B:$B,MATCH(TRIM(C573),'Code Aliases'!$A:$A,0)),TRIM(C573)))</f>
        <v/>
      </c>
      <c r="I573" s="17" t="str">
        <f aca="false">IF(TRIM(B573)="","",UPPER(TRIM(B573)))</f>
        <v/>
      </c>
      <c r="J573" s="17" t="str">
        <f aca="false">IF(H573="","",IF(COUNTIF('Master Stock'!$A$5:$A$206,H573)&gt;0,"Yes","Not on stock sheet"))</f>
        <v/>
      </c>
    </row>
    <row r="574" customFormat="false" ht="14.25" hidden="false" customHeight="true" outlineLevel="0" collapsed="false">
      <c r="E574" s="17"/>
      <c r="H574" s="17" t="str">
        <f aca="false">IF(TRIM(C574)="","",IFERROR(INDEX('Code Aliases'!$B:$B,MATCH(TRIM(C574),'Code Aliases'!$A:$A,0)),TRIM(C574)))</f>
        <v/>
      </c>
      <c r="I574" s="17" t="str">
        <f aca="false">IF(TRIM(B574)="","",UPPER(TRIM(B574)))</f>
        <v/>
      </c>
      <c r="J574" s="17" t="str">
        <f aca="false">IF(H574="","",IF(COUNTIF('Master Stock'!$A$5:$A$206,H574)&gt;0,"Yes","Not on stock sheet"))</f>
        <v/>
      </c>
    </row>
    <row r="575" customFormat="false" ht="14.25" hidden="false" customHeight="true" outlineLevel="0" collapsed="false">
      <c r="E575" s="17"/>
      <c r="H575" s="17" t="str">
        <f aca="false">IF(TRIM(C575)="","",IFERROR(INDEX('Code Aliases'!$B:$B,MATCH(TRIM(C575),'Code Aliases'!$A:$A,0)),TRIM(C575)))</f>
        <v/>
      </c>
      <c r="I575" s="17" t="str">
        <f aca="false">IF(TRIM(B575)="","",UPPER(TRIM(B575)))</f>
        <v/>
      </c>
      <c r="J575" s="17" t="str">
        <f aca="false">IF(H575="","",IF(COUNTIF('Master Stock'!$A$5:$A$206,H575)&gt;0,"Yes","Not on stock sheet"))</f>
        <v/>
      </c>
    </row>
    <row r="576" customFormat="false" ht="14.25" hidden="false" customHeight="true" outlineLevel="0" collapsed="false">
      <c r="E576" s="17"/>
      <c r="H576" s="17" t="str">
        <f aca="false">IF(TRIM(C576)="","",IFERROR(INDEX('Code Aliases'!$B:$B,MATCH(TRIM(C576),'Code Aliases'!$A:$A,0)),TRIM(C576)))</f>
        <v/>
      </c>
      <c r="I576" s="17" t="str">
        <f aca="false">IF(TRIM(B576)="","",UPPER(TRIM(B576)))</f>
        <v/>
      </c>
      <c r="J576" s="17" t="str">
        <f aca="false">IF(H576="","",IF(COUNTIF('Master Stock'!$A$5:$A$206,H576)&gt;0,"Yes","Not on stock sheet"))</f>
        <v/>
      </c>
    </row>
    <row r="577" customFormat="false" ht="14.25" hidden="false" customHeight="true" outlineLevel="0" collapsed="false">
      <c r="E577" s="17"/>
      <c r="H577" s="17" t="str">
        <f aca="false">IF(TRIM(C577)="","",IFERROR(INDEX('Code Aliases'!$B:$B,MATCH(TRIM(C577),'Code Aliases'!$A:$A,0)),TRIM(C577)))</f>
        <v/>
      </c>
      <c r="I577" s="17" t="str">
        <f aca="false">IF(TRIM(B577)="","",UPPER(TRIM(B577)))</f>
        <v/>
      </c>
      <c r="J577" s="17" t="str">
        <f aca="false">IF(H577="","",IF(COUNTIF('Master Stock'!$A$5:$A$206,H577)&gt;0,"Yes","Not on stock sheet"))</f>
        <v/>
      </c>
    </row>
    <row r="578" customFormat="false" ht="14.25" hidden="false" customHeight="true" outlineLevel="0" collapsed="false">
      <c r="E578" s="17"/>
      <c r="H578" s="17" t="str">
        <f aca="false">IF(TRIM(C578)="","",IFERROR(INDEX('Code Aliases'!$B:$B,MATCH(TRIM(C578),'Code Aliases'!$A:$A,0)),TRIM(C578)))</f>
        <v/>
      </c>
      <c r="I578" s="17" t="str">
        <f aca="false">IF(TRIM(B578)="","",UPPER(TRIM(B578)))</f>
        <v/>
      </c>
      <c r="J578" s="17" t="str">
        <f aca="false">IF(H578="","",IF(COUNTIF('Master Stock'!$A$5:$A$206,H578)&gt;0,"Yes","Not on stock sheet"))</f>
        <v/>
      </c>
    </row>
    <row r="579" customFormat="false" ht="14.25" hidden="false" customHeight="true" outlineLevel="0" collapsed="false">
      <c r="E579" s="17"/>
      <c r="H579" s="17" t="str">
        <f aca="false">IF(TRIM(C579)="","",IFERROR(INDEX('Code Aliases'!$B:$B,MATCH(TRIM(C579),'Code Aliases'!$A:$A,0)),TRIM(C579)))</f>
        <v/>
      </c>
      <c r="I579" s="17" t="str">
        <f aca="false">IF(TRIM(B579)="","",UPPER(TRIM(B579)))</f>
        <v/>
      </c>
      <c r="J579" s="17" t="str">
        <f aca="false">IF(H579="","",IF(COUNTIF('Master Stock'!$A$5:$A$206,H579)&gt;0,"Yes","Not on stock sheet"))</f>
        <v/>
      </c>
    </row>
    <row r="580" customFormat="false" ht="14.25" hidden="false" customHeight="true" outlineLevel="0" collapsed="false">
      <c r="E580" s="17"/>
      <c r="H580" s="17" t="str">
        <f aca="false">IF(TRIM(C580)="","",IFERROR(INDEX('Code Aliases'!$B:$B,MATCH(TRIM(C580),'Code Aliases'!$A:$A,0)),TRIM(C580)))</f>
        <v/>
      </c>
      <c r="I580" s="17" t="str">
        <f aca="false">IF(TRIM(B580)="","",UPPER(TRIM(B580)))</f>
        <v/>
      </c>
      <c r="J580" s="17" t="str">
        <f aca="false">IF(H580="","",IF(COUNTIF('Master Stock'!$A$5:$A$206,H580)&gt;0,"Yes","Not on stock sheet"))</f>
        <v/>
      </c>
    </row>
    <row r="581" customFormat="false" ht="14.25" hidden="false" customHeight="true" outlineLevel="0" collapsed="false">
      <c r="E581" s="17"/>
      <c r="H581" s="17" t="str">
        <f aca="false">IF(TRIM(C581)="","",IFERROR(INDEX('Code Aliases'!$B:$B,MATCH(TRIM(C581),'Code Aliases'!$A:$A,0)),TRIM(C581)))</f>
        <v/>
      </c>
      <c r="I581" s="17" t="str">
        <f aca="false">IF(TRIM(B581)="","",UPPER(TRIM(B581)))</f>
        <v/>
      </c>
      <c r="J581" s="17" t="str">
        <f aca="false">IF(H581="","",IF(COUNTIF('Master Stock'!$A$5:$A$206,H581)&gt;0,"Yes","Not on stock sheet"))</f>
        <v/>
      </c>
    </row>
    <row r="582" customFormat="false" ht="14.25" hidden="false" customHeight="true" outlineLevel="0" collapsed="false">
      <c r="E582" s="17"/>
      <c r="H582" s="17" t="str">
        <f aca="false">IF(TRIM(C582)="","",IFERROR(INDEX('Code Aliases'!$B:$B,MATCH(TRIM(C582),'Code Aliases'!$A:$A,0)),TRIM(C582)))</f>
        <v/>
      </c>
      <c r="I582" s="17" t="str">
        <f aca="false">IF(TRIM(B582)="","",UPPER(TRIM(B582)))</f>
        <v/>
      </c>
      <c r="J582" s="17" t="str">
        <f aca="false">IF(H582="","",IF(COUNTIF('Master Stock'!$A$5:$A$206,H582)&gt;0,"Yes","Not on stock sheet"))</f>
        <v/>
      </c>
    </row>
    <row r="583" customFormat="false" ht="14.25" hidden="false" customHeight="true" outlineLevel="0" collapsed="false">
      <c r="E583" s="17"/>
      <c r="H583" s="17" t="str">
        <f aca="false">IF(TRIM(C583)="","",IFERROR(INDEX('Code Aliases'!$B:$B,MATCH(TRIM(C583),'Code Aliases'!$A:$A,0)),TRIM(C583)))</f>
        <v/>
      </c>
      <c r="I583" s="17" t="str">
        <f aca="false">IF(TRIM(B583)="","",UPPER(TRIM(B583)))</f>
        <v/>
      </c>
      <c r="J583" s="17" t="str">
        <f aca="false">IF(H583="","",IF(COUNTIF('Master Stock'!$A$5:$A$206,H583)&gt;0,"Yes","Not on stock sheet"))</f>
        <v/>
      </c>
    </row>
    <row r="584" customFormat="false" ht="14.25" hidden="false" customHeight="true" outlineLevel="0" collapsed="false">
      <c r="E584" s="17"/>
      <c r="H584" s="17" t="str">
        <f aca="false">IF(TRIM(C584)="","",IFERROR(INDEX('Code Aliases'!$B:$B,MATCH(TRIM(C584),'Code Aliases'!$A:$A,0)),TRIM(C584)))</f>
        <v/>
      </c>
      <c r="I584" s="17" t="str">
        <f aca="false">IF(TRIM(B584)="","",UPPER(TRIM(B584)))</f>
        <v/>
      </c>
      <c r="J584" s="17" t="str">
        <f aca="false">IF(H584="","",IF(COUNTIF('Master Stock'!$A$5:$A$206,H584)&gt;0,"Yes","Not on stock sheet"))</f>
        <v/>
      </c>
    </row>
    <row r="585" customFormat="false" ht="14.25" hidden="false" customHeight="true" outlineLevel="0" collapsed="false">
      <c r="E585" s="17"/>
      <c r="H585" s="17" t="str">
        <f aca="false">IF(TRIM(C585)="","",IFERROR(INDEX('Code Aliases'!$B:$B,MATCH(TRIM(C585),'Code Aliases'!$A:$A,0)),TRIM(C585)))</f>
        <v/>
      </c>
      <c r="I585" s="17" t="str">
        <f aca="false">IF(TRIM(B585)="","",UPPER(TRIM(B585)))</f>
        <v/>
      </c>
      <c r="J585" s="17" t="str">
        <f aca="false">IF(H585="","",IF(COUNTIF('Master Stock'!$A$5:$A$206,H585)&gt;0,"Yes","Not on stock sheet"))</f>
        <v/>
      </c>
    </row>
    <row r="586" customFormat="false" ht="14.25" hidden="false" customHeight="true" outlineLevel="0" collapsed="false">
      <c r="E586" s="17"/>
      <c r="H586" s="17" t="str">
        <f aca="false">IF(TRIM(C586)="","",IFERROR(INDEX('Code Aliases'!$B:$B,MATCH(TRIM(C586),'Code Aliases'!$A:$A,0)),TRIM(C586)))</f>
        <v/>
      </c>
      <c r="I586" s="17" t="str">
        <f aca="false">IF(TRIM(B586)="","",UPPER(TRIM(B586)))</f>
        <v/>
      </c>
      <c r="J586" s="17" t="str">
        <f aca="false">IF(H586="","",IF(COUNTIF('Master Stock'!$A$5:$A$206,H586)&gt;0,"Yes","Not on stock sheet"))</f>
        <v/>
      </c>
    </row>
    <row r="587" customFormat="false" ht="14.25" hidden="false" customHeight="true" outlineLevel="0" collapsed="false">
      <c r="E587" s="17"/>
      <c r="H587" s="17" t="str">
        <f aca="false">IF(TRIM(C587)="","",IFERROR(INDEX('Code Aliases'!$B:$B,MATCH(TRIM(C587),'Code Aliases'!$A:$A,0)),TRIM(C587)))</f>
        <v/>
      </c>
      <c r="I587" s="17" t="str">
        <f aca="false">IF(TRIM(B587)="","",UPPER(TRIM(B587)))</f>
        <v/>
      </c>
      <c r="J587" s="17" t="str">
        <f aca="false">IF(H587="","",IF(COUNTIF('Master Stock'!$A$5:$A$206,H587)&gt;0,"Yes","Not on stock sheet"))</f>
        <v/>
      </c>
    </row>
    <row r="588" customFormat="false" ht="14.25" hidden="false" customHeight="true" outlineLevel="0" collapsed="false">
      <c r="E588" s="17"/>
      <c r="H588" s="17" t="str">
        <f aca="false">IF(TRIM(C588)="","",IFERROR(INDEX('Code Aliases'!$B:$B,MATCH(TRIM(C588),'Code Aliases'!$A:$A,0)),TRIM(C588)))</f>
        <v/>
      </c>
      <c r="I588" s="17" t="str">
        <f aca="false">IF(TRIM(B588)="","",UPPER(TRIM(B588)))</f>
        <v/>
      </c>
      <c r="J588" s="17" t="str">
        <f aca="false">IF(H588="","",IF(COUNTIF('Master Stock'!$A$5:$A$206,H588)&gt;0,"Yes","Not on stock sheet"))</f>
        <v/>
      </c>
    </row>
    <row r="589" customFormat="false" ht="14.25" hidden="false" customHeight="true" outlineLevel="0" collapsed="false">
      <c r="E589" s="17"/>
      <c r="H589" s="17" t="str">
        <f aca="false">IF(TRIM(C589)="","",IFERROR(INDEX('Code Aliases'!$B:$B,MATCH(TRIM(C589),'Code Aliases'!$A:$A,0)),TRIM(C589)))</f>
        <v/>
      </c>
      <c r="I589" s="17" t="str">
        <f aca="false">IF(TRIM(B589)="","",UPPER(TRIM(B589)))</f>
        <v/>
      </c>
      <c r="J589" s="17" t="str">
        <f aca="false">IF(H589="","",IF(COUNTIF('Master Stock'!$A$5:$A$206,H589)&gt;0,"Yes","Not on stock sheet"))</f>
        <v/>
      </c>
    </row>
    <row r="590" customFormat="false" ht="14.25" hidden="false" customHeight="true" outlineLevel="0" collapsed="false">
      <c r="E590" s="17"/>
      <c r="H590" s="17" t="str">
        <f aca="false">IF(TRIM(C590)="","",IFERROR(INDEX('Code Aliases'!$B:$B,MATCH(TRIM(C590),'Code Aliases'!$A:$A,0)),TRIM(C590)))</f>
        <v/>
      </c>
      <c r="I590" s="17" t="str">
        <f aca="false">IF(TRIM(B590)="","",UPPER(TRIM(B590)))</f>
        <v/>
      </c>
      <c r="J590" s="17" t="str">
        <f aca="false">IF(H590="","",IF(COUNTIF('Master Stock'!$A$5:$A$206,H590)&gt;0,"Yes","Not on stock sheet"))</f>
        <v/>
      </c>
    </row>
    <row r="591" customFormat="false" ht="14.25" hidden="false" customHeight="true" outlineLevel="0" collapsed="false">
      <c r="E591" s="17"/>
      <c r="H591" s="17" t="str">
        <f aca="false">IF(TRIM(C591)="","",IFERROR(INDEX('Code Aliases'!$B:$B,MATCH(TRIM(C591),'Code Aliases'!$A:$A,0)),TRIM(C591)))</f>
        <v/>
      </c>
      <c r="I591" s="17" t="str">
        <f aca="false">IF(TRIM(B591)="","",UPPER(TRIM(B591)))</f>
        <v/>
      </c>
      <c r="J591" s="17" t="str">
        <f aca="false">IF(H591="","",IF(COUNTIF('Master Stock'!$A$5:$A$206,H591)&gt;0,"Yes","Not on stock sheet"))</f>
        <v/>
      </c>
    </row>
    <row r="592" customFormat="false" ht="14.25" hidden="false" customHeight="true" outlineLevel="0" collapsed="false">
      <c r="E592" s="17"/>
      <c r="H592" s="17" t="str">
        <f aca="false">IF(TRIM(C592)="","",IFERROR(INDEX('Code Aliases'!$B:$B,MATCH(TRIM(C592),'Code Aliases'!$A:$A,0)),TRIM(C592)))</f>
        <v/>
      </c>
      <c r="I592" s="17" t="str">
        <f aca="false">IF(TRIM(B592)="","",UPPER(TRIM(B592)))</f>
        <v/>
      </c>
      <c r="J592" s="17" t="str">
        <f aca="false">IF(H592="","",IF(COUNTIF('Master Stock'!$A$5:$A$206,H592)&gt;0,"Yes","Not on stock sheet"))</f>
        <v/>
      </c>
    </row>
    <row r="593" customFormat="false" ht="14.25" hidden="false" customHeight="true" outlineLevel="0" collapsed="false">
      <c r="E593" s="17"/>
      <c r="H593" s="17" t="str">
        <f aca="false">IF(TRIM(C593)="","",IFERROR(INDEX('Code Aliases'!$B:$B,MATCH(TRIM(C593),'Code Aliases'!$A:$A,0)),TRIM(C593)))</f>
        <v/>
      </c>
      <c r="I593" s="17" t="str">
        <f aca="false">IF(TRIM(B593)="","",UPPER(TRIM(B593)))</f>
        <v/>
      </c>
      <c r="J593" s="17" t="str">
        <f aca="false">IF(H593="","",IF(COUNTIF('Master Stock'!$A$5:$A$206,H593)&gt;0,"Yes","Not on stock sheet"))</f>
        <v/>
      </c>
    </row>
    <row r="594" customFormat="false" ht="14.25" hidden="false" customHeight="true" outlineLevel="0" collapsed="false">
      <c r="E594" s="17"/>
      <c r="H594" s="17" t="str">
        <f aca="false">IF(TRIM(C594)="","",IFERROR(INDEX('Code Aliases'!$B:$B,MATCH(TRIM(C594),'Code Aliases'!$A:$A,0)),TRIM(C594)))</f>
        <v/>
      </c>
      <c r="I594" s="17" t="str">
        <f aca="false">IF(TRIM(B594)="","",UPPER(TRIM(B594)))</f>
        <v/>
      </c>
      <c r="J594" s="17" t="str">
        <f aca="false">IF(H594="","",IF(COUNTIF('Master Stock'!$A$5:$A$206,H594)&gt;0,"Yes","Not on stock sheet"))</f>
        <v/>
      </c>
    </row>
    <row r="595" customFormat="false" ht="14.25" hidden="false" customHeight="true" outlineLevel="0" collapsed="false">
      <c r="E595" s="17"/>
      <c r="H595" s="17" t="str">
        <f aca="false">IF(TRIM(C595)="","",IFERROR(INDEX('Code Aliases'!$B:$B,MATCH(TRIM(C595),'Code Aliases'!$A:$A,0)),TRIM(C595)))</f>
        <v/>
      </c>
      <c r="I595" s="17" t="str">
        <f aca="false">IF(TRIM(B595)="","",UPPER(TRIM(B595)))</f>
        <v/>
      </c>
      <c r="J595" s="17" t="str">
        <f aca="false">IF(H595="","",IF(COUNTIF('Master Stock'!$A$5:$A$206,H595)&gt;0,"Yes","Not on stock sheet"))</f>
        <v/>
      </c>
    </row>
    <row r="596" customFormat="false" ht="14.25" hidden="false" customHeight="true" outlineLevel="0" collapsed="false">
      <c r="E596" s="17"/>
      <c r="H596" s="17" t="str">
        <f aca="false">IF(TRIM(C596)="","",IFERROR(INDEX('Code Aliases'!$B:$B,MATCH(TRIM(C596),'Code Aliases'!$A:$A,0)),TRIM(C596)))</f>
        <v/>
      </c>
      <c r="I596" s="17" t="str">
        <f aca="false">IF(TRIM(B596)="","",UPPER(TRIM(B596)))</f>
        <v/>
      </c>
      <c r="J596" s="17" t="str">
        <f aca="false">IF(H596="","",IF(COUNTIF('Master Stock'!$A$5:$A$206,H596)&gt;0,"Yes","Not on stock sheet"))</f>
        <v/>
      </c>
    </row>
    <row r="597" customFormat="false" ht="14.25" hidden="false" customHeight="true" outlineLevel="0" collapsed="false">
      <c r="E597" s="17"/>
      <c r="H597" s="17" t="str">
        <f aca="false">IF(TRIM(C597)="","",IFERROR(INDEX('Code Aliases'!$B:$B,MATCH(TRIM(C597),'Code Aliases'!$A:$A,0)),TRIM(C597)))</f>
        <v/>
      </c>
      <c r="I597" s="17" t="str">
        <f aca="false">IF(TRIM(B597)="","",UPPER(TRIM(B597)))</f>
        <v/>
      </c>
      <c r="J597" s="17" t="str">
        <f aca="false">IF(H597="","",IF(COUNTIF('Master Stock'!$A$5:$A$206,H597)&gt;0,"Yes","Not on stock sheet"))</f>
        <v/>
      </c>
    </row>
    <row r="598" customFormat="false" ht="14.25" hidden="false" customHeight="true" outlineLevel="0" collapsed="false">
      <c r="E598" s="17"/>
      <c r="H598" s="17" t="str">
        <f aca="false">IF(TRIM(C598)="","",IFERROR(INDEX('Code Aliases'!$B:$B,MATCH(TRIM(C598),'Code Aliases'!$A:$A,0)),TRIM(C598)))</f>
        <v/>
      </c>
      <c r="I598" s="17" t="str">
        <f aca="false">IF(TRIM(B598)="","",UPPER(TRIM(B598)))</f>
        <v/>
      </c>
      <c r="J598" s="17" t="str">
        <f aca="false">IF(H598="","",IF(COUNTIF('Master Stock'!$A$5:$A$206,H598)&gt;0,"Yes","Not on stock sheet"))</f>
        <v/>
      </c>
    </row>
    <row r="599" customFormat="false" ht="14.25" hidden="false" customHeight="true" outlineLevel="0" collapsed="false">
      <c r="E599" s="17"/>
      <c r="H599" s="17" t="str">
        <f aca="false">IF(TRIM(C599)="","",IFERROR(INDEX('Code Aliases'!$B:$B,MATCH(TRIM(C599),'Code Aliases'!$A:$A,0)),TRIM(C599)))</f>
        <v/>
      </c>
      <c r="I599" s="17" t="str">
        <f aca="false">IF(TRIM(B599)="","",UPPER(TRIM(B599)))</f>
        <v/>
      </c>
      <c r="J599" s="17" t="str">
        <f aca="false">IF(H599="","",IF(COUNTIF('Master Stock'!$A$5:$A$206,H599)&gt;0,"Yes","Not on stock sheet"))</f>
        <v/>
      </c>
    </row>
    <row r="600" customFormat="false" ht="14.25" hidden="false" customHeight="true" outlineLevel="0" collapsed="false">
      <c r="E600" s="17"/>
      <c r="H600" s="17" t="str">
        <f aca="false">IF(TRIM(C600)="","",IFERROR(INDEX('Code Aliases'!$B:$B,MATCH(TRIM(C600),'Code Aliases'!$A:$A,0)),TRIM(C600)))</f>
        <v/>
      </c>
      <c r="I600" s="17" t="str">
        <f aca="false">IF(TRIM(B600)="","",UPPER(TRIM(B600)))</f>
        <v/>
      </c>
      <c r="J600" s="17" t="str">
        <f aca="false">IF(H600="","",IF(COUNTIF('Master Stock'!$A$5:$A$206,H600)&gt;0,"Yes","Not on stock sheet"))</f>
        <v/>
      </c>
    </row>
    <row r="601" customFormat="false" ht="14.25" hidden="false" customHeight="true" outlineLevel="0" collapsed="false">
      <c r="E601" s="17"/>
      <c r="H601" s="17" t="str">
        <f aca="false">IF(TRIM(C601)="","",IFERROR(INDEX('Code Aliases'!$B:$B,MATCH(TRIM(C601),'Code Aliases'!$A:$A,0)),TRIM(C601)))</f>
        <v/>
      </c>
      <c r="I601" s="17" t="str">
        <f aca="false">IF(TRIM(B601)="","",UPPER(TRIM(B601)))</f>
        <v/>
      </c>
      <c r="J601" s="17" t="str">
        <f aca="false">IF(H601="","",IF(COUNTIF('Master Stock'!$A$5:$A$206,H601)&gt;0,"Yes","Not on stock sheet"))</f>
        <v/>
      </c>
    </row>
    <row r="602" customFormat="false" ht="14.25" hidden="false" customHeight="true" outlineLevel="0" collapsed="false">
      <c r="E602" s="17"/>
      <c r="H602" s="17" t="str">
        <f aca="false">IF(TRIM(C602)="","",IFERROR(INDEX('Code Aliases'!$B:$B,MATCH(TRIM(C602),'Code Aliases'!$A:$A,0)),TRIM(C602)))</f>
        <v/>
      </c>
      <c r="I602" s="17" t="str">
        <f aca="false">IF(TRIM(B602)="","",UPPER(TRIM(B602)))</f>
        <v/>
      </c>
      <c r="J602" s="17" t="str">
        <f aca="false">IF(H602="","",IF(COUNTIF('Master Stock'!$A$5:$A$206,H602)&gt;0,"Yes","Not on stock sheet"))</f>
        <v/>
      </c>
    </row>
    <row r="603" customFormat="false" ht="14.25" hidden="false" customHeight="true" outlineLevel="0" collapsed="false">
      <c r="E603" s="17"/>
      <c r="H603" s="17" t="str">
        <f aca="false">IF(TRIM(C603)="","",IFERROR(INDEX('Code Aliases'!$B:$B,MATCH(TRIM(C603),'Code Aliases'!$A:$A,0)),TRIM(C603)))</f>
        <v/>
      </c>
      <c r="I603" s="17" t="str">
        <f aca="false">IF(TRIM(B603)="","",UPPER(TRIM(B603)))</f>
        <v/>
      </c>
      <c r="J603" s="17" t="str">
        <f aca="false">IF(H603="","",IF(COUNTIF('Master Stock'!$A$5:$A$206,H603)&gt;0,"Yes","Not on stock sheet"))</f>
        <v/>
      </c>
    </row>
    <row r="604" customFormat="false" ht="14.25" hidden="false" customHeight="true" outlineLevel="0" collapsed="false">
      <c r="E604" s="17"/>
      <c r="H604" s="17" t="str">
        <f aca="false">IF(TRIM(C604)="","",IFERROR(INDEX('Code Aliases'!$B:$B,MATCH(TRIM(C604),'Code Aliases'!$A:$A,0)),TRIM(C604)))</f>
        <v/>
      </c>
      <c r="I604" s="17" t="str">
        <f aca="false">IF(TRIM(B604)="","",UPPER(TRIM(B604)))</f>
        <v/>
      </c>
      <c r="J604" s="17" t="str">
        <f aca="false">IF(H604="","",IF(COUNTIF('Master Stock'!$A$5:$A$206,H604)&gt;0,"Yes","Not on stock sheet"))</f>
        <v/>
      </c>
    </row>
    <row r="605" customFormat="false" ht="14.25" hidden="false" customHeight="true" outlineLevel="0" collapsed="false">
      <c r="E605" s="17"/>
      <c r="H605" s="17" t="str">
        <f aca="false">IF(TRIM(C605)="","",IFERROR(INDEX('Code Aliases'!$B:$B,MATCH(TRIM(C605),'Code Aliases'!$A:$A,0)),TRIM(C605)))</f>
        <v/>
      </c>
      <c r="I605" s="17" t="str">
        <f aca="false">IF(TRIM(B605)="","",UPPER(TRIM(B605)))</f>
        <v/>
      </c>
      <c r="J605" s="17" t="str">
        <f aca="false">IF(H605="","",IF(COUNTIF('Master Stock'!$A$5:$A$206,H605)&gt;0,"Yes","Not on stock sheet"))</f>
        <v/>
      </c>
    </row>
    <row r="606" customFormat="false" ht="14.25" hidden="false" customHeight="true" outlineLevel="0" collapsed="false">
      <c r="E606" s="17"/>
      <c r="H606" s="17" t="str">
        <f aca="false">IF(TRIM(C606)="","",IFERROR(INDEX('Code Aliases'!$B:$B,MATCH(TRIM(C606),'Code Aliases'!$A:$A,0)),TRIM(C606)))</f>
        <v/>
      </c>
      <c r="I606" s="17" t="str">
        <f aca="false">IF(TRIM(B606)="","",UPPER(TRIM(B606)))</f>
        <v/>
      </c>
      <c r="J606" s="17" t="str">
        <f aca="false">IF(H606="","",IF(COUNTIF('Master Stock'!$A$5:$A$206,H606)&gt;0,"Yes","Not on stock sheet"))</f>
        <v/>
      </c>
    </row>
    <row r="607" customFormat="false" ht="14.25" hidden="false" customHeight="true" outlineLevel="0" collapsed="false">
      <c r="E607" s="17"/>
      <c r="H607" s="17" t="str">
        <f aca="false">IF(TRIM(C607)="","",IFERROR(INDEX('Code Aliases'!$B:$B,MATCH(TRIM(C607),'Code Aliases'!$A:$A,0)),TRIM(C607)))</f>
        <v/>
      </c>
      <c r="I607" s="17" t="str">
        <f aca="false">IF(TRIM(B607)="","",UPPER(TRIM(B607)))</f>
        <v/>
      </c>
      <c r="J607" s="17" t="str">
        <f aca="false">IF(H607="","",IF(COUNTIF('Master Stock'!$A$5:$A$206,H607)&gt;0,"Yes","Not on stock sheet"))</f>
        <v/>
      </c>
    </row>
    <row r="608" customFormat="false" ht="14.25" hidden="false" customHeight="true" outlineLevel="0" collapsed="false">
      <c r="E608" s="17"/>
      <c r="H608" s="17" t="str">
        <f aca="false">IF(TRIM(C608)="","",IFERROR(INDEX('Code Aliases'!$B:$B,MATCH(TRIM(C608),'Code Aliases'!$A:$A,0)),TRIM(C608)))</f>
        <v/>
      </c>
      <c r="I608" s="17" t="str">
        <f aca="false">IF(TRIM(B608)="","",UPPER(TRIM(B608)))</f>
        <v/>
      </c>
      <c r="J608" s="17" t="str">
        <f aca="false">IF(H608="","",IF(COUNTIF('Master Stock'!$A$5:$A$206,H608)&gt;0,"Yes","Not on stock sheet"))</f>
        <v/>
      </c>
    </row>
    <row r="609" customFormat="false" ht="14.25" hidden="false" customHeight="true" outlineLevel="0" collapsed="false">
      <c r="E609" s="17"/>
      <c r="H609" s="17" t="str">
        <f aca="false">IF(TRIM(C609)="","",IFERROR(INDEX('Code Aliases'!$B:$B,MATCH(TRIM(C609),'Code Aliases'!$A:$A,0)),TRIM(C609)))</f>
        <v/>
      </c>
      <c r="I609" s="17" t="str">
        <f aca="false">IF(TRIM(B609)="","",UPPER(TRIM(B609)))</f>
        <v/>
      </c>
      <c r="J609" s="17" t="str">
        <f aca="false">IF(H609="","",IF(COUNTIF('Master Stock'!$A$5:$A$206,H609)&gt;0,"Yes","Not on stock sheet"))</f>
        <v/>
      </c>
    </row>
    <row r="610" customFormat="false" ht="14.25" hidden="false" customHeight="true" outlineLevel="0" collapsed="false">
      <c r="E610" s="17"/>
      <c r="H610" s="17" t="str">
        <f aca="false">IF(TRIM(C610)="","",IFERROR(INDEX('Code Aliases'!$B:$B,MATCH(TRIM(C610),'Code Aliases'!$A:$A,0)),TRIM(C610)))</f>
        <v/>
      </c>
      <c r="I610" s="17" t="str">
        <f aca="false">IF(TRIM(B610)="","",UPPER(TRIM(B610)))</f>
        <v/>
      </c>
      <c r="J610" s="17" t="str">
        <f aca="false">IF(H610="","",IF(COUNTIF('Master Stock'!$A$5:$A$206,H610)&gt;0,"Yes","Not on stock sheet"))</f>
        <v/>
      </c>
    </row>
    <row r="611" customFormat="false" ht="14.25" hidden="false" customHeight="true" outlineLevel="0" collapsed="false">
      <c r="E611" s="17"/>
      <c r="H611" s="17" t="str">
        <f aca="false">IF(TRIM(C611)="","",IFERROR(INDEX('Code Aliases'!$B:$B,MATCH(TRIM(C611),'Code Aliases'!$A:$A,0)),TRIM(C611)))</f>
        <v/>
      </c>
      <c r="I611" s="17" t="str">
        <f aca="false">IF(TRIM(B611)="","",UPPER(TRIM(B611)))</f>
        <v/>
      </c>
      <c r="J611" s="17" t="str">
        <f aca="false">IF(H611="","",IF(COUNTIF('Master Stock'!$A$5:$A$206,H611)&gt;0,"Yes","Not on stock sheet"))</f>
        <v/>
      </c>
    </row>
    <row r="612" customFormat="false" ht="14.25" hidden="false" customHeight="true" outlineLevel="0" collapsed="false">
      <c r="E612" s="17"/>
      <c r="H612" s="17" t="str">
        <f aca="false">IF(TRIM(C612)="","",IFERROR(INDEX('Code Aliases'!$B:$B,MATCH(TRIM(C612),'Code Aliases'!$A:$A,0)),TRIM(C612)))</f>
        <v/>
      </c>
      <c r="I612" s="17" t="str">
        <f aca="false">IF(TRIM(B612)="","",UPPER(TRIM(B612)))</f>
        <v/>
      </c>
      <c r="J612" s="17" t="str">
        <f aca="false">IF(H612="","",IF(COUNTIF('Master Stock'!$A$5:$A$206,H612)&gt;0,"Yes","Not on stock sheet"))</f>
        <v/>
      </c>
    </row>
    <row r="613" customFormat="false" ht="14.25" hidden="false" customHeight="true" outlineLevel="0" collapsed="false">
      <c r="E613" s="17"/>
      <c r="H613" s="17" t="str">
        <f aca="false">IF(TRIM(C613)="","",IFERROR(INDEX('Code Aliases'!$B:$B,MATCH(TRIM(C613),'Code Aliases'!$A:$A,0)),TRIM(C613)))</f>
        <v/>
      </c>
      <c r="I613" s="17" t="str">
        <f aca="false">IF(TRIM(B613)="","",UPPER(TRIM(B613)))</f>
        <v/>
      </c>
      <c r="J613" s="17" t="str">
        <f aca="false">IF(H613="","",IF(COUNTIF('Master Stock'!$A$5:$A$206,H613)&gt;0,"Yes","Not on stock sheet"))</f>
        <v/>
      </c>
    </row>
    <row r="614" customFormat="false" ht="14.25" hidden="false" customHeight="true" outlineLevel="0" collapsed="false">
      <c r="E614" s="17"/>
      <c r="H614" s="17" t="str">
        <f aca="false">IF(TRIM(C614)="","",IFERROR(INDEX('Code Aliases'!$B:$B,MATCH(TRIM(C614),'Code Aliases'!$A:$A,0)),TRIM(C614)))</f>
        <v/>
      </c>
      <c r="I614" s="17" t="str">
        <f aca="false">IF(TRIM(B614)="","",UPPER(TRIM(B614)))</f>
        <v/>
      </c>
      <c r="J614" s="17" t="str">
        <f aca="false">IF(H614="","",IF(COUNTIF('Master Stock'!$A$5:$A$206,H614)&gt;0,"Yes","Not on stock sheet"))</f>
        <v/>
      </c>
    </row>
    <row r="615" customFormat="false" ht="14.25" hidden="false" customHeight="true" outlineLevel="0" collapsed="false">
      <c r="E615" s="17"/>
      <c r="H615" s="17" t="str">
        <f aca="false">IF(TRIM(C615)="","",IFERROR(INDEX('Code Aliases'!$B:$B,MATCH(TRIM(C615),'Code Aliases'!$A:$A,0)),TRIM(C615)))</f>
        <v/>
      </c>
      <c r="I615" s="17" t="str">
        <f aca="false">IF(TRIM(B615)="","",UPPER(TRIM(B615)))</f>
        <v/>
      </c>
      <c r="J615" s="17" t="str">
        <f aca="false">IF(H615="","",IF(COUNTIF('Master Stock'!$A$5:$A$206,H615)&gt;0,"Yes","Not on stock sheet"))</f>
        <v/>
      </c>
    </row>
    <row r="616" customFormat="false" ht="14.25" hidden="false" customHeight="true" outlineLevel="0" collapsed="false">
      <c r="E616" s="17"/>
      <c r="H616" s="17" t="str">
        <f aca="false">IF(TRIM(C616)="","",IFERROR(INDEX('Code Aliases'!$B:$B,MATCH(TRIM(C616),'Code Aliases'!$A:$A,0)),TRIM(C616)))</f>
        <v/>
      </c>
      <c r="I616" s="17" t="str">
        <f aca="false">IF(TRIM(B616)="","",UPPER(TRIM(B616)))</f>
        <v/>
      </c>
      <c r="J616" s="17" t="str">
        <f aca="false">IF(H616="","",IF(COUNTIF('Master Stock'!$A$5:$A$206,H616)&gt;0,"Yes","Not on stock sheet"))</f>
        <v/>
      </c>
    </row>
    <row r="617" customFormat="false" ht="14.25" hidden="false" customHeight="true" outlineLevel="0" collapsed="false">
      <c r="E617" s="17"/>
      <c r="H617" s="17" t="str">
        <f aca="false">IF(TRIM(C617)="","",IFERROR(INDEX('Code Aliases'!$B:$B,MATCH(TRIM(C617),'Code Aliases'!$A:$A,0)),TRIM(C617)))</f>
        <v/>
      </c>
      <c r="I617" s="17" t="str">
        <f aca="false">IF(TRIM(B617)="","",UPPER(TRIM(B617)))</f>
        <v/>
      </c>
      <c r="J617" s="17" t="str">
        <f aca="false">IF(H617="","",IF(COUNTIF('Master Stock'!$A$5:$A$206,H617)&gt;0,"Yes","Not on stock sheet"))</f>
        <v/>
      </c>
    </row>
    <row r="618" customFormat="false" ht="14.25" hidden="false" customHeight="true" outlineLevel="0" collapsed="false">
      <c r="E618" s="17"/>
      <c r="H618" s="17" t="str">
        <f aca="false">IF(TRIM(C618)="","",IFERROR(INDEX('Code Aliases'!$B:$B,MATCH(TRIM(C618),'Code Aliases'!$A:$A,0)),TRIM(C618)))</f>
        <v/>
      </c>
      <c r="I618" s="17" t="str">
        <f aca="false">IF(TRIM(B618)="","",UPPER(TRIM(B618)))</f>
        <v/>
      </c>
      <c r="J618" s="17" t="str">
        <f aca="false">IF(H618="","",IF(COUNTIF('Master Stock'!$A$5:$A$206,H618)&gt;0,"Yes","Not on stock sheet"))</f>
        <v/>
      </c>
    </row>
    <row r="619" customFormat="false" ht="14.25" hidden="false" customHeight="true" outlineLevel="0" collapsed="false">
      <c r="E619" s="17"/>
      <c r="H619" s="17" t="str">
        <f aca="false">IF(TRIM(C619)="","",IFERROR(INDEX('Code Aliases'!$B:$B,MATCH(TRIM(C619),'Code Aliases'!$A:$A,0)),TRIM(C619)))</f>
        <v/>
      </c>
      <c r="I619" s="17" t="str">
        <f aca="false">IF(TRIM(B619)="","",UPPER(TRIM(B619)))</f>
        <v/>
      </c>
      <c r="J619" s="17" t="str">
        <f aca="false">IF(H619="","",IF(COUNTIF('Master Stock'!$A$5:$A$206,H619)&gt;0,"Yes","Not on stock sheet"))</f>
        <v/>
      </c>
    </row>
    <row r="620" customFormat="false" ht="14.25" hidden="false" customHeight="true" outlineLevel="0" collapsed="false">
      <c r="E620" s="17"/>
      <c r="H620" s="17" t="str">
        <f aca="false">IF(TRIM(C620)="","",IFERROR(INDEX('Code Aliases'!$B:$B,MATCH(TRIM(C620),'Code Aliases'!$A:$A,0)),TRIM(C620)))</f>
        <v/>
      </c>
      <c r="I620" s="17" t="str">
        <f aca="false">IF(TRIM(B620)="","",UPPER(TRIM(B620)))</f>
        <v/>
      </c>
      <c r="J620" s="17" t="str">
        <f aca="false">IF(H620="","",IF(COUNTIF('Master Stock'!$A$5:$A$206,H620)&gt;0,"Yes","Not on stock sheet"))</f>
        <v/>
      </c>
    </row>
    <row r="621" customFormat="false" ht="14.25" hidden="false" customHeight="true" outlineLevel="0" collapsed="false">
      <c r="E621" s="17"/>
      <c r="H621" s="17" t="str">
        <f aca="false">IF(TRIM(C621)="","",IFERROR(INDEX('Code Aliases'!$B:$B,MATCH(TRIM(C621),'Code Aliases'!$A:$A,0)),TRIM(C621)))</f>
        <v/>
      </c>
      <c r="I621" s="17" t="str">
        <f aca="false">IF(TRIM(B621)="","",UPPER(TRIM(B621)))</f>
        <v/>
      </c>
      <c r="J621" s="17" t="str">
        <f aca="false">IF(H621="","",IF(COUNTIF('Master Stock'!$A$5:$A$206,H621)&gt;0,"Yes","Not on stock sheet"))</f>
        <v/>
      </c>
    </row>
    <row r="622" customFormat="false" ht="14.25" hidden="false" customHeight="true" outlineLevel="0" collapsed="false">
      <c r="E622" s="17"/>
      <c r="H622" s="17" t="str">
        <f aca="false">IF(TRIM(C622)="","",IFERROR(INDEX('Code Aliases'!$B:$B,MATCH(TRIM(C622),'Code Aliases'!$A:$A,0)),TRIM(C622)))</f>
        <v/>
      </c>
      <c r="I622" s="17" t="str">
        <f aca="false">IF(TRIM(B622)="","",UPPER(TRIM(B622)))</f>
        <v/>
      </c>
      <c r="J622" s="17" t="str">
        <f aca="false">IF(H622="","",IF(COUNTIF('Master Stock'!$A$5:$A$206,H622)&gt;0,"Yes","Not on stock sheet"))</f>
        <v/>
      </c>
    </row>
    <row r="623" customFormat="false" ht="14.25" hidden="false" customHeight="true" outlineLevel="0" collapsed="false">
      <c r="E623" s="17"/>
      <c r="H623" s="17" t="str">
        <f aca="false">IF(TRIM(C623)="","",IFERROR(INDEX('Code Aliases'!$B:$B,MATCH(TRIM(C623),'Code Aliases'!$A:$A,0)),TRIM(C623)))</f>
        <v/>
      </c>
      <c r="I623" s="17" t="str">
        <f aca="false">IF(TRIM(B623)="","",UPPER(TRIM(B623)))</f>
        <v/>
      </c>
      <c r="J623" s="17" t="str">
        <f aca="false">IF(H623="","",IF(COUNTIF('Master Stock'!$A$5:$A$206,H623)&gt;0,"Yes","Not on stock sheet"))</f>
        <v/>
      </c>
    </row>
    <row r="624" customFormat="false" ht="14.25" hidden="false" customHeight="true" outlineLevel="0" collapsed="false">
      <c r="E624" s="17"/>
      <c r="H624" s="17" t="str">
        <f aca="false">IF(TRIM(C624)="","",IFERROR(INDEX('Code Aliases'!$B:$B,MATCH(TRIM(C624),'Code Aliases'!$A:$A,0)),TRIM(C624)))</f>
        <v/>
      </c>
      <c r="I624" s="17" t="str">
        <f aca="false">IF(TRIM(B624)="","",UPPER(TRIM(B624)))</f>
        <v/>
      </c>
      <c r="J624" s="17" t="str">
        <f aca="false">IF(H624="","",IF(COUNTIF('Master Stock'!$A$5:$A$206,H624)&gt;0,"Yes","Not on stock sheet"))</f>
        <v/>
      </c>
    </row>
    <row r="625" customFormat="false" ht="14.25" hidden="false" customHeight="true" outlineLevel="0" collapsed="false">
      <c r="E625" s="17"/>
      <c r="H625" s="17" t="str">
        <f aca="false">IF(TRIM(C625)="","",IFERROR(INDEX('Code Aliases'!$B:$B,MATCH(TRIM(C625),'Code Aliases'!$A:$A,0)),TRIM(C625)))</f>
        <v/>
      </c>
      <c r="I625" s="17" t="str">
        <f aca="false">IF(TRIM(B625)="","",UPPER(TRIM(B625)))</f>
        <v/>
      </c>
      <c r="J625" s="17" t="str">
        <f aca="false">IF(H625="","",IF(COUNTIF('Master Stock'!$A$5:$A$206,H625)&gt;0,"Yes","Not on stock sheet"))</f>
        <v/>
      </c>
    </row>
    <row r="626" customFormat="false" ht="14.25" hidden="false" customHeight="true" outlineLevel="0" collapsed="false">
      <c r="E626" s="17"/>
      <c r="H626" s="17" t="str">
        <f aca="false">IF(TRIM(C626)="","",IFERROR(INDEX('Code Aliases'!$B:$B,MATCH(TRIM(C626),'Code Aliases'!$A:$A,0)),TRIM(C626)))</f>
        <v/>
      </c>
      <c r="I626" s="17" t="str">
        <f aca="false">IF(TRIM(B626)="","",UPPER(TRIM(B626)))</f>
        <v/>
      </c>
      <c r="J626" s="17" t="str">
        <f aca="false">IF(H626="","",IF(COUNTIF('Master Stock'!$A$5:$A$206,H626)&gt;0,"Yes","Not on stock sheet"))</f>
        <v/>
      </c>
    </row>
    <row r="627" customFormat="false" ht="14.25" hidden="false" customHeight="true" outlineLevel="0" collapsed="false">
      <c r="E627" s="17"/>
      <c r="H627" s="17" t="str">
        <f aca="false">IF(TRIM(C627)="","",IFERROR(INDEX('Code Aliases'!$B:$B,MATCH(TRIM(C627),'Code Aliases'!$A:$A,0)),TRIM(C627)))</f>
        <v/>
      </c>
      <c r="I627" s="17" t="str">
        <f aca="false">IF(TRIM(B627)="","",UPPER(TRIM(B627)))</f>
        <v/>
      </c>
      <c r="J627" s="17" t="str">
        <f aca="false">IF(H627="","",IF(COUNTIF('Master Stock'!$A$5:$A$206,H627)&gt;0,"Yes","Not on stock sheet"))</f>
        <v/>
      </c>
    </row>
    <row r="628" customFormat="false" ht="14.25" hidden="false" customHeight="true" outlineLevel="0" collapsed="false">
      <c r="E628" s="17"/>
      <c r="H628" s="17" t="str">
        <f aca="false">IF(TRIM(C628)="","",IFERROR(INDEX('Code Aliases'!$B:$B,MATCH(TRIM(C628),'Code Aliases'!$A:$A,0)),TRIM(C628)))</f>
        <v/>
      </c>
      <c r="I628" s="17" t="str">
        <f aca="false">IF(TRIM(B628)="","",UPPER(TRIM(B628)))</f>
        <v/>
      </c>
      <c r="J628" s="17" t="str">
        <f aca="false">IF(H628="","",IF(COUNTIF('Master Stock'!$A$5:$A$206,H628)&gt;0,"Yes","Not on stock sheet"))</f>
        <v/>
      </c>
    </row>
    <row r="629" customFormat="false" ht="14.25" hidden="false" customHeight="true" outlineLevel="0" collapsed="false">
      <c r="E629" s="17"/>
      <c r="H629" s="17" t="str">
        <f aca="false">IF(TRIM(C629)="","",IFERROR(INDEX('Code Aliases'!$B:$B,MATCH(TRIM(C629),'Code Aliases'!$A:$A,0)),TRIM(C629)))</f>
        <v/>
      </c>
      <c r="I629" s="17" t="str">
        <f aca="false">IF(TRIM(B629)="","",UPPER(TRIM(B629)))</f>
        <v/>
      </c>
      <c r="J629" s="17" t="str">
        <f aca="false">IF(H629="","",IF(COUNTIF('Master Stock'!$A$5:$A$206,H629)&gt;0,"Yes","Not on stock sheet"))</f>
        <v/>
      </c>
    </row>
    <row r="630" customFormat="false" ht="14.25" hidden="false" customHeight="true" outlineLevel="0" collapsed="false">
      <c r="E630" s="17"/>
      <c r="H630" s="17" t="str">
        <f aca="false">IF(TRIM(C630)="","",IFERROR(INDEX('Code Aliases'!$B:$B,MATCH(TRIM(C630),'Code Aliases'!$A:$A,0)),TRIM(C630)))</f>
        <v/>
      </c>
      <c r="I630" s="17" t="str">
        <f aca="false">IF(TRIM(B630)="","",UPPER(TRIM(B630)))</f>
        <v/>
      </c>
      <c r="J630" s="17" t="str">
        <f aca="false">IF(H630="","",IF(COUNTIF('Master Stock'!$A$5:$A$206,H630)&gt;0,"Yes","Not on stock sheet"))</f>
        <v/>
      </c>
    </row>
    <row r="631" customFormat="false" ht="14.25" hidden="false" customHeight="true" outlineLevel="0" collapsed="false">
      <c r="E631" s="17"/>
      <c r="H631" s="17" t="str">
        <f aca="false">IF(TRIM(C631)="","",IFERROR(INDEX('Code Aliases'!$B:$B,MATCH(TRIM(C631),'Code Aliases'!$A:$A,0)),TRIM(C631)))</f>
        <v/>
      </c>
      <c r="I631" s="17" t="str">
        <f aca="false">IF(TRIM(B631)="","",UPPER(TRIM(B631)))</f>
        <v/>
      </c>
      <c r="J631" s="17" t="str">
        <f aca="false">IF(H631="","",IF(COUNTIF('Master Stock'!$A$5:$A$206,H631)&gt;0,"Yes","Not on stock sheet"))</f>
        <v/>
      </c>
    </row>
    <row r="632" customFormat="false" ht="14.25" hidden="false" customHeight="true" outlineLevel="0" collapsed="false">
      <c r="E632" s="17"/>
      <c r="H632" s="17" t="str">
        <f aca="false">IF(TRIM(C632)="","",IFERROR(INDEX('Code Aliases'!$B:$B,MATCH(TRIM(C632),'Code Aliases'!$A:$A,0)),TRIM(C632)))</f>
        <v/>
      </c>
      <c r="I632" s="17" t="str">
        <f aca="false">IF(TRIM(B632)="","",UPPER(TRIM(B632)))</f>
        <v/>
      </c>
      <c r="J632" s="17" t="str">
        <f aca="false">IF(H632="","",IF(COUNTIF('Master Stock'!$A$5:$A$206,H632)&gt;0,"Yes","Not on stock sheet"))</f>
        <v/>
      </c>
    </row>
    <row r="633" customFormat="false" ht="14.25" hidden="false" customHeight="true" outlineLevel="0" collapsed="false">
      <c r="E633" s="17"/>
      <c r="H633" s="17" t="str">
        <f aca="false">IF(TRIM(C633)="","",IFERROR(INDEX('Code Aliases'!$B:$B,MATCH(TRIM(C633),'Code Aliases'!$A:$A,0)),TRIM(C633)))</f>
        <v/>
      </c>
      <c r="I633" s="17" t="str">
        <f aca="false">IF(TRIM(B633)="","",UPPER(TRIM(B633)))</f>
        <v/>
      </c>
      <c r="J633" s="17" t="str">
        <f aca="false">IF(H633="","",IF(COUNTIF('Master Stock'!$A$5:$A$206,H633)&gt;0,"Yes","Not on stock sheet"))</f>
        <v/>
      </c>
    </row>
    <row r="634" customFormat="false" ht="14.25" hidden="false" customHeight="true" outlineLevel="0" collapsed="false">
      <c r="E634" s="17"/>
      <c r="H634" s="17" t="str">
        <f aca="false">IF(TRIM(C634)="","",IFERROR(INDEX('Code Aliases'!$B:$B,MATCH(TRIM(C634),'Code Aliases'!$A:$A,0)),TRIM(C634)))</f>
        <v/>
      </c>
      <c r="I634" s="17" t="str">
        <f aca="false">IF(TRIM(B634)="","",UPPER(TRIM(B634)))</f>
        <v/>
      </c>
      <c r="J634" s="17" t="str">
        <f aca="false">IF(H634="","",IF(COUNTIF('Master Stock'!$A$5:$A$206,H634)&gt;0,"Yes","Not on stock sheet"))</f>
        <v/>
      </c>
    </row>
    <row r="635" customFormat="false" ht="14.25" hidden="false" customHeight="true" outlineLevel="0" collapsed="false">
      <c r="E635" s="17"/>
      <c r="H635" s="17" t="str">
        <f aca="false">IF(TRIM(C635)="","",IFERROR(INDEX('Code Aliases'!$B:$B,MATCH(TRIM(C635),'Code Aliases'!$A:$A,0)),TRIM(C635)))</f>
        <v/>
      </c>
      <c r="I635" s="17" t="str">
        <f aca="false">IF(TRIM(B635)="","",UPPER(TRIM(B635)))</f>
        <v/>
      </c>
      <c r="J635" s="17" t="str">
        <f aca="false">IF(H635="","",IF(COUNTIF('Master Stock'!$A$5:$A$206,H635)&gt;0,"Yes","Not on stock sheet"))</f>
        <v/>
      </c>
    </row>
    <row r="636" customFormat="false" ht="14.25" hidden="false" customHeight="true" outlineLevel="0" collapsed="false">
      <c r="E636" s="17"/>
      <c r="H636" s="17" t="str">
        <f aca="false">IF(TRIM(C636)="","",IFERROR(INDEX('Code Aliases'!$B:$B,MATCH(TRIM(C636),'Code Aliases'!$A:$A,0)),TRIM(C636)))</f>
        <v/>
      </c>
      <c r="I636" s="17" t="str">
        <f aca="false">IF(TRIM(B636)="","",UPPER(TRIM(B636)))</f>
        <v/>
      </c>
      <c r="J636" s="17" t="str">
        <f aca="false">IF(H636="","",IF(COUNTIF('Master Stock'!$A$5:$A$206,H636)&gt;0,"Yes","Not on stock sheet"))</f>
        <v/>
      </c>
    </row>
    <row r="637" customFormat="false" ht="14.25" hidden="false" customHeight="true" outlineLevel="0" collapsed="false">
      <c r="E637" s="17"/>
      <c r="H637" s="17" t="str">
        <f aca="false">IF(TRIM(C637)="","",IFERROR(INDEX('Code Aliases'!$B:$B,MATCH(TRIM(C637),'Code Aliases'!$A:$A,0)),TRIM(C637)))</f>
        <v/>
      </c>
      <c r="I637" s="17" t="str">
        <f aca="false">IF(TRIM(B637)="","",UPPER(TRIM(B637)))</f>
        <v/>
      </c>
      <c r="J637" s="17" t="str">
        <f aca="false">IF(H637="","",IF(COUNTIF('Master Stock'!$A$5:$A$206,H637)&gt;0,"Yes","Not on stock sheet"))</f>
        <v/>
      </c>
    </row>
    <row r="638" customFormat="false" ht="14.25" hidden="false" customHeight="true" outlineLevel="0" collapsed="false">
      <c r="E638" s="17"/>
      <c r="H638" s="17" t="str">
        <f aca="false">IF(TRIM(C638)="","",IFERROR(INDEX('Code Aliases'!$B:$B,MATCH(TRIM(C638),'Code Aliases'!$A:$A,0)),TRIM(C638)))</f>
        <v/>
      </c>
      <c r="I638" s="17" t="str">
        <f aca="false">IF(TRIM(B638)="","",UPPER(TRIM(B638)))</f>
        <v/>
      </c>
      <c r="J638" s="17" t="str">
        <f aca="false">IF(H638="","",IF(COUNTIF('Master Stock'!$A$5:$A$206,H638)&gt;0,"Yes","Not on stock sheet"))</f>
        <v/>
      </c>
    </row>
    <row r="639" customFormat="false" ht="14.25" hidden="false" customHeight="true" outlineLevel="0" collapsed="false">
      <c r="E639" s="17"/>
      <c r="H639" s="17" t="str">
        <f aca="false">IF(TRIM(C639)="","",IFERROR(INDEX('Code Aliases'!$B:$B,MATCH(TRIM(C639),'Code Aliases'!$A:$A,0)),TRIM(C639)))</f>
        <v/>
      </c>
      <c r="I639" s="17" t="str">
        <f aca="false">IF(TRIM(B639)="","",UPPER(TRIM(B639)))</f>
        <v/>
      </c>
      <c r="J639" s="17" t="str">
        <f aca="false">IF(H639="","",IF(COUNTIF('Master Stock'!$A$5:$A$206,H639)&gt;0,"Yes","Not on stock sheet"))</f>
        <v/>
      </c>
    </row>
    <row r="640" customFormat="false" ht="14.25" hidden="false" customHeight="true" outlineLevel="0" collapsed="false">
      <c r="E640" s="17"/>
      <c r="H640" s="17" t="str">
        <f aca="false">IF(TRIM(C640)="","",IFERROR(INDEX('Code Aliases'!$B:$B,MATCH(TRIM(C640),'Code Aliases'!$A:$A,0)),TRIM(C640)))</f>
        <v/>
      </c>
      <c r="I640" s="17" t="str">
        <f aca="false">IF(TRIM(B640)="","",UPPER(TRIM(B640)))</f>
        <v/>
      </c>
      <c r="J640" s="17" t="str">
        <f aca="false">IF(H640="","",IF(COUNTIF('Master Stock'!$A$5:$A$206,H640)&gt;0,"Yes","Not on stock sheet"))</f>
        <v/>
      </c>
    </row>
    <row r="641" customFormat="false" ht="14.25" hidden="false" customHeight="true" outlineLevel="0" collapsed="false">
      <c r="E641" s="17"/>
      <c r="H641" s="17" t="str">
        <f aca="false">IF(TRIM(C641)="","",IFERROR(INDEX('Code Aliases'!$B:$B,MATCH(TRIM(C641),'Code Aliases'!$A:$A,0)),TRIM(C641)))</f>
        <v/>
      </c>
      <c r="I641" s="17" t="str">
        <f aca="false">IF(TRIM(B641)="","",UPPER(TRIM(B641)))</f>
        <v/>
      </c>
      <c r="J641" s="17" t="str">
        <f aca="false">IF(H641="","",IF(COUNTIF('Master Stock'!$A$5:$A$206,H641)&gt;0,"Yes","Not on stock sheet"))</f>
        <v/>
      </c>
    </row>
    <row r="642" customFormat="false" ht="14.25" hidden="false" customHeight="true" outlineLevel="0" collapsed="false">
      <c r="E642" s="17"/>
      <c r="H642" s="17" t="str">
        <f aca="false">IF(TRIM(C642)="","",IFERROR(INDEX('Code Aliases'!$B:$B,MATCH(TRIM(C642),'Code Aliases'!$A:$A,0)),TRIM(C642)))</f>
        <v/>
      </c>
      <c r="I642" s="17" t="str">
        <f aca="false">IF(TRIM(B642)="","",UPPER(TRIM(B642)))</f>
        <v/>
      </c>
      <c r="J642" s="17" t="str">
        <f aca="false">IF(H642="","",IF(COUNTIF('Master Stock'!$A$5:$A$206,H642)&gt;0,"Yes","Not on stock sheet"))</f>
        <v/>
      </c>
    </row>
    <row r="643" customFormat="false" ht="14.25" hidden="false" customHeight="true" outlineLevel="0" collapsed="false">
      <c r="E643" s="17"/>
      <c r="H643" s="17" t="str">
        <f aca="false">IF(TRIM(C643)="","",IFERROR(INDEX('Code Aliases'!$B:$B,MATCH(TRIM(C643),'Code Aliases'!$A:$A,0)),TRIM(C643)))</f>
        <v/>
      </c>
      <c r="I643" s="17" t="str">
        <f aca="false">IF(TRIM(B643)="","",UPPER(TRIM(B643)))</f>
        <v/>
      </c>
      <c r="J643" s="17" t="str">
        <f aca="false">IF(H643="","",IF(COUNTIF('Master Stock'!$A$5:$A$206,H643)&gt;0,"Yes","Not on stock sheet"))</f>
        <v/>
      </c>
    </row>
    <row r="644" customFormat="false" ht="14.25" hidden="false" customHeight="true" outlineLevel="0" collapsed="false">
      <c r="E644" s="17"/>
      <c r="H644" s="17" t="str">
        <f aca="false">IF(TRIM(C644)="","",IFERROR(INDEX('Code Aliases'!$B:$B,MATCH(TRIM(C644),'Code Aliases'!$A:$A,0)),TRIM(C644)))</f>
        <v/>
      </c>
      <c r="I644" s="17" t="str">
        <f aca="false">IF(TRIM(B644)="","",UPPER(TRIM(B644)))</f>
        <v/>
      </c>
      <c r="J644" s="17" t="str">
        <f aca="false">IF(H644="","",IF(COUNTIF('Master Stock'!$A$5:$A$206,H644)&gt;0,"Yes","Not on stock sheet"))</f>
        <v/>
      </c>
    </row>
    <row r="645" customFormat="false" ht="14.25" hidden="false" customHeight="true" outlineLevel="0" collapsed="false">
      <c r="E645" s="17"/>
      <c r="H645" s="17" t="str">
        <f aca="false">IF(TRIM(C645)="","",IFERROR(INDEX('Code Aliases'!$B:$B,MATCH(TRIM(C645),'Code Aliases'!$A:$A,0)),TRIM(C645)))</f>
        <v/>
      </c>
      <c r="I645" s="17" t="str">
        <f aca="false">IF(TRIM(B645)="","",UPPER(TRIM(B645)))</f>
        <v/>
      </c>
      <c r="J645" s="17" t="str">
        <f aca="false">IF(H645="","",IF(COUNTIF('Master Stock'!$A$5:$A$206,H645)&gt;0,"Yes","Not on stock sheet"))</f>
        <v/>
      </c>
    </row>
    <row r="646" customFormat="false" ht="14.25" hidden="false" customHeight="true" outlineLevel="0" collapsed="false">
      <c r="E646" s="17"/>
      <c r="H646" s="17" t="str">
        <f aca="false">IF(TRIM(C646)="","",IFERROR(INDEX('Code Aliases'!$B:$B,MATCH(TRIM(C646),'Code Aliases'!$A:$A,0)),TRIM(C646)))</f>
        <v/>
      </c>
      <c r="I646" s="17" t="str">
        <f aca="false">IF(TRIM(B646)="","",UPPER(TRIM(B646)))</f>
        <v/>
      </c>
      <c r="J646" s="17" t="str">
        <f aca="false">IF(H646="","",IF(COUNTIF('Master Stock'!$A$5:$A$206,H646)&gt;0,"Yes","Not on stock sheet"))</f>
        <v/>
      </c>
    </row>
    <row r="647" customFormat="false" ht="14.25" hidden="false" customHeight="true" outlineLevel="0" collapsed="false">
      <c r="E647" s="17"/>
      <c r="H647" s="17" t="str">
        <f aca="false">IF(TRIM(C647)="","",IFERROR(INDEX('Code Aliases'!$B:$B,MATCH(TRIM(C647),'Code Aliases'!$A:$A,0)),TRIM(C647)))</f>
        <v/>
      </c>
      <c r="I647" s="17" t="str">
        <f aca="false">IF(TRIM(B647)="","",UPPER(TRIM(B647)))</f>
        <v/>
      </c>
      <c r="J647" s="17" t="str">
        <f aca="false">IF(H647="","",IF(COUNTIF('Master Stock'!$A$5:$A$206,H647)&gt;0,"Yes","Not on stock sheet"))</f>
        <v/>
      </c>
    </row>
    <row r="648" customFormat="false" ht="14.25" hidden="false" customHeight="true" outlineLevel="0" collapsed="false">
      <c r="E648" s="17"/>
      <c r="H648" s="17" t="str">
        <f aca="false">IF(TRIM(C648)="","",IFERROR(INDEX('Code Aliases'!$B:$B,MATCH(TRIM(C648),'Code Aliases'!$A:$A,0)),TRIM(C648)))</f>
        <v/>
      </c>
      <c r="I648" s="17" t="str">
        <f aca="false">IF(TRIM(B648)="","",UPPER(TRIM(B648)))</f>
        <v/>
      </c>
      <c r="J648" s="17" t="str">
        <f aca="false">IF(H648="","",IF(COUNTIF('Master Stock'!$A$5:$A$206,H648)&gt;0,"Yes","Not on stock sheet"))</f>
        <v/>
      </c>
    </row>
    <row r="649" customFormat="false" ht="14.25" hidden="false" customHeight="true" outlineLevel="0" collapsed="false">
      <c r="E649" s="17"/>
      <c r="H649" s="17" t="str">
        <f aca="false">IF(TRIM(C649)="","",IFERROR(INDEX('Code Aliases'!$B:$B,MATCH(TRIM(C649),'Code Aliases'!$A:$A,0)),TRIM(C649)))</f>
        <v/>
      </c>
      <c r="I649" s="17" t="str">
        <f aca="false">IF(TRIM(B649)="","",UPPER(TRIM(B649)))</f>
        <v/>
      </c>
      <c r="J649" s="17" t="str">
        <f aca="false">IF(H649="","",IF(COUNTIF('Master Stock'!$A$5:$A$206,H649)&gt;0,"Yes","Not on stock sheet"))</f>
        <v/>
      </c>
    </row>
    <row r="650" customFormat="false" ht="14.25" hidden="false" customHeight="true" outlineLevel="0" collapsed="false">
      <c r="E650" s="17"/>
      <c r="H650" s="17" t="str">
        <f aca="false">IF(TRIM(C650)="","",IFERROR(INDEX('Code Aliases'!$B:$B,MATCH(TRIM(C650),'Code Aliases'!$A:$A,0)),TRIM(C650)))</f>
        <v/>
      </c>
      <c r="I650" s="17" t="str">
        <f aca="false">IF(TRIM(B650)="","",UPPER(TRIM(B650)))</f>
        <v/>
      </c>
      <c r="J650" s="17" t="str">
        <f aca="false">IF(H650="","",IF(COUNTIF('Master Stock'!$A$5:$A$206,H650)&gt;0,"Yes","Not on stock sheet"))</f>
        <v/>
      </c>
    </row>
    <row r="651" customFormat="false" ht="14.25" hidden="false" customHeight="true" outlineLevel="0" collapsed="false">
      <c r="E651" s="17"/>
      <c r="H651" s="17" t="str">
        <f aca="false">IF(TRIM(C651)="","",IFERROR(INDEX('Code Aliases'!$B:$B,MATCH(TRIM(C651),'Code Aliases'!$A:$A,0)),TRIM(C651)))</f>
        <v/>
      </c>
      <c r="I651" s="17" t="str">
        <f aca="false">IF(TRIM(B651)="","",UPPER(TRIM(B651)))</f>
        <v/>
      </c>
      <c r="J651" s="17" t="str">
        <f aca="false">IF(H651="","",IF(COUNTIF('Master Stock'!$A$5:$A$206,H651)&gt;0,"Yes","Not on stock sheet"))</f>
        <v/>
      </c>
    </row>
    <row r="652" customFormat="false" ht="14.25" hidden="false" customHeight="true" outlineLevel="0" collapsed="false">
      <c r="E652" s="17"/>
      <c r="H652" s="17" t="str">
        <f aca="false">IF(TRIM(C652)="","",IFERROR(INDEX('Code Aliases'!$B:$B,MATCH(TRIM(C652),'Code Aliases'!$A:$A,0)),TRIM(C652)))</f>
        <v/>
      </c>
      <c r="I652" s="17" t="str">
        <f aca="false">IF(TRIM(B652)="","",UPPER(TRIM(B652)))</f>
        <v/>
      </c>
      <c r="J652" s="17" t="str">
        <f aca="false">IF(H652="","",IF(COUNTIF('Master Stock'!$A$5:$A$206,H652)&gt;0,"Yes","Not on stock sheet"))</f>
        <v/>
      </c>
    </row>
    <row r="653" customFormat="false" ht="14.25" hidden="false" customHeight="true" outlineLevel="0" collapsed="false">
      <c r="E653" s="17"/>
      <c r="H653" s="17" t="str">
        <f aca="false">IF(TRIM(C653)="","",IFERROR(INDEX('Code Aliases'!$B:$B,MATCH(TRIM(C653),'Code Aliases'!$A:$A,0)),TRIM(C653)))</f>
        <v/>
      </c>
      <c r="I653" s="17" t="str">
        <f aca="false">IF(TRIM(B653)="","",UPPER(TRIM(B653)))</f>
        <v/>
      </c>
      <c r="J653" s="17" t="str">
        <f aca="false">IF(H653="","",IF(COUNTIF('Master Stock'!$A$5:$A$206,H653)&gt;0,"Yes","Not on stock sheet"))</f>
        <v/>
      </c>
    </row>
    <row r="654" customFormat="false" ht="14.25" hidden="false" customHeight="true" outlineLevel="0" collapsed="false">
      <c r="E654" s="17"/>
      <c r="H654" s="17" t="str">
        <f aca="false">IF(TRIM(C654)="","",IFERROR(INDEX('Code Aliases'!$B:$B,MATCH(TRIM(C654),'Code Aliases'!$A:$A,0)),TRIM(C654)))</f>
        <v/>
      </c>
      <c r="I654" s="17" t="str">
        <f aca="false">IF(TRIM(B654)="","",UPPER(TRIM(B654)))</f>
        <v/>
      </c>
      <c r="J654" s="17" t="str">
        <f aca="false">IF(H654="","",IF(COUNTIF('Master Stock'!$A$5:$A$206,H654)&gt;0,"Yes","Not on stock sheet"))</f>
        <v/>
      </c>
    </row>
    <row r="655" customFormat="false" ht="14.25" hidden="false" customHeight="true" outlineLevel="0" collapsed="false">
      <c r="E655" s="17"/>
      <c r="H655" s="17" t="str">
        <f aca="false">IF(TRIM(C655)="","",IFERROR(INDEX('Code Aliases'!$B:$B,MATCH(TRIM(C655),'Code Aliases'!$A:$A,0)),TRIM(C655)))</f>
        <v/>
      </c>
      <c r="I655" s="17" t="str">
        <f aca="false">IF(TRIM(B655)="","",UPPER(TRIM(B655)))</f>
        <v/>
      </c>
      <c r="J655" s="17" t="str">
        <f aca="false">IF(H655="","",IF(COUNTIF('Master Stock'!$A$5:$A$206,H655)&gt;0,"Yes","Not on stock sheet"))</f>
        <v/>
      </c>
    </row>
    <row r="656" customFormat="false" ht="14.25" hidden="false" customHeight="true" outlineLevel="0" collapsed="false">
      <c r="E656" s="17"/>
      <c r="H656" s="17" t="str">
        <f aca="false">IF(TRIM(C656)="","",IFERROR(INDEX('Code Aliases'!$B:$B,MATCH(TRIM(C656),'Code Aliases'!$A:$A,0)),TRIM(C656)))</f>
        <v/>
      </c>
      <c r="I656" s="17" t="str">
        <f aca="false">IF(TRIM(B656)="","",UPPER(TRIM(B656)))</f>
        <v/>
      </c>
      <c r="J656" s="17" t="str">
        <f aca="false">IF(H656="","",IF(COUNTIF('Master Stock'!$A$5:$A$206,H656)&gt;0,"Yes","Not on stock sheet"))</f>
        <v/>
      </c>
    </row>
    <row r="657" customFormat="false" ht="14.25" hidden="false" customHeight="true" outlineLevel="0" collapsed="false">
      <c r="E657" s="17"/>
      <c r="H657" s="17" t="str">
        <f aca="false">IF(TRIM(C657)="","",IFERROR(INDEX('Code Aliases'!$B:$B,MATCH(TRIM(C657),'Code Aliases'!$A:$A,0)),TRIM(C657)))</f>
        <v/>
      </c>
      <c r="I657" s="17" t="str">
        <f aca="false">IF(TRIM(B657)="","",UPPER(TRIM(B657)))</f>
        <v/>
      </c>
      <c r="J657" s="17" t="str">
        <f aca="false">IF(H657="","",IF(COUNTIF('Master Stock'!$A$5:$A$206,H657)&gt;0,"Yes","Not on stock sheet"))</f>
        <v/>
      </c>
    </row>
    <row r="658" customFormat="false" ht="14.25" hidden="false" customHeight="true" outlineLevel="0" collapsed="false">
      <c r="E658" s="17"/>
      <c r="H658" s="17" t="str">
        <f aca="false">IF(TRIM(C658)="","",IFERROR(INDEX('Code Aliases'!$B:$B,MATCH(TRIM(C658),'Code Aliases'!$A:$A,0)),TRIM(C658)))</f>
        <v/>
      </c>
      <c r="I658" s="17" t="str">
        <f aca="false">IF(TRIM(B658)="","",UPPER(TRIM(B658)))</f>
        <v/>
      </c>
      <c r="J658" s="17" t="str">
        <f aca="false">IF(H658="","",IF(COUNTIF('Master Stock'!$A$5:$A$206,H658)&gt;0,"Yes","Not on stock sheet"))</f>
        <v/>
      </c>
    </row>
    <row r="659" customFormat="false" ht="14.25" hidden="false" customHeight="true" outlineLevel="0" collapsed="false">
      <c r="E659" s="17"/>
      <c r="H659" s="17" t="str">
        <f aca="false">IF(TRIM(C659)="","",IFERROR(INDEX('Code Aliases'!$B:$B,MATCH(TRIM(C659),'Code Aliases'!$A:$A,0)),TRIM(C659)))</f>
        <v/>
      </c>
      <c r="I659" s="17" t="str">
        <f aca="false">IF(TRIM(B659)="","",UPPER(TRIM(B659)))</f>
        <v/>
      </c>
      <c r="J659" s="17" t="str">
        <f aca="false">IF(H659="","",IF(COUNTIF('Master Stock'!$A$5:$A$206,H659)&gt;0,"Yes","Not on stock sheet"))</f>
        <v/>
      </c>
    </row>
    <row r="660" customFormat="false" ht="14.25" hidden="false" customHeight="true" outlineLevel="0" collapsed="false">
      <c r="E660" s="17"/>
      <c r="H660" s="17" t="str">
        <f aca="false">IF(TRIM(C660)="","",IFERROR(INDEX('Code Aliases'!$B:$B,MATCH(TRIM(C660),'Code Aliases'!$A:$A,0)),TRIM(C660)))</f>
        <v/>
      </c>
      <c r="I660" s="17" t="str">
        <f aca="false">IF(TRIM(B660)="","",UPPER(TRIM(B660)))</f>
        <v/>
      </c>
      <c r="J660" s="17" t="str">
        <f aca="false">IF(H660="","",IF(COUNTIF('Master Stock'!$A$5:$A$206,H660)&gt;0,"Yes","Not on stock sheet"))</f>
        <v/>
      </c>
    </row>
    <row r="661" customFormat="false" ht="14.25" hidden="false" customHeight="true" outlineLevel="0" collapsed="false">
      <c r="E661" s="17"/>
      <c r="H661" s="17" t="str">
        <f aca="false">IF(TRIM(C661)="","",IFERROR(INDEX('Code Aliases'!$B:$B,MATCH(TRIM(C661),'Code Aliases'!$A:$A,0)),TRIM(C661)))</f>
        <v/>
      </c>
      <c r="I661" s="17" t="str">
        <f aca="false">IF(TRIM(B661)="","",UPPER(TRIM(B661)))</f>
        <v/>
      </c>
      <c r="J661" s="17" t="str">
        <f aca="false">IF(H661="","",IF(COUNTIF('Master Stock'!$A$5:$A$206,H661)&gt;0,"Yes","Not on stock sheet"))</f>
        <v/>
      </c>
    </row>
    <row r="662" customFormat="false" ht="14.25" hidden="false" customHeight="true" outlineLevel="0" collapsed="false">
      <c r="E662" s="17"/>
      <c r="H662" s="17" t="str">
        <f aca="false">IF(TRIM(C662)="","",IFERROR(INDEX('Code Aliases'!$B:$B,MATCH(TRIM(C662),'Code Aliases'!$A:$A,0)),TRIM(C662)))</f>
        <v/>
      </c>
      <c r="I662" s="17" t="str">
        <f aca="false">IF(TRIM(B662)="","",UPPER(TRIM(B662)))</f>
        <v/>
      </c>
      <c r="J662" s="17" t="str">
        <f aca="false">IF(H662="","",IF(COUNTIF('Master Stock'!$A$5:$A$206,H662)&gt;0,"Yes","Not on stock sheet"))</f>
        <v/>
      </c>
    </row>
    <row r="663" customFormat="false" ht="14.25" hidden="false" customHeight="true" outlineLevel="0" collapsed="false">
      <c r="E663" s="17"/>
      <c r="H663" s="17" t="str">
        <f aca="false">IF(TRIM(C663)="","",IFERROR(INDEX('Code Aliases'!$B:$B,MATCH(TRIM(C663),'Code Aliases'!$A:$A,0)),TRIM(C663)))</f>
        <v/>
      </c>
      <c r="I663" s="17" t="str">
        <f aca="false">IF(TRIM(B663)="","",UPPER(TRIM(B663)))</f>
        <v/>
      </c>
      <c r="J663" s="17" t="str">
        <f aca="false">IF(H663="","",IF(COUNTIF('Master Stock'!$A$5:$A$206,H663)&gt;0,"Yes","Not on stock sheet"))</f>
        <v/>
      </c>
    </row>
    <row r="664" customFormat="false" ht="14.25" hidden="false" customHeight="true" outlineLevel="0" collapsed="false">
      <c r="E664" s="17"/>
      <c r="H664" s="17" t="str">
        <f aca="false">IF(TRIM(C664)="","",IFERROR(INDEX('Code Aliases'!$B:$B,MATCH(TRIM(C664),'Code Aliases'!$A:$A,0)),TRIM(C664)))</f>
        <v/>
      </c>
      <c r="I664" s="17" t="str">
        <f aca="false">IF(TRIM(B664)="","",UPPER(TRIM(B664)))</f>
        <v/>
      </c>
      <c r="J664" s="17" t="str">
        <f aca="false">IF(H664="","",IF(COUNTIF('Master Stock'!$A$5:$A$206,H664)&gt;0,"Yes","Not on stock sheet"))</f>
        <v/>
      </c>
    </row>
    <row r="665" customFormat="false" ht="14.25" hidden="false" customHeight="true" outlineLevel="0" collapsed="false">
      <c r="E665" s="17"/>
      <c r="H665" s="17" t="str">
        <f aca="false">IF(TRIM(C665)="","",IFERROR(INDEX('Code Aliases'!$B:$B,MATCH(TRIM(C665),'Code Aliases'!$A:$A,0)),TRIM(C665)))</f>
        <v/>
      </c>
      <c r="I665" s="17" t="str">
        <f aca="false">IF(TRIM(B665)="","",UPPER(TRIM(B665)))</f>
        <v/>
      </c>
      <c r="J665" s="17" t="str">
        <f aca="false">IF(H665="","",IF(COUNTIF('Master Stock'!$A$5:$A$206,H665)&gt;0,"Yes","Not on stock sheet"))</f>
        <v/>
      </c>
    </row>
    <row r="666" customFormat="false" ht="14.25" hidden="false" customHeight="true" outlineLevel="0" collapsed="false">
      <c r="E666" s="17"/>
      <c r="H666" s="17" t="str">
        <f aca="false">IF(TRIM(C666)="","",IFERROR(INDEX('Code Aliases'!$B:$B,MATCH(TRIM(C666),'Code Aliases'!$A:$A,0)),TRIM(C666)))</f>
        <v/>
      </c>
      <c r="I666" s="17" t="str">
        <f aca="false">IF(TRIM(B666)="","",UPPER(TRIM(B666)))</f>
        <v/>
      </c>
      <c r="J666" s="17" t="str">
        <f aca="false">IF(H666="","",IF(COUNTIF('Master Stock'!$A$5:$A$206,H666)&gt;0,"Yes","Not on stock sheet"))</f>
        <v/>
      </c>
    </row>
    <row r="667" customFormat="false" ht="14.25" hidden="false" customHeight="true" outlineLevel="0" collapsed="false">
      <c r="E667" s="17"/>
      <c r="H667" s="17" t="str">
        <f aca="false">IF(TRIM(C667)="","",IFERROR(INDEX('Code Aliases'!$B:$B,MATCH(TRIM(C667),'Code Aliases'!$A:$A,0)),TRIM(C667)))</f>
        <v/>
      </c>
      <c r="I667" s="17" t="str">
        <f aca="false">IF(TRIM(B667)="","",UPPER(TRIM(B667)))</f>
        <v/>
      </c>
      <c r="J667" s="17" t="str">
        <f aca="false">IF(H667="","",IF(COUNTIF('Master Stock'!$A$5:$A$206,H667)&gt;0,"Yes","Not on stock sheet"))</f>
        <v/>
      </c>
    </row>
    <row r="668" customFormat="false" ht="14.25" hidden="false" customHeight="true" outlineLevel="0" collapsed="false">
      <c r="E668" s="17"/>
      <c r="H668" s="17" t="str">
        <f aca="false">IF(TRIM(C668)="","",IFERROR(INDEX('Code Aliases'!$B:$B,MATCH(TRIM(C668),'Code Aliases'!$A:$A,0)),TRIM(C668)))</f>
        <v/>
      </c>
      <c r="I668" s="17" t="str">
        <f aca="false">IF(TRIM(B668)="","",UPPER(TRIM(B668)))</f>
        <v/>
      </c>
      <c r="J668" s="17" t="str">
        <f aca="false">IF(H668="","",IF(COUNTIF('Master Stock'!$A$5:$A$206,H668)&gt;0,"Yes","Not on stock sheet"))</f>
        <v/>
      </c>
    </row>
    <row r="669" customFormat="false" ht="14.25" hidden="false" customHeight="true" outlineLevel="0" collapsed="false">
      <c r="E669" s="17"/>
      <c r="H669" s="17" t="str">
        <f aca="false">IF(TRIM(C669)="","",IFERROR(INDEX('Code Aliases'!$B:$B,MATCH(TRIM(C669),'Code Aliases'!$A:$A,0)),TRIM(C669)))</f>
        <v/>
      </c>
      <c r="I669" s="17" t="str">
        <f aca="false">IF(TRIM(B669)="","",UPPER(TRIM(B669)))</f>
        <v/>
      </c>
      <c r="J669" s="17" t="str">
        <f aca="false">IF(H669="","",IF(COUNTIF('Master Stock'!$A$5:$A$206,H669)&gt;0,"Yes","Not on stock sheet"))</f>
        <v/>
      </c>
    </row>
    <row r="670" customFormat="false" ht="14.25" hidden="false" customHeight="true" outlineLevel="0" collapsed="false">
      <c r="E670" s="17"/>
      <c r="H670" s="17" t="str">
        <f aca="false">IF(TRIM(C670)="","",IFERROR(INDEX('Code Aliases'!$B:$B,MATCH(TRIM(C670),'Code Aliases'!$A:$A,0)),TRIM(C670)))</f>
        <v/>
      </c>
      <c r="I670" s="17" t="str">
        <f aca="false">IF(TRIM(B670)="","",UPPER(TRIM(B670)))</f>
        <v/>
      </c>
      <c r="J670" s="17" t="str">
        <f aca="false">IF(H670="","",IF(COUNTIF('Master Stock'!$A$5:$A$206,H670)&gt;0,"Yes","Not on stock sheet"))</f>
        <v/>
      </c>
    </row>
    <row r="671" customFormat="false" ht="14.25" hidden="false" customHeight="true" outlineLevel="0" collapsed="false">
      <c r="E671" s="17"/>
      <c r="H671" s="17" t="str">
        <f aca="false">IF(TRIM(C671)="","",IFERROR(INDEX('Code Aliases'!$B:$B,MATCH(TRIM(C671),'Code Aliases'!$A:$A,0)),TRIM(C671)))</f>
        <v/>
      </c>
      <c r="I671" s="17" t="str">
        <f aca="false">IF(TRIM(B671)="","",UPPER(TRIM(B671)))</f>
        <v/>
      </c>
      <c r="J671" s="17" t="str">
        <f aca="false">IF(H671="","",IF(COUNTIF('Master Stock'!$A$5:$A$206,H671)&gt;0,"Yes","Not on stock sheet"))</f>
        <v/>
      </c>
    </row>
    <row r="672" customFormat="false" ht="14.25" hidden="false" customHeight="true" outlineLevel="0" collapsed="false">
      <c r="E672" s="17"/>
      <c r="H672" s="17" t="str">
        <f aca="false">IF(TRIM(C672)="","",IFERROR(INDEX('Code Aliases'!$B:$B,MATCH(TRIM(C672),'Code Aliases'!$A:$A,0)),TRIM(C672)))</f>
        <v/>
      </c>
      <c r="I672" s="17" t="str">
        <f aca="false">IF(TRIM(B672)="","",UPPER(TRIM(B672)))</f>
        <v/>
      </c>
      <c r="J672" s="17" t="str">
        <f aca="false">IF(H672="","",IF(COUNTIF('Master Stock'!$A$5:$A$206,H672)&gt;0,"Yes","Not on stock sheet"))</f>
        <v/>
      </c>
    </row>
    <row r="673" customFormat="false" ht="14.25" hidden="false" customHeight="true" outlineLevel="0" collapsed="false">
      <c r="E673" s="17"/>
      <c r="H673" s="17" t="str">
        <f aca="false">IF(TRIM(C673)="","",IFERROR(INDEX('Code Aliases'!$B:$B,MATCH(TRIM(C673),'Code Aliases'!$A:$A,0)),TRIM(C673)))</f>
        <v/>
      </c>
      <c r="I673" s="17" t="str">
        <f aca="false">IF(TRIM(B673)="","",UPPER(TRIM(B673)))</f>
        <v/>
      </c>
      <c r="J673" s="17" t="str">
        <f aca="false">IF(H673="","",IF(COUNTIF('Master Stock'!$A$5:$A$206,H673)&gt;0,"Yes","Not on stock sheet"))</f>
        <v/>
      </c>
    </row>
    <row r="674" customFormat="false" ht="14.25" hidden="false" customHeight="true" outlineLevel="0" collapsed="false">
      <c r="E674" s="17"/>
      <c r="H674" s="17" t="str">
        <f aca="false">IF(TRIM(C674)="","",IFERROR(INDEX('Code Aliases'!$B:$B,MATCH(TRIM(C674),'Code Aliases'!$A:$A,0)),TRIM(C674)))</f>
        <v/>
      </c>
      <c r="I674" s="17" t="str">
        <f aca="false">IF(TRIM(B674)="","",UPPER(TRIM(B674)))</f>
        <v/>
      </c>
      <c r="J674" s="17" t="str">
        <f aca="false">IF(H674="","",IF(COUNTIF('Master Stock'!$A$5:$A$206,H674)&gt;0,"Yes","Not on stock sheet"))</f>
        <v/>
      </c>
    </row>
    <row r="675" customFormat="false" ht="14.25" hidden="false" customHeight="true" outlineLevel="0" collapsed="false">
      <c r="E675" s="17"/>
      <c r="H675" s="17" t="str">
        <f aca="false">IF(TRIM(C675)="","",IFERROR(INDEX('Code Aliases'!$B:$B,MATCH(TRIM(C675),'Code Aliases'!$A:$A,0)),TRIM(C675)))</f>
        <v/>
      </c>
      <c r="I675" s="17" t="str">
        <f aca="false">IF(TRIM(B675)="","",UPPER(TRIM(B675)))</f>
        <v/>
      </c>
      <c r="J675" s="17" t="str">
        <f aca="false">IF(H675="","",IF(COUNTIF('Master Stock'!$A$5:$A$206,H675)&gt;0,"Yes","Not on stock sheet"))</f>
        <v/>
      </c>
    </row>
    <row r="676" customFormat="false" ht="14.25" hidden="false" customHeight="true" outlineLevel="0" collapsed="false">
      <c r="E676" s="17"/>
      <c r="H676" s="17" t="str">
        <f aca="false">IF(TRIM(C676)="","",IFERROR(INDEX('Code Aliases'!$B:$B,MATCH(TRIM(C676),'Code Aliases'!$A:$A,0)),TRIM(C676)))</f>
        <v/>
      </c>
      <c r="I676" s="17" t="str">
        <f aca="false">IF(TRIM(B676)="","",UPPER(TRIM(B676)))</f>
        <v/>
      </c>
      <c r="J676" s="17" t="str">
        <f aca="false">IF(H676="","",IF(COUNTIF('Master Stock'!$A$5:$A$206,H676)&gt;0,"Yes","Not on stock sheet"))</f>
        <v/>
      </c>
    </row>
    <row r="677" customFormat="false" ht="14.25" hidden="false" customHeight="true" outlineLevel="0" collapsed="false">
      <c r="E677" s="17"/>
      <c r="H677" s="17" t="str">
        <f aca="false">IF(TRIM(C677)="","",IFERROR(INDEX('Code Aliases'!$B:$B,MATCH(TRIM(C677),'Code Aliases'!$A:$A,0)),TRIM(C677)))</f>
        <v/>
      </c>
      <c r="I677" s="17" t="str">
        <f aca="false">IF(TRIM(B677)="","",UPPER(TRIM(B677)))</f>
        <v/>
      </c>
      <c r="J677" s="17" t="str">
        <f aca="false">IF(H677="","",IF(COUNTIF('Master Stock'!$A$5:$A$206,H677)&gt;0,"Yes","Not on stock sheet"))</f>
        <v/>
      </c>
    </row>
    <row r="678" customFormat="false" ht="14.25" hidden="false" customHeight="true" outlineLevel="0" collapsed="false">
      <c r="E678" s="17"/>
      <c r="H678" s="17" t="str">
        <f aca="false">IF(TRIM(C678)="","",IFERROR(INDEX('Code Aliases'!$B:$B,MATCH(TRIM(C678),'Code Aliases'!$A:$A,0)),TRIM(C678)))</f>
        <v/>
      </c>
      <c r="I678" s="17" t="str">
        <f aca="false">IF(TRIM(B678)="","",UPPER(TRIM(B678)))</f>
        <v/>
      </c>
      <c r="J678" s="17" t="str">
        <f aca="false">IF(H678="","",IF(COUNTIF('Master Stock'!$A$5:$A$206,H678)&gt;0,"Yes","Not on stock sheet"))</f>
        <v/>
      </c>
    </row>
    <row r="679" customFormat="false" ht="14.25" hidden="false" customHeight="true" outlineLevel="0" collapsed="false">
      <c r="E679" s="17"/>
      <c r="H679" s="17" t="str">
        <f aca="false">IF(TRIM(C679)="","",IFERROR(INDEX('Code Aliases'!$B:$B,MATCH(TRIM(C679),'Code Aliases'!$A:$A,0)),TRIM(C679)))</f>
        <v/>
      </c>
      <c r="I679" s="17" t="str">
        <f aca="false">IF(TRIM(B679)="","",UPPER(TRIM(B679)))</f>
        <v/>
      </c>
      <c r="J679" s="17" t="str">
        <f aca="false">IF(H679="","",IF(COUNTIF('Master Stock'!$A$5:$A$206,H679)&gt;0,"Yes","Not on stock sheet"))</f>
        <v/>
      </c>
    </row>
    <row r="680" customFormat="false" ht="14.25" hidden="false" customHeight="true" outlineLevel="0" collapsed="false">
      <c r="E680" s="17"/>
      <c r="H680" s="17" t="str">
        <f aca="false">IF(TRIM(C680)="","",IFERROR(INDEX('Code Aliases'!$B:$B,MATCH(TRIM(C680),'Code Aliases'!$A:$A,0)),TRIM(C680)))</f>
        <v/>
      </c>
      <c r="I680" s="17" t="str">
        <f aca="false">IF(TRIM(B680)="","",UPPER(TRIM(B680)))</f>
        <v/>
      </c>
      <c r="J680" s="17" t="str">
        <f aca="false">IF(H680="","",IF(COUNTIF('Master Stock'!$A$5:$A$206,H680)&gt;0,"Yes","Not on stock sheet"))</f>
        <v/>
      </c>
    </row>
    <row r="681" customFormat="false" ht="14.25" hidden="false" customHeight="true" outlineLevel="0" collapsed="false">
      <c r="E681" s="17"/>
      <c r="H681" s="17" t="str">
        <f aca="false">IF(TRIM(C681)="","",IFERROR(INDEX('Code Aliases'!$B:$B,MATCH(TRIM(C681),'Code Aliases'!$A:$A,0)),TRIM(C681)))</f>
        <v/>
      </c>
      <c r="I681" s="17" t="str">
        <f aca="false">IF(TRIM(B681)="","",UPPER(TRIM(B681)))</f>
        <v/>
      </c>
      <c r="J681" s="17" t="str">
        <f aca="false">IF(H681="","",IF(COUNTIF('Master Stock'!$A$5:$A$206,H681)&gt;0,"Yes","Not on stock sheet"))</f>
        <v/>
      </c>
    </row>
    <row r="682" customFormat="false" ht="14.25" hidden="false" customHeight="true" outlineLevel="0" collapsed="false">
      <c r="E682" s="17"/>
      <c r="H682" s="17" t="str">
        <f aca="false">IF(TRIM(C682)="","",IFERROR(INDEX('Code Aliases'!$B:$B,MATCH(TRIM(C682),'Code Aliases'!$A:$A,0)),TRIM(C682)))</f>
        <v/>
      </c>
      <c r="I682" s="17" t="str">
        <f aca="false">IF(TRIM(B682)="","",UPPER(TRIM(B682)))</f>
        <v/>
      </c>
      <c r="J682" s="17" t="str">
        <f aca="false">IF(H682="","",IF(COUNTIF('Master Stock'!$A$5:$A$206,H682)&gt;0,"Yes","Not on stock sheet"))</f>
        <v/>
      </c>
    </row>
    <row r="683" customFormat="false" ht="14.25" hidden="false" customHeight="true" outlineLevel="0" collapsed="false">
      <c r="E683" s="17"/>
      <c r="H683" s="17" t="str">
        <f aca="false">IF(TRIM(C683)="","",IFERROR(INDEX('Code Aliases'!$B:$B,MATCH(TRIM(C683),'Code Aliases'!$A:$A,0)),TRIM(C683)))</f>
        <v/>
      </c>
      <c r="I683" s="17" t="str">
        <f aca="false">IF(TRIM(B683)="","",UPPER(TRIM(B683)))</f>
        <v/>
      </c>
      <c r="J683" s="17" t="str">
        <f aca="false">IF(H683="","",IF(COUNTIF('Master Stock'!$A$5:$A$206,H683)&gt;0,"Yes","Not on stock sheet"))</f>
        <v/>
      </c>
    </row>
    <row r="684" customFormat="false" ht="14.25" hidden="false" customHeight="true" outlineLevel="0" collapsed="false">
      <c r="E684" s="17"/>
      <c r="H684" s="17" t="str">
        <f aca="false">IF(TRIM(C684)="","",IFERROR(INDEX('Code Aliases'!$B:$B,MATCH(TRIM(C684),'Code Aliases'!$A:$A,0)),TRIM(C684)))</f>
        <v/>
      </c>
      <c r="I684" s="17" t="str">
        <f aca="false">IF(TRIM(B684)="","",UPPER(TRIM(B684)))</f>
        <v/>
      </c>
      <c r="J684" s="17" t="str">
        <f aca="false">IF(H684="","",IF(COUNTIF('Master Stock'!$A$5:$A$206,H684)&gt;0,"Yes","Not on stock sheet"))</f>
        <v/>
      </c>
    </row>
    <row r="685" customFormat="false" ht="14.25" hidden="false" customHeight="true" outlineLevel="0" collapsed="false">
      <c r="E685" s="17"/>
      <c r="H685" s="17" t="str">
        <f aca="false">IF(TRIM(C685)="","",IFERROR(INDEX('Code Aliases'!$B:$B,MATCH(TRIM(C685),'Code Aliases'!$A:$A,0)),TRIM(C685)))</f>
        <v/>
      </c>
      <c r="I685" s="17" t="str">
        <f aca="false">IF(TRIM(B685)="","",UPPER(TRIM(B685)))</f>
        <v/>
      </c>
      <c r="J685" s="17" t="str">
        <f aca="false">IF(H685="","",IF(COUNTIF('Master Stock'!$A$5:$A$206,H685)&gt;0,"Yes","Not on stock sheet"))</f>
        <v/>
      </c>
    </row>
    <row r="686" customFormat="false" ht="14.25" hidden="false" customHeight="true" outlineLevel="0" collapsed="false">
      <c r="E686" s="17"/>
      <c r="H686" s="17" t="str">
        <f aca="false">IF(TRIM(C686)="","",IFERROR(INDEX('Code Aliases'!$B:$B,MATCH(TRIM(C686),'Code Aliases'!$A:$A,0)),TRIM(C686)))</f>
        <v/>
      </c>
      <c r="I686" s="17" t="str">
        <f aca="false">IF(TRIM(B686)="","",UPPER(TRIM(B686)))</f>
        <v/>
      </c>
      <c r="J686" s="17" t="str">
        <f aca="false">IF(H686="","",IF(COUNTIF('Master Stock'!$A$5:$A$206,H686)&gt;0,"Yes","Not on stock sheet"))</f>
        <v/>
      </c>
    </row>
    <row r="687" customFormat="false" ht="14.25" hidden="false" customHeight="true" outlineLevel="0" collapsed="false">
      <c r="E687" s="17"/>
      <c r="H687" s="17" t="str">
        <f aca="false">IF(TRIM(C687)="","",IFERROR(INDEX('Code Aliases'!$B:$B,MATCH(TRIM(C687),'Code Aliases'!$A:$A,0)),TRIM(C687)))</f>
        <v/>
      </c>
      <c r="I687" s="17" t="str">
        <f aca="false">IF(TRIM(B687)="","",UPPER(TRIM(B687)))</f>
        <v/>
      </c>
      <c r="J687" s="17" t="str">
        <f aca="false">IF(H687="","",IF(COUNTIF('Master Stock'!$A$5:$A$206,H687)&gt;0,"Yes","Not on stock sheet"))</f>
        <v/>
      </c>
    </row>
    <row r="688" customFormat="false" ht="14.25" hidden="false" customHeight="true" outlineLevel="0" collapsed="false">
      <c r="E688" s="17"/>
      <c r="H688" s="17" t="str">
        <f aca="false">IF(TRIM(C688)="","",IFERROR(INDEX('Code Aliases'!$B:$B,MATCH(TRIM(C688),'Code Aliases'!$A:$A,0)),TRIM(C688)))</f>
        <v/>
      </c>
      <c r="I688" s="17" t="str">
        <f aca="false">IF(TRIM(B688)="","",UPPER(TRIM(B688)))</f>
        <v/>
      </c>
      <c r="J688" s="17" t="str">
        <f aca="false">IF(H688="","",IF(COUNTIF('Master Stock'!$A$5:$A$206,H688)&gt;0,"Yes","Not on stock sheet"))</f>
        <v/>
      </c>
    </row>
    <row r="689" customFormat="false" ht="14.25" hidden="false" customHeight="true" outlineLevel="0" collapsed="false">
      <c r="E689" s="17"/>
      <c r="H689" s="17" t="str">
        <f aca="false">IF(TRIM(C689)="","",IFERROR(INDEX('Code Aliases'!$B:$B,MATCH(TRIM(C689),'Code Aliases'!$A:$A,0)),TRIM(C689)))</f>
        <v/>
      </c>
      <c r="I689" s="17" t="str">
        <f aca="false">IF(TRIM(B689)="","",UPPER(TRIM(B689)))</f>
        <v/>
      </c>
      <c r="J689" s="17" t="str">
        <f aca="false">IF(H689="","",IF(COUNTIF('Master Stock'!$A$5:$A$206,H689)&gt;0,"Yes","Not on stock sheet"))</f>
        <v/>
      </c>
    </row>
    <row r="690" customFormat="false" ht="14.25" hidden="false" customHeight="true" outlineLevel="0" collapsed="false">
      <c r="E690" s="17"/>
      <c r="H690" s="17" t="str">
        <f aca="false">IF(TRIM(C690)="","",IFERROR(INDEX('Code Aliases'!$B:$B,MATCH(TRIM(C690),'Code Aliases'!$A:$A,0)),TRIM(C690)))</f>
        <v/>
      </c>
      <c r="I690" s="17" t="str">
        <f aca="false">IF(TRIM(B690)="","",UPPER(TRIM(B690)))</f>
        <v/>
      </c>
      <c r="J690" s="17" t="str">
        <f aca="false">IF(H690="","",IF(COUNTIF('Master Stock'!$A$5:$A$206,H690)&gt;0,"Yes","Not on stock sheet"))</f>
        <v/>
      </c>
    </row>
    <row r="691" customFormat="false" ht="14.25" hidden="false" customHeight="true" outlineLevel="0" collapsed="false">
      <c r="E691" s="17"/>
      <c r="H691" s="17" t="str">
        <f aca="false">IF(TRIM(C691)="","",IFERROR(INDEX('Code Aliases'!$B:$B,MATCH(TRIM(C691),'Code Aliases'!$A:$A,0)),TRIM(C691)))</f>
        <v/>
      </c>
      <c r="I691" s="17" t="str">
        <f aca="false">IF(TRIM(B691)="","",UPPER(TRIM(B691)))</f>
        <v/>
      </c>
      <c r="J691" s="17" t="str">
        <f aca="false">IF(H691="","",IF(COUNTIF('Master Stock'!$A$5:$A$206,H691)&gt;0,"Yes","Not on stock sheet"))</f>
        <v/>
      </c>
    </row>
    <row r="692" customFormat="false" ht="14.25" hidden="false" customHeight="true" outlineLevel="0" collapsed="false">
      <c r="E692" s="17"/>
      <c r="H692" s="17" t="str">
        <f aca="false">IF(TRIM(C692)="","",IFERROR(INDEX('Code Aliases'!$B:$B,MATCH(TRIM(C692),'Code Aliases'!$A:$A,0)),TRIM(C692)))</f>
        <v/>
      </c>
      <c r="I692" s="17" t="str">
        <f aca="false">IF(TRIM(B692)="","",UPPER(TRIM(B692)))</f>
        <v/>
      </c>
      <c r="J692" s="17" t="str">
        <f aca="false">IF(H692="","",IF(COUNTIF('Master Stock'!$A$5:$A$206,H692)&gt;0,"Yes","Not on stock sheet"))</f>
        <v/>
      </c>
    </row>
    <row r="693" customFormat="false" ht="14.25" hidden="false" customHeight="true" outlineLevel="0" collapsed="false">
      <c r="E693" s="17"/>
      <c r="H693" s="17" t="str">
        <f aca="false">IF(TRIM(C693)="","",IFERROR(INDEX('Code Aliases'!$B:$B,MATCH(TRIM(C693),'Code Aliases'!$A:$A,0)),TRIM(C693)))</f>
        <v/>
      </c>
      <c r="I693" s="17" t="str">
        <f aca="false">IF(TRIM(B693)="","",UPPER(TRIM(B693)))</f>
        <v/>
      </c>
      <c r="J693" s="17" t="str">
        <f aca="false">IF(H693="","",IF(COUNTIF('Master Stock'!$A$5:$A$206,H693)&gt;0,"Yes","Not on stock sheet"))</f>
        <v/>
      </c>
    </row>
    <row r="694" customFormat="false" ht="14.25" hidden="false" customHeight="true" outlineLevel="0" collapsed="false">
      <c r="E694" s="17"/>
      <c r="H694" s="17" t="str">
        <f aca="false">IF(TRIM(C694)="","",IFERROR(INDEX('Code Aliases'!$B:$B,MATCH(TRIM(C694),'Code Aliases'!$A:$A,0)),TRIM(C694)))</f>
        <v/>
      </c>
      <c r="I694" s="17" t="str">
        <f aca="false">IF(TRIM(B694)="","",UPPER(TRIM(B694)))</f>
        <v/>
      </c>
      <c r="J694" s="17" t="str">
        <f aca="false">IF(H694="","",IF(COUNTIF('Master Stock'!$A$5:$A$206,H694)&gt;0,"Yes","Not on stock sheet"))</f>
        <v/>
      </c>
    </row>
    <row r="695" customFormat="false" ht="14.25" hidden="false" customHeight="true" outlineLevel="0" collapsed="false">
      <c r="E695" s="17"/>
      <c r="H695" s="17" t="str">
        <f aca="false">IF(TRIM(C695)="","",IFERROR(INDEX('Code Aliases'!$B:$B,MATCH(TRIM(C695),'Code Aliases'!$A:$A,0)),TRIM(C695)))</f>
        <v/>
      </c>
      <c r="I695" s="17" t="str">
        <f aca="false">IF(TRIM(B695)="","",UPPER(TRIM(B695)))</f>
        <v/>
      </c>
      <c r="J695" s="17" t="str">
        <f aca="false">IF(H695="","",IF(COUNTIF('Master Stock'!$A$5:$A$206,H695)&gt;0,"Yes","Not on stock sheet"))</f>
        <v/>
      </c>
    </row>
    <row r="696" customFormat="false" ht="14.25" hidden="false" customHeight="true" outlineLevel="0" collapsed="false">
      <c r="E696" s="17"/>
      <c r="H696" s="17" t="str">
        <f aca="false">IF(TRIM(C696)="","",IFERROR(INDEX('Code Aliases'!$B:$B,MATCH(TRIM(C696),'Code Aliases'!$A:$A,0)),TRIM(C696)))</f>
        <v/>
      </c>
      <c r="I696" s="17" t="str">
        <f aca="false">IF(TRIM(B696)="","",UPPER(TRIM(B696)))</f>
        <v/>
      </c>
      <c r="J696" s="17" t="str">
        <f aca="false">IF(H696="","",IF(COUNTIF('Master Stock'!$A$5:$A$206,H696)&gt;0,"Yes","Not on stock sheet"))</f>
        <v/>
      </c>
    </row>
    <row r="697" customFormat="false" ht="14.25" hidden="false" customHeight="true" outlineLevel="0" collapsed="false">
      <c r="E697" s="17"/>
      <c r="H697" s="17" t="str">
        <f aca="false">IF(TRIM(C697)="","",IFERROR(INDEX('Code Aliases'!$B:$B,MATCH(TRIM(C697),'Code Aliases'!$A:$A,0)),TRIM(C697)))</f>
        <v/>
      </c>
      <c r="I697" s="17" t="str">
        <f aca="false">IF(TRIM(B697)="","",UPPER(TRIM(B697)))</f>
        <v/>
      </c>
      <c r="J697" s="17" t="str">
        <f aca="false">IF(H697="","",IF(COUNTIF('Master Stock'!$A$5:$A$206,H697)&gt;0,"Yes","Not on stock sheet"))</f>
        <v/>
      </c>
    </row>
    <row r="698" customFormat="false" ht="14.25" hidden="false" customHeight="true" outlineLevel="0" collapsed="false">
      <c r="E698" s="17"/>
      <c r="H698" s="17" t="str">
        <f aca="false">IF(TRIM(C698)="","",IFERROR(INDEX('Code Aliases'!$B:$B,MATCH(TRIM(C698),'Code Aliases'!$A:$A,0)),TRIM(C698)))</f>
        <v/>
      </c>
      <c r="I698" s="17" t="str">
        <f aca="false">IF(TRIM(B698)="","",UPPER(TRIM(B698)))</f>
        <v/>
      </c>
      <c r="J698" s="17" t="str">
        <f aca="false">IF(H698="","",IF(COUNTIF('Master Stock'!$A$5:$A$206,H698)&gt;0,"Yes","Not on stock sheet"))</f>
        <v/>
      </c>
    </row>
    <row r="699" customFormat="false" ht="14.25" hidden="false" customHeight="true" outlineLevel="0" collapsed="false">
      <c r="E699" s="17"/>
      <c r="H699" s="17" t="str">
        <f aca="false">IF(TRIM(C699)="","",IFERROR(INDEX('Code Aliases'!$B:$B,MATCH(TRIM(C699),'Code Aliases'!$A:$A,0)),TRIM(C699)))</f>
        <v/>
      </c>
      <c r="I699" s="17" t="str">
        <f aca="false">IF(TRIM(B699)="","",UPPER(TRIM(B699)))</f>
        <v/>
      </c>
      <c r="J699" s="17" t="str">
        <f aca="false">IF(H699="","",IF(COUNTIF('Master Stock'!$A$5:$A$206,H699)&gt;0,"Yes","Not on stock sheet"))</f>
        <v/>
      </c>
    </row>
    <row r="700" customFormat="false" ht="14.25" hidden="false" customHeight="true" outlineLevel="0" collapsed="false">
      <c r="E700" s="17"/>
      <c r="H700" s="17" t="str">
        <f aca="false">IF(TRIM(C700)="","",IFERROR(INDEX('Code Aliases'!$B:$B,MATCH(TRIM(C700),'Code Aliases'!$A:$A,0)),TRIM(C700)))</f>
        <v/>
      </c>
      <c r="I700" s="17" t="str">
        <f aca="false">IF(TRIM(B700)="","",UPPER(TRIM(B700)))</f>
        <v/>
      </c>
      <c r="J700" s="17" t="str">
        <f aca="false">IF(H700="","",IF(COUNTIF('Master Stock'!$A$5:$A$206,H700)&gt;0,"Yes","Not on stock sheet"))</f>
        <v/>
      </c>
    </row>
    <row r="701" customFormat="false" ht="14.25" hidden="false" customHeight="true" outlineLevel="0" collapsed="false">
      <c r="E701" s="17"/>
      <c r="H701" s="17" t="str">
        <f aca="false">IF(TRIM(C701)="","",IFERROR(INDEX('Code Aliases'!$B:$B,MATCH(TRIM(C701),'Code Aliases'!$A:$A,0)),TRIM(C701)))</f>
        <v/>
      </c>
      <c r="I701" s="17" t="str">
        <f aca="false">IF(TRIM(B701)="","",UPPER(TRIM(B701)))</f>
        <v/>
      </c>
      <c r="J701" s="17" t="str">
        <f aca="false">IF(H701="","",IF(COUNTIF('Master Stock'!$A$5:$A$206,H701)&gt;0,"Yes","Not on stock sheet"))</f>
        <v/>
      </c>
    </row>
    <row r="702" customFormat="false" ht="14.25" hidden="false" customHeight="true" outlineLevel="0" collapsed="false">
      <c r="E702" s="17"/>
      <c r="H702" s="17" t="str">
        <f aca="false">IF(TRIM(C702)="","",IFERROR(INDEX('Code Aliases'!$B:$B,MATCH(TRIM(C702),'Code Aliases'!$A:$A,0)),TRIM(C702)))</f>
        <v/>
      </c>
      <c r="I702" s="17" t="str">
        <f aca="false">IF(TRIM(B702)="","",UPPER(TRIM(B702)))</f>
        <v/>
      </c>
      <c r="J702" s="17" t="str">
        <f aca="false">IF(H702="","",IF(COUNTIF('Master Stock'!$A$5:$A$206,H702)&gt;0,"Yes","Not on stock sheet"))</f>
        <v/>
      </c>
    </row>
    <row r="703" customFormat="false" ht="14.25" hidden="false" customHeight="true" outlineLevel="0" collapsed="false">
      <c r="E703" s="17"/>
      <c r="H703" s="17" t="str">
        <f aca="false">IF(TRIM(C703)="","",IFERROR(INDEX('Code Aliases'!$B:$B,MATCH(TRIM(C703),'Code Aliases'!$A:$A,0)),TRIM(C703)))</f>
        <v/>
      </c>
      <c r="I703" s="17" t="str">
        <f aca="false">IF(TRIM(B703)="","",UPPER(TRIM(B703)))</f>
        <v/>
      </c>
      <c r="J703" s="17" t="str">
        <f aca="false">IF(H703="","",IF(COUNTIF('Master Stock'!$A$5:$A$206,H703)&gt;0,"Yes","Not on stock sheet"))</f>
        <v/>
      </c>
    </row>
    <row r="704" customFormat="false" ht="14.25" hidden="false" customHeight="true" outlineLevel="0" collapsed="false">
      <c r="E704" s="17"/>
      <c r="H704" s="17" t="str">
        <f aca="false">IF(TRIM(C704)="","",IFERROR(INDEX('Code Aliases'!$B:$B,MATCH(TRIM(C704),'Code Aliases'!$A:$A,0)),TRIM(C704)))</f>
        <v/>
      </c>
      <c r="I704" s="17" t="str">
        <f aca="false">IF(TRIM(B704)="","",UPPER(TRIM(B704)))</f>
        <v/>
      </c>
      <c r="J704" s="17" t="str">
        <f aca="false">IF(H704="","",IF(COUNTIF('Master Stock'!$A$5:$A$206,H704)&gt;0,"Yes","Not on stock sheet"))</f>
        <v/>
      </c>
    </row>
    <row r="705" customFormat="false" ht="14.25" hidden="false" customHeight="true" outlineLevel="0" collapsed="false">
      <c r="E705" s="17"/>
      <c r="H705" s="17" t="str">
        <f aca="false">IF(TRIM(C705)="","",IFERROR(INDEX('Code Aliases'!$B:$B,MATCH(TRIM(C705),'Code Aliases'!$A:$A,0)),TRIM(C705)))</f>
        <v/>
      </c>
      <c r="I705" s="17" t="str">
        <f aca="false">IF(TRIM(B705)="","",UPPER(TRIM(B705)))</f>
        <v/>
      </c>
      <c r="J705" s="17" t="str">
        <f aca="false">IF(H705="","",IF(COUNTIF('Master Stock'!$A$5:$A$206,H705)&gt;0,"Yes","Not on stock sheet"))</f>
        <v/>
      </c>
    </row>
    <row r="706" customFormat="false" ht="14.25" hidden="false" customHeight="true" outlineLevel="0" collapsed="false">
      <c r="E706" s="17"/>
      <c r="H706" s="17" t="str">
        <f aca="false">IF(TRIM(C706)="","",IFERROR(INDEX('Code Aliases'!$B:$B,MATCH(TRIM(C706),'Code Aliases'!$A:$A,0)),TRIM(C706)))</f>
        <v/>
      </c>
      <c r="I706" s="17" t="str">
        <f aca="false">IF(TRIM(B706)="","",UPPER(TRIM(B706)))</f>
        <v/>
      </c>
      <c r="J706" s="17" t="str">
        <f aca="false">IF(H706="","",IF(COUNTIF('Master Stock'!$A$5:$A$206,H706)&gt;0,"Yes","Not on stock sheet"))</f>
        <v/>
      </c>
    </row>
    <row r="707" customFormat="false" ht="14.25" hidden="false" customHeight="true" outlineLevel="0" collapsed="false">
      <c r="E707" s="17"/>
      <c r="H707" s="17" t="str">
        <f aca="false">IF(TRIM(C707)="","",IFERROR(INDEX('Code Aliases'!$B:$B,MATCH(TRIM(C707),'Code Aliases'!$A:$A,0)),TRIM(C707)))</f>
        <v/>
      </c>
      <c r="I707" s="17" t="str">
        <f aca="false">IF(TRIM(B707)="","",UPPER(TRIM(B707)))</f>
        <v/>
      </c>
      <c r="J707" s="17" t="str">
        <f aca="false">IF(H707="","",IF(COUNTIF('Master Stock'!$A$5:$A$206,H707)&gt;0,"Yes","Not on stock sheet"))</f>
        <v/>
      </c>
    </row>
    <row r="708" customFormat="false" ht="14.25" hidden="false" customHeight="true" outlineLevel="0" collapsed="false">
      <c r="E708" s="17"/>
      <c r="H708" s="17" t="str">
        <f aca="false">IF(TRIM(C708)="","",IFERROR(INDEX('Code Aliases'!$B:$B,MATCH(TRIM(C708),'Code Aliases'!$A:$A,0)),TRIM(C708)))</f>
        <v/>
      </c>
      <c r="I708" s="17" t="str">
        <f aca="false">IF(TRIM(B708)="","",UPPER(TRIM(B708)))</f>
        <v/>
      </c>
      <c r="J708" s="17" t="str">
        <f aca="false">IF(H708="","",IF(COUNTIF('Master Stock'!$A$5:$A$206,H708)&gt;0,"Yes","Not on stock sheet"))</f>
        <v/>
      </c>
    </row>
    <row r="709" customFormat="false" ht="14.25" hidden="false" customHeight="true" outlineLevel="0" collapsed="false">
      <c r="E709" s="17"/>
      <c r="H709" s="17" t="str">
        <f aca="false">IF(TRIM(C709)="","",IFERROR(INDEX('Code Aliases'!$B:$B,MATCH(TRIM(C709),'Code Aliases'!$A:$A,0)),TRIM(C709)))</f>
        <v/>
      </c>
      <c r="I709" s="17" t="str">
        <f aca="false">IF(TRIM(B709)="","",UPPER(TRIM(B709)))</f>
        <v/>
      </c>
      <c r="J709" s="17" t="str">
        <f aca="false">IF(H709="","",IF(COUNTIF('Master Stock'!$A$5:$A$206,H709)&gt;0,"Yes","Not on stock sheet"))</f>
        <v/>
      </c>
    </row>
    <row r="710" customFormat="false" ht="14.25" hidden="false" customHeight="true" outlineLevel="0" collapsed="false">
      <c r="E710" s="17"/>
      <c r="H710" s="17" t="str">
        <f aca="false">IF(TRIM(C710)="","",IFERROR(INDEX('Code Aliases'!$B:$B,MATCH(TRIM(C710),'Code Aliases'!$A:$A,0)),TRIM(C710)))</f>
        <v/>
      </c>
      <c r="I710" s="17" t="str">
        <f aca="false">IF(TRIM(B710)="","",UPPER(TRIM(B710)))</f>
        <v/>
      </c>
      <c r="J710" s="17" t="str">
        <f aca="false">IF(H710="","",IF(COUNTIF('Master Stock'!$A$5:$A$206,H710)&gt;0,"Yes","Not on stock sheet"))</f>
        <v/>
      </c>
    </row>
    <row r="711" customFormat="false" ht="14.25" hidden="false" customHeight="true" outlineLevel="0" collapsed="false">
      <c r="E711" s="17"/>
      <c r="H711" s="17" t="str">
        <f aca="false">IF(TRIM(C711)="","",IFERROR(INDEX('Code Aliases'!$B:$B,MATCH(TRIM(C711),'Code Aliases'!$A:$A,0)),TRIM(C711)))</f>
        <v/>
      </c>
      <c r="I711" s="17" t="str">
        <f aca="false">IF(TRIM(B711)="","",UPPER(TRIM(B711)))</f>
        <v/>
      </c>
      <c r="J711" s="17" t="str">
        <f aca="false">IF(H711="","",IF(COUNTIF('Master Stock'!$A$5:$A$206,H711)&gt;0,"Yes","Not on stock sheet"))</f>
        <v/>
      </c>
    </row>
    <row r="712" customFormat="false" ht="14.25" hidden="false" customHeight="true" outlineLevel="0" collapsed="false">
      <c r="E712" s="17"/>
      <c r="H712" s="17" t="str">
        <f aca="false">IF(TRIM(C712)="","",IFERROR(INDEX('Code Aliases'!$B:$B,MATCH(TRIM(C712),'Code Aliases'!$A:$A,0)),TRIM(C712)))</f>
        <v/>
      </c>
      <c r="I712" s="17" t="str">
        <f aca="false">IF(TRIM(B712)="","",UPPER(TRIM(B712)))</f>
        <v/>
      </c>
      <c r="J712" s="17" t="str">
        <f aca="false">IF(H712="","",IF(COUNTIF('Master Stock'!$A$5:$A$206,H712)&gt;0,"Yes","Not on stock sheet"))</f>
        <v/>
      </c>
    </row>
    <row r="713" customFormat="false" ht="14.25" hidden="false" customHeight="true" outlineLevel="0" collapsed="false">
      <c r="E713" s="17"/>
      <c r="H713" s="17" t="str">
        <f aca="false">IF(TRIM(C713)="","",IFERROR(INDEX('Code Aliases'!$B:$B,MATCH(TRIM(C713),'Code Aliases'!$A:$A,0)),TRIM(C713)))</f>
        <v/>
      </c>
      <c r="I713" s="17" t="str">
        <f aca="false">IF(TRIM(B713)="","",UPPER(TRIM(B713)))</f>
        <v/>
      </c>
      <c r="J713" s="17" t="str">
        <f aca="false">IF(H713="","",IF(COUNTIF('Master Stock'!$A$5:$A$206,H713)&gt;0,"Yes","Not on stock sheet"))</f>
        <v/>
      </c>
    </row>
    <row r="714" customFormat="false" ht="14.25" hidden="false" customHeight="true" outlineLevel="0" collapsed="false">
      <c r="E714" s="17"/>
      <c r="H714" s="17" t="str">
        <f aca="false">IF(TRIM(C714)="","",IFERROR(INDEX('Code Aliases'!$B:$B,MATCH(TRIM(C714),'Code Aliases'!$A:$A,0)),TRIM(C714)))</f>
        <v/>
      </c>
      <c r="I714" s="17" t="str">
        <f aca="false">IF(TRIM(B714)="","",UPPER(TRIM(B714)))</f>
        <v/>
      </c>
      <c r="J714" s="17" t="str">
        <f aca="false">IF(H714="","",IF(COUNTIF('Master Stock'!$A$5:$A$206,H714)&gt;0,"Yes","Not on stock sheet"))</f>
        <v/>
      </c>
    </row>
    <row r="715" customFormat="false" ht="14.25" hidden="false" customHeight="true" outlineLevel="0" collapsed="false">
      <c r="E715" s="17"/>
      <c r="H715" s="17" t="str">
        <f aca="false">IF(TRIM(C715)="","",IFERROR(INDEX('Code Aliases'!$B:$B,MATCH(TRIM(C715),'Code Aliases'!$A:$A,0)),TRIM(C715)))</f>
        <v/>
      </c>
      <c r="I715" s="17" t="str">
        <f aca="false">IF(TRIM(B715)="","",UPPER(TRIM(B715)))</f>
        <v/>
      </c>
      <c r="J715" s="17" t="str">
        <f aca="false">IF(H715="","",IF(COUNTIF('Master Stock'!$A$5:$A$206,H715)&gt;0,"Yes","Not on stock sheet"))</f>
        <v/>
      </c>
    </row>
    <row r="716" customFormat="false" ht="14.25" hidden="false" customHeight="true" outlineLevel="0" collapsed="false">
      <c r="E716" s="17"/>
      <c r="H716" s="17" t="str">
        <f aca="false">IF(TRIM(C716)="","",IFERROR(INDEX('Code Aliases'!$B:$B,MATCH(TRIM(C716),'Code Aliases'!$A:$A,0)),TRIM(C716)))</f>
        <v/>
      </c>
      <c r="I716" s="17" t="str">
        <f aca="false">IF(TRIM(B716)="","",UPPER(TRIM(B716)))</f>
        <v/>
      </c>
      <c r="J716" s="17" t="str">
        <f aca="false">IF(H716="","",IF(COUNTIF('Master Stock'!$A$5:$A$206,H716)&gt;0,"Yes","Not on stock sheet"))</f>
        <v/>
      </c>
    </row>
    <row r="717" customFormat="false" ht="14.25" hidden="false" customHeight="true" outlineLevel="0" collapsed="false">
      <c r="E717" s="17"/>
      <c r="H717" s="17" t="str">
        <f aca="false">IF(TRIM(C717)="","",IFERROR(INDEX('Code Aliases'!$B:$B,MATCH(TRIM(C717),'Code Aliases'!$A:$A,0)),TRIM(C717)))</f>
        <v/>
      </c>
      <c r="I717" s="17" t="str">
        <f aca="false">IF(TRIM(B717)="","",UPPER(TRIM(B717)))</f>
        <v/>
      </c>
      <c r="J717" s="17" t="str">
        <f aca="false">IF(H717="","",IF(COUNTIF('Master Stock'!$A$5:$A$206,H717)&gt;0,"Yes","Not on stock sheet"))</f>
        <v/>
      </c>
    </row>
    <row r="718" customFormat="false" ht="14.25" hidden="false" customHeight="true" outlineLevel="0" collapsed="false">
      <c r="E718" s="17"/>
      <c r="H718" s="17" t="str">
        <f aca="false">IF(TRIM(C718)="","",IFERROR(INDEX('Code Aliases'!$B:$B,MATCH(TRIM(C718),'Code Aliases'!$A:$A,0)),TRIM(C718)))</f>
        <v/>
      </c>
      <c r="I718" s="17" t="str">
        <f aca="false">IF(TRIM(B718)="","",UPPER(TRIM(B718)))</f>
        <v/>
      </c>
      <c r="J718" s="17" t="str">
        <f aca="false">IF(H718="","",IF(COUNTIF('Master Stock'!$A$5:$A$206,H718)&gt;0,"Yes","Not on stock sheet"))</f>
        <v/>
      </c>
    </row>
    <row r="719" customFormat="false" ht="14.25" hidden="false" customHeight="true" outlineLevel="0" collapsed="false">
      <c r="E719" s="17"/>
      <c r="H719" s="17" t="str">
        <f aca="false">IF(TRIM(C719)="","",IFERROR(INDEX('Code Aliases'!$B:$B,MATCH(TRIM(C719),'Code Aliases'!$A:$A,0)),TRIM(C719)))</f>
        <v/>
      </c>
      <c r="I719" s="17" t="str">
        <f aca="false">IF(TRIM(B719)="","",UPPER(TRIM(B719)))</f>
        <v/>
      </c>
      <c r="J719" s="17" t="str">
        <f aca="false">IF(H719="","",IF(COUNTIF('Master Stock'!$A$5:$A$206,H719)&gt;0,"Yes","Not on stock sheet"))</f>
        <v/>
      </c>
    </row>
    <row r="720" customFormat="false" ht="14.25" hidden="false" customHeight="true" outlineLevel="0" collapsed="false">
      <c r="E720" s="17"/>
      <c r="H720" s="17" t="str">
        <f aca="false">IF(TRIM(C720)="","",IFERROR(INDEX('Code Aliases'!$B:$B,MATCH(TRIM(C720),'Code Aliases'!$A:$A,0)),TRIM(C720)))</f>
        <v/>
      </c>
      <c r="I720" s="17" t="str">
        <f aca="false">IF(TRIM(B720)="","",UPPER(TRIM(B720)))</f>
        <v/>
      </c>
      <c r="J720" s="17" t="str">
        <f aca="false">IF(H720="","",IF(COUNTIF('Master Stock'!$A$5:$A$206,H720)&gt;0,"Yes","Not on stock sheet"))</f>
        <v/>
      </c>
    </row>
    <row r="721" customFormat="false" ht="14.25" hidden="false" customHeight="true" outlineLevel="0" collapsed="false">
      <c r="E721" s="17"/>
      <c r="H721" s="17" t="str">
        <f aca="false">IF(TRIM(C721)="","",IFERROR(INDEX('Code Aliases'!$B:$B,MATCH(TRIM(C721),'Code Aliases'!$A:$A,0)),TRIM(C721)))</f>
        <v/>
      </c>
      <c r="I721" s="17" t="str">
        <f aca="false">IF(TRIM(B721)="","",UPPER(TRIM(B721)))</f>
        <v/>
      </c>
      <c r="J721" s="17" t="str">
        <f aca="false">IF(H721="","",IF(COUNTIF('Master Stock'!$A$5:$A$206,H721)&gt;0,"Yes","Not on stock sheet"))</f>
        <v/>
      </c>
    </row>
    <row r="722" customFormat="false" ht="14.25" hidden="false" customHeight="true" outlineLevel="0" collapsed="false">
      <c r="E722" s="17"/>
      <c r="H722" s="17" t="str">
        <f aca="false">IF(TRIM(C722)="","",IFERROR(INDEX('Code Aliases'!$B:$B,MATCH(TRIM(C722),'Code Aliases'!$A:$A,0)),TRIM(C722)))</f>
        <v/>
      </c>
      <c r="I722" s="17" t="str">
        <f aca="false">IF(TRIM(B722)="","",UPPER(TRIM(B722)))</f>
        <v/>
      </c>
      <c r="J722" s="17" t="str">
        <f aca="false">IF(H722="","",IF(COUNTIF('Master Stock'!$A$5:$A$206,H722)&gt;0,"Yes","Not on stock sheet"))</f>
        <v/>
      </c>
    </row>
    <row r="723" customFormat="false" ht="14.25" hidden="false" customHeight="true" outlineLevel="0" collapsed="false">
      <c r="E723" s="17"/>
      <c r="H723" s="17" t="str">
        <f aca="false">IF(TRIM(C723)="","",IFERROR(INDEX('Code Aliases'!$B:$B,MATCH(TRIM(C723),'Code Aliases'!$A:$A,0)),TRIM(C723)))</f>
        <v/>
      </c>
      <c r="I723" s="17" t="str">
        <f aca="false">IF(TRIM(B723)="","",UPPER(TRIM(B723)))</f>
        <v/>
      </c>
      <c r="J723" s="17" t="str">
        <f aca="false">IF(H723="","",IF(COUNTIF('Master Stock'!$A$5:$A$206,H723)&gt;0,"Yes","Not on stock sheet"))</f>
        <v/>
      </c>
    </row>
    <row r="724" customFormat="false" ht="14.25" hidden="false" customHeight="true" outlineLevel="0" collapsed="false">
      <c r="E724" s="17"/>
      <c r="H724" s="17" t="str">
        <f aca="false">IF(TRIM(C724)="","",IFERROR(INDEX('Code Aliases'!$B:$B,MATCH(TRIM(C724),'Code Aliases'!$A:$A,0)),TRIM(C724)))</f>
        <v/>
      </c>
      <c r="I724" s="17" t="str">
        <f aca="false">IF(TRIM(B724)="","",UPPER(TRIM(B724)))</f>
        <v/>
      </c>
      <c r="J724" s="17" t="str">
        <f aca="false">IF(H724="","",IF(COUNTIF('Master Stock'!$A$5:$A$206,H724)&gt;0,"Yes","Not on stock sheet"))</f>
        <v/>
      </c>
    </row>
    <row r="725" customFormat="false" ht="14.25" hidden="false" customHeight="true" outlineLevel="0" collapsed="false">
      <c r="E725" s="17"/>
      <c r="H725" s="17" t="str">
        <f aca="false">IF(TRIM(C725)="","",IFERROR(INDEX('Code Aliases'!$B:$B,MATCH(TRIM(C725),'Code Aliases'!$A:$A,0)),TRIM(C725)))</f>
        <v/>
      </c>
      <c r="I725" s="17" t="str">
        <f aca="false">IF(TRIM(B725)="","",UPPER(TRIM(B725)))</f>
        <v/>
      </c>
      <c r="J725" s="17" t="str">
        <f aca="false">IF(H725="","",IF(COUNTIF('Master Stock'!$A$5:$A$206,H725)&gt;0,"Yes","Not on stock sheet"))</f>
        <v/>
      </c>
    </row>
    <row r="726" customFormat="false" ht="14.25" hidden="false" customHeight="true" outlineLevel="0" collapsed="false">
      <c r="E726" s="17"/>
      <c r="H726" s="17" t="str">
        <f aca="false">IF(TRIM(C726)="","",IFERROR(INDEX('Code Aliases'!$B:$B,MATCH(TRIM(C726),'Code Aliases'!$A:$A,0)),TRIM(C726)))</f>
        <v/>
      </c>
      <c r="I726" s="17" t="str">
        <f aca="false">IF(TRIM(B726)="","",UPPER(TRIM(B726)))</f>
        <v/>
      </c>
      <c r="J726" s="17" t="str">
        <f aca="false">IF(H726="","",IF(COUNTIF('Master Stock'!$A$5:$A$206,H726)&gt;0,"Yes","Not on stock sheet"))</f>
        <v/>
      </c>
    </row>
    <row r="727" customFormat="false" ht="14.25" hidden="false" customHeight="true" outlineLevel="0" collapsed="false">
      <c r="E727" s="17"/>
      <c r="H727" s="17" t="str">
        <f aca="false">IF(TRIM(C727)="","",IFERROR(INDEX('Code Aliases'!$B:$B,MATCH(TRIM(C727),'Code Aliases'!$A:$A,0)),TRIM(C727)))</f>
        <v/>
      </c>
      <c r="I727" s="17" t="str">
        <f aca="false">IF(TRIM(B727)="","",UPPER(TRIM(B727)))</f>
        <v/>
      </c>
      <c r="J727" s="17" t="str">
        <f aca="false">IF(H727="","",IF(COUNTIF('Master Stock'!$A$5:$A$206,H727)&gt;0,"Yes","Not on stock sheet"))</f>
        <v/>
      </c>
    </row>
    <row r="728" customFormat="false" ht="14.25" hidden="false" customHeight="true" outlineLevel="0" collapsed="false">
      <c r="E728" s="17"/>
      <c r="H728" s="17" t="str">
        <f aca="false">IF(TRIM(C728)="","",IFERROR(INDEX('Code Aliases'!$B:$B,MATCH(TRIM(C728),'Code Aliases'!$A:$A,0)),TRIM(C728)))</f>
        <v/>
      </c>
      <c r="I728" s="17" t="str">
        <f aca="false">IF(TRIM(B728)="","",UPPER(TRIM(B728)))</f>
        <v/>
      </c>
      <c r="J728" s="17" t="str">
        <f aca="false">IF(H728="","",IF(COUNTIF('Master Stock'!$A$5:$A$206,H728)&gt;0,"Yes","Not on stock sheet"))</f>
        <v/>
      </c>
    </row>
    <row r="729" customFormat="false" ht="14.25" hidden="false" customHeight="true" outlineLevel="0" collapsed="false">
      <c r="E729" s="17"/>
      <c r="H729" s="17" t="str">
        <f aca="false">IF(TRIM(C729)="","",IFERROR(INDEX('Code Aliases'!$B:$B,MATCH(TRIM(C729),'Code Aliases'!$A:$A,0)),TRIM(C729)))</f>
        <v/>
      </c>
      <c r="I729" s="17" t="str">
        <f aca="false">IF(TRIM(B729)="","",UPPER(TRIM(B729)))</f>
        <v/>
      </c>
      <c r="J729" s="17" t="str">
        <f aca="false">IF(H729="","",IF(COUNTIF('Master Stock'!$A$5:$A$206,H729)&gt;0,"Yes","Not on stock sheet"))</f>
        <v/>
      </c>
    </row>
    <row r="730" customFormat="false" ht="14.25" hidden="false" customHeight="true" outlineLevel="0" collapsed="false">
      <c r="E730" s="17"/>
      <c r="H730" s="17" t="str">
        <f aca="false">IF(TRIM(C730)="","",IFERROR(INDEX('Code Aliases'!$B:$B,MATCH(TRIM(C730),'Code Aliases'!$A:$A,0)),TRIM(C730)))</f>
        <v/>
      </c>
      <c r="I730" s="17" t="str">
        <f aca="false">IF(TRIM(B730)="","",UPPER(TRIM(B730)))</f>
        <v/>
      </c>
      <c r="J730" s="17" t="str">
        <f aca="false">IF(H730="","",IF(COUNTIF('Master Stock'!$A$5:$A$206,H730)&gt;0,"Yes","Not on stock sheet"))</f>
        <v/>
      </c>
    </row>
    <row r="731" customFormat="false" ht="14.25" hidden="false" customHeight="true" outlineLevel="0" collapsed="false">
      <c r="E731" s="17"/>
      <c r="H731" s="17" t="str">
        <f aca="false">IF(TRIM(C731)="","",IFERROR(INDEX('Code Aliases'!$B:$B,MATCH(TRIM(C731),'Code Aliases'!$A:$A,0)),TRIM(C731)))</f>
        <v/>
      </c>
      <c r="I731" s="17" t="str">
        <f aca="false">IF(TRIM(B731)="","",UPPER(TRIM(B731)))</f>
        <v/>
      </c>
      <c r="J731" s="17" t="str">
        <f aca="false">IF(H731="","",IF(COUNTIF('Master Stock'!$A$5:$A$206,H731)&gt;0,"Yes","Not on stock sheet"))</f>
        <v/>
      </c>
    </row>
    <row r="732" customFormat="false" ht="14.25" hidden="false" customHeight="true" outlineLevel="0" collapsed="false">
      <c r="E732" s="17"/>
      <c r="H732" s="17" t="str">
        <f aca="false">IF(TRIM(C732)="","",IFERROR(INDEX('Code Aliases'!$B:$B,MATCH(TRIM(C732),'Code Aliases'!$A:$A,0)),TRIM(C732)))</f>
        <v/>
      </c>
      <c r="I732" s="17" t="str">
        <f aca="false">IF(TRIM(B732)="","",UPPER(TRIM(B732)))</f>
        <v/>
      </c>
      <c r="J732" s="17" t="str">
        <f aca="false">IF(H732="","",IF(COUNTIF('Master Stock'!$A$5:$A$206,H732)&gt;0,"Yes","Not on stock sheet"))</f>
        <v/>
      </c>
    </row>
    <row r="733" customFormat="false" ht="14.25" hidden="false" customHeight="true" outlineLevel="0" collapsed="false">
      <c r="E733" s="17"/>
      <c r="H733" s="17" t="str">
        <f aca="false">IF(TRIM(C733)="","",IFERROR(INDEX('Code Aliases'!$B:$B,MATCH(TRIM(C733),'Code Aliases'!$A:$A,0)),TRIM(C733)))</f>
        <v/>
      </c>
      <c r="I733" s="17" t="str">
        <f aca="false">IF(TRIM(B733)="","",UPPER(TRIM(B733)))</f>
        <v/>
      </c>
      <c r="J733" s="17" t="str">
        <f aca="false">IF(H733="","",IF(COUNTIF('Master Stock'!$A$5:$A$206,H733)&gt;0,"Yes","Not on stock sheet"))</f>
        <v/>
      </c>
    </row>
    <row r="734" customFormat="false" ht="14.25" hidden="false" customHeight="true" outlineLevel="0" collapsed="false">
      <c r="E734" s="17"/>
      <c r="H734" s="17" t="str">
        <f aca="false">IF(TRIM(C734)="","",IFERROR(INDEX('Code Aliases'!$B:$B,MATCH(TRIM(C734),'Code Aliases'!$A:$A,0)),TRIM(C734)))</f>
        <v/>
      </c>
      <c r="I734" s="17" t="str">
        <f aca="false">IF(TRIM(B734)="","",UPPER(TRIM(B734)))</f>
        <v/>
      </c>
      <c r="J734" s="17" t="str">
        <f aca="false">IF(H734="","",IF(COUNTIF('Master Stock'!$A$5:$A$206,H734)&gt;0,"Yes","Not on stock sheet"))</f>
        <v/>
      </c>
    </row>
    <row r="735" customFormat="false" ht="14.25" hidden="false" customHeight="true" outlineLevel="0" collapsed="false">
      <c r="E735" s="17"/>
      <c r="H735" s="17" t="str">
        <f aca="false">IF(TRIM(C735)="","",IFERROR(INDEX('Code Aliases'!$B:$B,MATCH(TRIM(C735),'Code Aliases'!$A:$A,0)),TRIM(C735)))</f>
        <v/>
      </c>
      <c r="I735" s="17" t="str">
        <f aca="false">IF(TRIM(B735)="","",UPPER(TRIM(B735)))</f>
        <v/>
      </c>
      <c r="J735" s="17" t="str">
        <f aca="false">IF(H735="","",IF(COUNTIF('Master Stock'!$A$5:$A$206,H735)&gt;0,"Yes","Not on stock sheet"))</f>
        <v/>
      </c>
    </row>
    <row r="736" customFormat="false" ht="14.25" hidden="false" customHeight="true" outlineLevel="0" collapsed="false">
      <c r="E736" s="17"/>
      <c r="H736" s="17" t="str">
        <f aca="false">IF(TRIM(C736)="","",IFERROR(INDEX('Code Aliases'!$B:$B,MATCH(TRIM(C736),'Code Aliases'!$A:$A,0)),TRIM(C736)))</f>
        <v/>
      </c>
      <c r="I736" s="17" t="str">
        <f aca="false">IF(TRIM(B736)="","",UPPER(TRIM(B736)))</f>
        <v/>
      </c>
      <c r="J736" s="17" t="str">
        <f aca="false">IF(H736="","",IF(COUNTIF('Master Stock'!$A$5:$A$206,H736)&gt;0,"Yes","Not on stock sheet"))</f>
        <v/>
      </c>
    </row>
    <row r="737" customFormat="false" ht="14.25" hidden="false" customHeight="true" outlineLevel="0" collapsed="false">
      <c r="E737" s="17"/>
      <c r="H737" s="17" t="str">
        <f aca="false">IF(TRIM(C737)="","",IFERROR(INDEX('Code Aliases'!$B:$B,MATCH(TRIM(C737),'Code Aliases'!$A:$A,0)),TRIM(C737)))</f>
        <v/>
      </c>
      <c r="I737" s="17" t="str">
        <f aca="false">IF(TRIM(B737)="","",UPPER(TRIM(B737)))</f>
        <v/>
      </c>
      <c r="J737" s="17" t="str">
        <f aca="false">IF(H737="","",IF(COUNTIF('Master Stock'!$A$5:$A$206,H737)&gt;0,"Yes","Not on stock sheet"))</f>
        <v/>
      </c>
    </row>
    <row r="738" customFormat="false" ht="14.25" hidden="false" customHeight="true" outlineLevel="0" collapsed="false">
      <c r="E738" s="17"/>
      <c r="H738" s="17" t="str">
        <f aca="false">IF(TRIM(C738)="","",IFERROR(INDEX('Code Aliases'!$B:$B,MATCH(TRIM(C738),'Code Aliases'!$A:$A,0)),TRIM(C738)))</f>
        <v/>
      </c>
      <c r="I738" s="17" t="str">
        <f aca="false">IF(TRIM(B738)="","",UPPER(TRIM(B738)))</f>
        <v/>
      </c>
      <c r="J738" s="17" t="str">
        <f aca="false">IF(H738="","",IF(COUNTIF('Master Stock'!$A$5:$A$206,H738)&gt;0,"Yes","Not on stock sheet"))</f>
        <v/>
      </c>
    </row>
    <row r="739" customFormat="false" ht="14.25" hidden="false" customHeight="true" outlineLevel="0" collapsed="false">
      <c r="E739" s="17"/>
      <c r="H739" s="17" t="str">
        <f aca="false">IF(TRIM(C739)="","",IFERROR(INDEX('Code Aliases'!$B:$B,MATCH(TRIM(C739),'Code Aliases'!$A:$A,0)),TRIM(C739)))</f>
        <v/>
      </c>
      <c r="I739" s="17" t="str">
        <f aca="false">IF(TRIM(B739)="","",UPPER(TRIM(B739)))</f>
        <v/>
      </c>
      <c r="J739" s="17" t="str">
        <f aca="false">IF(H739="","",IF(COUNTIF('Master Stock'!$A$5:$A$206,H739)&gt;0,"Yes","Not on stock sheet"))</f>
        <v/>
      </c>
    </row>
    <row r="740" customFormat="false" ht="14.25" hidden="false" customHeight="true" outlineLevel="0" collapsed="false">
      <c r="E740" s="17"/>
      <c r="H740" s="17" t="str">
        <f aca="false">IF(TRIM(C740)="","",IFERROR(INDEX('Code Aliases'!$B:$B,MATCH(TRIM(C740),'Code Aliases'!$A:$A,0)),TRIM(C740)))</f>
        <v/>
      </c>
      <c r="I740" s="17" t="str">
        <f aca="false">IF(TRIM(B740)="","",UPPER(TRIM(B740)))</f>
        <v/>
      </c>
      <c r="J740" s="17" t="str">
        <f aca="false">IF(H740="","",IF(COUNTIF('Master Stock'!$A$5:$A$206,H740)&gt;0,"Yes","Not on stock sheet"))</f>
        <v/>
      </c>
    </row>
    <row r="741" customFormat="false" ht="14.25" hidden="false" customHeight="true" outlineLevel="0" collapsed="false">
      <c r="E741" s="17"/>
      <c r="H741" s="17" t="str">
        <f aca="false">IF(TRIM(C741)="","",IFERROR(INDEX('Code Aliases'!$B:$B,MATCH(TRIM(C741),'Code Aliases'!$A:$A,0)),TRIM(C741)))</f>
        <v/>
      </c>
      <c r="I741" s="17" t="str">
        <f aca="false">IF(TRIM(B741)="","",UPPER(TRIM(B741)))</f>
        <v/>
      </c>
      <c r="J741" s="17" t="str">
        <f aca="false">IF(H741="","",IF(COUNTIF('Master Stock'!$A$5:$A$206,H741)&gt;0,"Yes","Not on stock sheet"))</f>
        <v/>
      </c>
    </row>
    <row r="742" customFormat="false" ht="14.25" hidden="false" customHeight="true" outlineLevel="0" collapsed="false">
      <c r="E742" s="17"/>
      <c r="H742" s="17" t="str">
        <f aca="false">IF(TRIM(C742)="","",IFERROR(INDEX('Code Aliases'!$B:$B,MATCH(TRIM(C742),'Code Aliases'!$A:$A,0)),TRIM(C742)))</f>
        <v/>
      </c>
      <c r="I742" s="17" t="str">
        <f aca="false">IF(TRIM(B742)="","",UPPER(TRIM(B742)))</f>
        <v/>
      </c>
      <c r="J742" s="17" t="str">
        <f aca="false">IF(H742="","",IF(COUNTIF('Master Stock'!$A$5:$A$206,H742)&gt;0,"Yes","Not on stock sheet"))</f>
        <v/>
      </c>
    </row>
    <row r="743" customFormat="false" ht="14.25" hidden="false" customHeight="true" outlineLevel="0" collapsed="false">
      <c r="E743" s="17"/>
      <c r="H743" s="17" t="str">
        <f aca="false">IF(TRIM(C743)="","",IFERROR(INDEX('Code Aliases'!$B:$B,MATCH(TRIM(C743),'Code Aliases'!$A:$A,0)),TRIM(C743)))</f>
        <v/>
      </c>
      <c r="I743" s="17" t="str">
        <f aca="false">IF(TRIM(B743)="","",UPPER(TRIM(B743)))</f>
        <v/>
      </c>
      <c r="J743" s="17" t="str">
        <f aca="false">IF(H743="","",IF(COUNTIF('Master Stock'!$A$5:$A$206,H743)&gt;0,"Yes","Not on stock sheet"))</f>
        <v/>
      </c>
    </row>
    <row r="744" customFormat="false" ht="14.25" hidden="false" customHeight="true" outlineLevel="0" collapsed="false">
      <c r="E744" s="17"/>
      <c r="H744" s="17" t="str">
        <f aca="false">IF(TRIM(C744)="","",IFERROR(INDEX('Code Aliases'!$B:$B,MATCH(TRIM(C744),'Code Aliases'!$A:$A,0)),TRIM(C744)))</f>
        <v/>
      </c>
      <c r="I744" s="17" t="str">
        <f aca="false">IF(TRIM(B744)="","",UPPER(TRIM(B744)))</f>
        <v/>
      </c>
      <c r="J744" s="17" t="str">
        <f aca="false">IF(H744="","",IF(COUNTIF('Master Stock'!$A$5:$A$206,H744)&gt;0,"Yes","Not on stock sheet"))</f>
        <v/>
      </c>
    </row>
    <row r="745" customFormat="false" ht="14.25" hidden="false" customHeight="true" outlineLevel="0" collapsed="false">
      <c r="E745" s="17"/>
      <c r="H745" s="17" t="str">
        <f aca="false">IF(TRIM(C745)="","",IFERROR(INDEX('Code Aliases'!$B:$B,MATCH(TRIM(C745),'Code Aliases'!$A:$A,0)),TRIM(C745)))</f>
        <v/>
      </c>
      <c r="I745" s="17" t="str">
        <f aca="false">IF(TRIM(B745)="","",UPPER(TRIM(B745)))</f>
        <v/>
      </c>
      <c r="J745" s="17" t="str">
        <f aca="false">IF(H745="","",IF(COUNTIF('Master Stock'!$A$5:$A$206,H745)&gt;0,"Yes","Not on stock sheet"))</f>
        <v/>
      </c>
    </row>
    <row r="746" customFormat="false" ht="14.25" hidden="false" customHeight="true" outlineLevel="0" collapsed="false">
      <c r="E746" s="17"/>
      <c r="H746" s="17" t="str">
        <f aca="false">IF(TRIM(C746)="","",IFERROR(INDEX('Code Aliases'!$B:$B,MATCH(TRIM(C746),'Code Aliases'!$A:$A,0)),TRIM(C746)))</f>
        <v/>
      </c>
      <c r="I746" s="17" t="str">
        <f aca="false">IF(TRIM(B746)="","",UPPER(TRIM(B746)))</f>
        <v/>
      </c>
      <c r="J746" s="17" t="str">
        <f aca="false">IF(H746="","",IF(COUNTIF('Master Stock'!$A$5:$A$206,H746)&gt;0,"Yes","Not on stock sheet"))</f>
        <v/>
      </c>
    </row>
    <row r="747" customFormat="false" ht="14.25" hidden="false" customHeight="true" outlineLevel="0" collapsed="false">
      <c r="E747" s="17"/>
      <c r="H747" s="17" t="str">
        <f aca="false">IF(TRIM(C747)="","",IFERROR(INDEX('Code Aliases'!$B:$B,MATCH(TRIM(C747),'Code Aliases'!$A:$A,0)),TRIM(C747)))</f>
        <v/>
      </c>
      <c r="I747" s="17" t="str">
        <f aca="false">IF(TRIM(B747)="","",UPPER(TRIM(B747)))</f>
        <v/>
      </c>
      <c r="J747" s="17" t="str">
        <f aca="false">IF(H747="","",IF(COUNTIF('Master Stock'!$A$5:$A$206,H747)&gt;0,"Yes","Not on stock sheet"))</f>
        <v/>
      </c>
    </row>
    <row r="748" customFormat="false" ht="14.25" hidden="false" customHeight="true" outlineLevel="0" collapsed="false">
      <c r="E748" s="17"/>
      <c r="H748" s="17" t="str">
        <f aca="false">IF(TRIM(C748)="","",IFERROR(INDEX('Code Aliases'!$B:$B,MATCH(TRIM(C748),'Code Aliases'!$A:$A,0)),TRIM(C748)))</f>
        <v/>
      </c>
      <c r="I748" s="17" t="str">
        <f aca="false">IF(TRIM(B748)="","",UPPER(TRIM(B748)))</f>
        <v/>
      </c>
      <c r="J748" s="17" t="str">
        <f aca="false">IF(H748="","",IF(COUNTIF('Master Stock'!$A$5:$A$206,H748)&gt;0,"Yes","Not on stock sheet"))</f>
        <v/>
      </c>
    </row>
    <row r="749" customFormat="false" ht="14.25" hidden="false" customHeight="true" outlineLevel="0" collapsed="false">
      <c r="E749" s="17"/>
      <c r="H749" s="17" t="str">
        <f aca="false">IF(TRIM(C749)="","",IFERROR(INDEX('Code Aliases'!$B:$B,MATCH(TRIM(C749),'Code Aliases'!$A:$A,0)),TRIM(C749)))</f>
        <v/>
      </c>
      <c r="I749" s="17" t="str">
        <f aca="false">IF(TRIM(B749)="","",UPPER(TRIM(B749)))</f>
        <v/>
      </c>
      <c r="J749" s="17" t="str">
        <f aca="false">IF(H749="","",IF(COUNTIF('Master Stock'!$A$5:$A$206,H749)&gt;0,"Yes","Not on stock sheet"))</f>
        <v/>
      </c>
    </row>
    <row r="750" customFormat="false" ht="14.25" hidden="false" customHeight="true" outlineLevel="0" collapsed="false">
      <c r="E750" s="17"/>
      <c r="H750" s="17" t="str">
        <f aca="false">IF(TRIM(C750)="","",IFERROR(INDEX('Code Aliases'!$B:$B,MATCH(TRIM(C750),'Code Aliases'!$A:$A,0)),TRIM(C750)))</f>
        <v/>
      </c>
      <c r="I750" s="17" t="str">
        <f aca="false">IF(TRIM(B750)="","",UPPER(TRIM(B750)))</f>
        <v/>
      </c>
      <c r="J750" s="17" t="str">
        <f aca="false">IF(H750="","",IF(COUNTIF('Master Stock'!$A$5:$A$206,H750)&gt;0,"Yes","Not on stock sheet"))</f>
        <v/>
      </c>
    </row>
    <row r="751" customFormat="false" ht="14.25" hidden="false" customHeight="true" outlineLevel="0" collapsed="false">
      <c r="E751" s="17"/>
      <c r="H751" s="17" t="str">
        <f aca="false">IF(TRIM(C751)="","",IFERROR(INDEX('Code Aliases'!$B:$B,MATCH(TRIM(C751),'Code Aliases'!$A:$A,0)),TRIM(C751)))</f>
        <v/>
      </c>
      <c r="I751" s="17" t="str">
        <f aca="false">IF(TRIM(B751)="","",UPPER(TRIM(B751)))</f>
        <v/>
      </c>
      <c r="J751" s="17" t="str">
        <f aca="false">IF(H751="","",IF(COUNTIF('Master Stock'!$A$5:$A$206,H751)&gt;0,"Yes","Not on stock sheet"))</f>
        <v/>
      </c>
    </row>
    <row r="752" customFormat="false" ht="14.25" hidden="false" customHeight="true" outlineLevel="0" collapsed="false">
      <c r="E752" s="17"/>
      <c r="H752" s="17" t="str">
        <f aca="false">IF(TRIM(C752)="","",IFERROR(INDEX('Code Aliases'!$B:$B,MATCH(TRIM(C752),'Code Aliases'!$A:$A,0)),TRIM(C752)))</f>
        <v/>
      </c>
      <c r="I752" s="17" t="str">
        <f aca="false">IF(TRIM(B752)="","",UPPER(TRIM(B752)))</f>
        <v/>
      </c>
      <c r="J752" s="17" t="str">
        <f aca="false">IF(H752="","",IF(COUNTIF('Master Stock'!$A$5:$A$206,H752)&gt;0,"Yes","Not on stock sheet"))</f>
        <v/>
      </c>
    </row>
    <row r="753" customFormat="false" ht="14.25" hidden="false" customHeight="true" outlineLevel="0" collapsed="false">
      <c r="E753" s="17"/>
      <c r="H753" s="17" t="str">
        <f aca="false">IF(TRIM(C753)="","",IFERROR(INDEX('Code Aliases'!$B:$B,MATCH(TRIM(C753),'Code Aliases'!$A:$A,0)),TRIM(C753)))</f>
        <v/>
      </c>
      <c r="I753" s="17" t="str">
        <f aca="false">IF(TRIM(B753)="","",UPPER(TRIM(B753)))</f>
        <v/>
      </c>
      <c r="J753" s="17" t="str">
        <f aca="false">IF(H753="","",IF(COUNTIF('Master Stock'!$A$5:$A$206,H753)&gt;0,"Yes","Not on stock sheet"))</f>
        <v/>
      </c>
    </row>
    <row r="754" customFormat="false" ht="14.25" hidden="false" customHeight="true" outlineLevel="0" collapsed="false">
      <c r="E754" s="17"/>
      <c r="H754" s="17" t="str">
        <f aca="false">IF(TRIM(C754)="","",IFERROR(INDEX('Code Aliases'!$B:$B,MATCH(TRIM(C754),'Code Aliases'!$A:$A,0)),TRIM(C754)))</f>
        <v/>
      </c>
      <c r="I754" s="17" t="str">
        <f aca="false">IF(TRIM(B754)="","",UPPER(TRIM(B754)))</f>
        <v/>
      </c>
      <c r="J754" s="17" t="str">
        <f aca="false">IF(H754="","",IF(COUNTIF('Master Stock'!$A$5:$A$206,H754)&gt;0,"Yes","Not on stock sheet"))</f>
        <v/>
      </c>
    </row>
    <row r="755" customFormat="false" ht="14.25" hidden="false" customHeight="true" outlineLevel="0" collapsed="false">
      <c r="E755" s="17"/>
      <c r="H755" s="17" t="str">
        <f aca="false">IF(TRIM(C755)="","",IFERROR(INDEX('Code Aliases'!$B:$B,MATCH(TRIM(C755),'Code Aliases'!$A:$A,0)),TRIM(C755)))</f>
        <v/>
      </c>
      <c r="I755" s="17" t="str">
        <f aca="false">IF(TRIM(B755)="","",UPPER(TRIM(B755)))</f>
        <v/>
      </c>
      <c r="J755" s="17" t="str">
        <f aca="false">IF(H755="","",IF(COUNTIF('Master Stock'!$A$5:$A$206,H755)&gt;0,"Yes","Not on stock sheet"))</f>
        <v/>
      </c>
    </row>
    <row r="756" customFormat="false" ht="14.25" hidden="false" customHeight="true" outlineLevel="0" collapsed="false">
      <c r="E756" s="17"/>
      <c r="H756" s="17" t="str">
        <f aca="false">IF(TRIM(C756)="","",IFERROR(INDEX('Code Aliases'!$B:$B,MATCH(TRIM(C756),'Code Aliases'!$A:$A,0)),TRIM(C756)))</f>
        <v/>
      </c>
      <c r="I756" s="17" t="str">
        <f aca="false">IF(TRIM(B756)="","",UPPER(TRIM(B756)))</f>
        <v/>
      </c>
      <c r="J756" s="17" t="str">
        <f aca="false">IF(H756="","",IF(COUNTIF('Master Stock'!$A$5:$A$206,H756)&gt;0,"Yes","Not on stock sheet"))</f>
        <v/>
      </c>
    </row>
    <row r="757" customFormat="false" ht="14.25" hidden="false" customHeight="true" outlineLevel="0" collapsed="false">
      <c r="E757" s="17"/>
      <c r="H757" s="17" t="str">
        <f aca="false">IF(TRIM(C757)="","",IFERROR(INDEX('Code Aliases'!$B:$B,MATCH(TRIM(C757),'Code Aliases'!$A:$A,0)),TRIM(C757)))</f>
        <v/>
      </c>
      <c r="I757" s="17" t="str">
        <f aca="false">IF(TRIM(B757)="","",UPPER(TRIM(B757)))</f>
        <v/>
      </c>
      <c r="J757" s="17" t="str">
        <f aca="false">IF(H757="","",IF(COUNTIF('Master Stock'!$A$5:$A$206,H757)&gt;0,"Yes","Not on stock sheet"))</f>
        <v/>
      </c>
    </row>
    <row r="758" customFormat="false" ht="14.25" hidden="false" customHeight="true" outlineLevel="0" collapsed="false">
      <c r="E758" s="17"/>
      <c r="H758" s="17" t="str">
        <f aca="false">IF(TRIM(C758)="","",IFERROR(INDEX('Code Aliases'!$B:$B,MATCH(TRIM(C758),'Code Aliases'!$A:$A,0)),TRIM(C758)))</f>
        <v/>
      </c>
      <c r="I758" s="17" t="str">
        <f aca="false">IF(TRIM(B758)="","",UPPER(TRIM(B758)))</f>
        <v/>
      </c>
      <c r="J758" s="17" t="str">
        <f aca="false">IF(H758="","",IF(COUNTIF('Master Stock'!$A$5:$A$206,H758)&gt;0,"Yes","Not on stock sheet"))</f>
        <v/>
      </c>
    </row>
    <row r="759" customFormat="false" ht="14.25" hidden="false" customHeight="true" outlineLevel="0" collapsed="false">
      <c r="E759" s="17"/>
      <c r="H759" s="17" t="str">
        <f aca="false">IF(TRIM(C759)="","",IFERROR(INDEX('Code Aliases'!$B:$B,MATCH(TRIM(C759),'Code Aliases'!$A:$A,0)),TRIM(C759)))</f>
        <v/>
      </c>
      <c r="I759" s="17" t="str">
        <f aca="false">IF(TRIM(B759)="","",UPPER(TRIM(B759)))</f>
        <v/>
      </c>
      <c r="J759" s="17" t="str">
        <f aca="false">IF(H759="","",IF(COUNTIF('Master Stock'!$A$5:$A$206,H759)&gt;0,"Yes","Not on stock sheet"))</f>
        <v/>
      </c>
    </row>
    <row r="760" customFormat="false" ht="14.25" hidden="false" customHeight="true" outlineLevel="0" collapsed="false">
      <c r="E760" s="17"/>
      <c r="H760" s="17" t="str">
        <f aca="false">IF(TRIM(C760)="","",IFERROR(INDEX('Code Aliases'!$B:$B,MATCH(TRIM(C760),'Code Aliases'!$A:$A,0)),TRIM(C760)))</f>
        <v/>
      </c>
      <c r="I760" s="17" t="str">
        <f aca="false">IF(TRIM(B760)="","",UPPER(TRIM(B760)))</f>
        <v/>
      </c>
      <c r="J760" s="17" t="str">
        <f aca="false">IF(H760="","",IF(COUNTIF('Master Stock'!$A$5:$A$206,H760)&gt;0,"Yes","Not on stock sheet"))</f>
        <v/>
      </c>
    </row>
    <row r="761" customFormat="false" ht="14.25" hidden="false" customHeight="true" outlineLevel="0" collapsed="false">
      <c r="E761" s="17"/>
      <c r="H761" s="17" t="str">
        <f aca="false">IF(TRIM(C761)="","",IFERROR(INDEX('Code Aliases'!$B:$B,MATCH(TRIM(C761),'Code Aliases'!$A:$A,0)),TRIM(C761)))</f>
        <v/>
      </c>
      <c r="I761" s="17" t="str">
        <f aca="false">IF(TRIM(B761)="","",UPPER(TRIM(B761)))</f>
        <v/>
      </c>
      <c r="J761" s="17" t="str">
        <f aca="false">IF(H761="","",IF(COUNTIF('Master Stock'!$A$5:$A$206,H761)&gt;0,"Yes","Not on stock sheet"))</f>
        <v/>
      </c>
    </row>
    <row r="762" customFormat="false" ht="14.25" hidden="false" customHeight="true" outlineLevel="0" collapsed="false">
      <c r="E762" s="17"/>
      <c r="H762" s="17" t="str">
        <f aca="false">IF(TRIM(C762)="","",IFERROR(INDEX('Code Aliases'!$B:$B,MATCH(TRIM(C762),'Code Aliases'!$A:$A,0)),TRIM(C762)))</f>
        <v/>
      </c>
      <c r="I762" s="17" t="str">
        <f aca="false">IF(TRIM(B762)="","",UPPER(TRIM(B762)))</f>
        <v/>
      </c>
      <c r="J762" s="17" t="str">
        <f aca="false">IF(H762="","",IF(COUNTIF('Master Stock'!$A$5:$A$206,H762)&gt;0,"Yes","Not on stock sheet"))</f>
        <v/>
      </c>
    </row>
    <row r="763" customFormat="false" ht="14.25" hidden="false" customHeight="true" outlineLevel="0" collapsed="false">
      <c r="E763" s="17"/>
      <c r="H763" s="17" t="str">
        <f aca="false">IF(TRIM(C763)="","",IFERROR(INDEX('Code Aliases'!$B:$B,MATCH(TRIM(C763),'Code Aliases'!$A:$A,0)),TRIM(C763)))</f>
        <v/>
      </c>
      <c r="I763" s="17" t="str">
        <f aca="false">IF(TRIM(B763)="","",UPPER(TRIM(B763)))</f>
        <v/>
      </c>
      <c r="J763" s="17" t="str">
        <f aca="false">IF(H763="","",IF(COUNTIF('Master Stock'!$A$5:$A$206,H763)&gt;0,"Yes","Not on stock sheet"))</f>
        <v/>
      </c>
    </row>
    <row r="764" customFormat="false" ht="14.25" hidden="false" customHeight="true" outlineLevel="0" collapsed="false">
      <c r="E764" s="17"/>
      <c r="H764" s="17" t="str">
        <f aca="false">IF(TRIM(C764)="","",IFERROR(INDEX('Code Aliases'!$B:$B,MATCH(TRIM(C764),'Code Aliases'!$A:$A,0)),TRIM(C764)))</f>
        <v/>
      </c>
      <c r="I764" s="17" t="str">
        <f aca="false">IF(TRIM(B764)="","",UPPER(TRIM(B764)))</f>
        <v/>
      </c>
      <c r="J764" s="17" t="str">
        <f aca="false">IF(H764="","",IF(COUNTIF('Master Stock'!$A$5:$A$206,H764)&gt;0,"Yes","Not on stock sheet"))</f>
        <v/>
      </c>
    </row>
    <row r="765" customFormat="false" ht="14.25" hidden="false" customHeight="true" outlineLevel="0" collapsed="false">
      <c r="E765" s="17"/>
      <c r="H765" s="17" t="str">
        <f aca="false">IF(TRIM(C765)="","",IFERROR(INDEX('Code Aliases'!$B:$B,MATCH(TRIM(C765),'Code Aliases'!$A:$A,0)),TRIM(C765)))</f>
        <v/>
      </c>
      <c r="I765" s="17" t="str">
        <f aca="false">IF(TRIM(B765)="","",UPPER(TRIM(B765)))</f>
        <v/>
      </c>
      <c r="J765" s="17" t="str">
        <f aca="false">IF(H765="","",IF(COUNTIF('Master Stock'!$A$5:$A$206,H765)&gt;0,"Yes","Not on stock sheet"))</f>
        <v/>
      </c>
    </row>
    <row r="766" customFormat="false" ht="14.25" hidden="false" customHeight="true" outlineLevel="0" collapsed="false">
      <c r="E766" s="17"/>
      <c r="H766" s="17" t="str">
        <f aca="false">IF(TRIM(C766)="","",IFERROR(INDEX('Code Aliases'!$B:$B,MATCH(TRIM(C766),'Code Aliases'!$A:$A,0)),TRIM(C766)))</f>
        <v/>
      </c>
      <c r="I766" s="17" t="str">
        <f aca="false">IF(TRIM(B766)="","",UPPER(TRIM(B766)))</f>
        <v/>
      </c>
      <c r="J766" s="17" t="str">
        <f aca="false">IF(H766="","",IF(COUNTIF('Master Stock'!$A$5:$A$206,H766)&gt;0,"Yes","Not on stock sheet"))</f>
        <v/>
      </c>
    </row>
    <row r="767" customFormat="false" ht="14.25" hidden="false" customHeight="true" outlineLevel="0" collapsed="false">
      <c r="E767" s="17"/>
      <c r="H767" s="17" t="str">
        <f aca="false">IF(TRIM(C767)="","",IFERROR(INDEX('Code Aliases'!$B:$B,MATCH(TRIM(C767),'Code Aliases'!$A:$A,0)),TRIM(C767)))</f>
        <v/>
      </c>
      <c r="I767" s="17" t="str">
        <f aca="false">IF(TRIM(B767)="","",UPPER(TRIM(B767)))</f>
        <v/>
      </c>
      <c r="J767" s="17" t="str">
        <f aca="false">IF(H767="","",IF(COUNTIF('Master Stock'!$A$5:$A$206,H767)&gt;0,"Yes","Not on stock sheet"))</f>
        <v/>
      </c>
    </row>
    <row r="768" customFormat="false" ht="14.25" hidden="false" customHeight="true" outlineLevel="0" collapsed="false">
      <c r="E768" s="17"/>
      <c r="H768" s="17" t="str">
        <f aca="false">IF(TRIM(C768)="","",IFERROR(INDEX('Code Aliases'!$B:$B,MATCH(TRIM(C768),'Code Aliases'!$A:$A,0)),TRIM(C768)))</f>
        <v/>
      </c>
      <c r="I768" s="17" t="str">
        <f aca="false">IF(TRIM(B768)="","",UPPER(TRIM(B768)))</f>
        <v/>
      </c>
      <c r="J768" s="17" t="str">
        <f aca="false">IF(H768="","",IF(COUNTIF('Master Stock'!$A$5:$A$206,H768)&gt;0,"Yes","Not on stock sheet"))</f>
        <v/>
      </c>
    </row>
    <row r="769" customFormat="false" ht="14.25" hidden="false" customHeight="true" outlineLevel="0" collapsed="false">
      <c r="E769" s="17"/>
      <c r="H769" s="17" t="str">
        <f aca="false">IF(TRIM(C769)="","",IFERROR(INDEX('Code Aliases'!$B:$B,MATCH(TRIM(C769),'Code Aliases'!$A:$A,0)),TRIM(C769)))</f>
        <v/>
      </c>
      <c r="I769" s="17" t="str">
        <f aca="false">IF(TRIM(B769)="","",UPPER(TRIM(B769)))</f>
        <v/>
      </c>
      <c r="J769" s="17" t="str">
        <f aca="false">IF(H769="","",IF(COUNTIF('Master Stock'!$A$5:$A$206,H769)&gt;0,"Yes","Not on stock sheet"))</f>
        <v/>
      </c>
    </row>
    <row r="770" customFormat="false" ht="14.25" hidden="false" customHeight="true" outlineLevel="0" collapsed="false">
      <c r="E770" s="17"/>
      <c r="H770" s="17" t="str">
        <f aca="false">IF(TRIM(C770)="","",IFERROR(INDEX('Code Aliases'!$B:$B,MATCH(TRIM(C770),'Code Aliases'!$A:$A,0)),TRIM(C770)))</f>
        <v/>
      </c>
      <c r="I770" s="17" t="str">
        <f aca="false">IF(TRIM(B770)="","",UPPER(TRIM(B770)))</f>
        <v/>
      </c>
      <c r="J770" s="17" t="str">
        <f aca="false">IF(H770="","",IF(COUNTIF('Master Stock'!$A$5:$A$206,H770)&gt;0,"Yes","Not on stock sheet"))</f>
        <v/>
      </c>
    </row>
    <row r="771" customFormat="false" ht="14.25" hidden="false" customHeight="true" outlineLevel="0" collapsed="false">
      <c r="E771" s="17"/>
      <c r="H771" s="17" t="str">
        <f aca="false">IF(TRIM(C771)="","",IFERROR(INDEX('Code Aliases'!$B:$B,MATCH(TRIM(C771),'Code Aliases'!$A:$A,0)),TRIM(C771)))</f>
        <v/>
      </c>
      <c r="I771" s="17" t="str">
        <f aca="false">IF(TRIM(B771)="","",UPPER(TRIM(B771)))</f>
        <v/>
      </c>
      <c r="J771" s="17" t="str">
        <f aca="false">IF(H771="","",IF(COUNTIF('Master Stock'!$A$5:$A$206,H771)&gt;0,"Yes","Not on stock sheet"))</f>
        <v/>
      </c>
    </row>
    <row r="772" customFormat="false" ht="14.25" hidden="false" customHeight="true" outlineLevel="0" collapsed="false">
      <c r="E772" s="17"/>
      <c r="H772" s="17" t="str">
        <f aca="false">IF(TRIM(C772)="","",IFERROR(INDEX('Code Aliases'!$B:$B,MATCH(TRIM(C772),'Code Aliases'!$A:$A,0)),TRIM(C772)))</f>
        <v/>
      </c>
      <c r="I772" s="17" t="str">
        <f aca="false">IF(TRIM(B772)="","",UPPER(TRIM(B772)))</f>
        <v/>
      </c>
      <c r="J772" s="17" t="str">
        <f aca="false">IF(H772="","",IF(COUNTIF('Master Stock'!$A$5:$A$206,H772)&gt;0,"Yes","Not on stock sheet"))</f>
        <v/>
      </c>
    </row>
    <row r="773" customFormat="false" ht="14.25" hidden="false" customHeight="true" outlineLevel="0" collapsed="false">
      <c r="E773" s="17"/>
      <c r="H773" s="17" t="str">
        <f aca="false">IF(TRIM(C773)="","",IFERROR(INDEX('Code Aliases'!$B:$B,MATCH(TRIM(C773),'Code Aliases'!$A:$A,0)),TRIM(C773)))</f>
        <v/>
      </c>
      <c r="I773" s="17" t="str">
        <f aca="false">IF(TRIM(B773)="","",UPPER(TRIM(B773)))</f>
        <v/>
      </c>
      <c r="J773" s="17" t="str">
        <f aca="false">IF(H773="","",IF(COUNTIF('Master Stock'!$A$5:$A$206,H773)&gt;0,"Yes","Not on stock sheet"))</f>
        <v/>
      </c>
    </row>
    <row r="774" customFormat="false" ht="14.25" hidden="false" customHeight="true" outlineLevel="0" collapsed="false">
      <c r="E774" s="17"/>
      <c r="H774" s="17" t="str">
        <f aca="false">IF(TRIM(C774)="","",IFERROR(INDEX('Code Aliases'!$B:$B,MATCH(TRIM(C774),'Code Aliases'!$A:$A,0)),TRIM(C774)))</f>
        <v/>
      </c>
      <c r="I774" s="17" t="str">
        <f aca="false">IF(TRIM(B774)="","",UPPER(TRIM(B774)))</f>
        <v/>
      </c>
      <c r="J774" s="17" t="str">
        <f aca="false">IF(H774="","",IF(COUNTIF('Master Stock'!$A$5:$A$206,H774)&gt;0,"Yes","Not on stock sheet"))</f>
        <v/>
      </c>
    </row>
    <row r="775" customFormat="false" ht="14.25" hidden="false" customHeight="true" outlineLevel="0" collapsed="false">
      <c r="E775" s="17"/>
      <c r="H775" s="17" t="str">
        <f aca="false">IF(TRIM(C775)="","",IFERROR(INDEX('Code Aliases'!$B:$B,MATCH(TRIM(C775),'Code Aliases'!$A:$A,0)),TRIM(C775)))</f>
        <v/>
      </c>
      <c r="I775" s="17" t="str">
        <f aca="false">IF(TRIM(B775)="","",UPPER(TRIM(B775)))</f>
        <v/>
      </c>
      <c r="J775" s="17" t="str">
        <f aca="false">IF(H775="","",IF(COUNTIF('Master Stock'!$A$5:$A$206,H775)&gt;0,"Yes","Not on stock sheet"))</f>
        <v/>
      </c>
    </row>
    <row r="776" customFormat="false" ht="14.25" hidden="false" customHeight="true" outlineLevel="0" collapsed="false">
      <c r="E776" s="17"/>
      <c r="H776" s="17" t="str">
        <f aca="false">IF(TRIM(C776)="","",IFERROR(INDEX('Code Aliases'!$B:$B,MATCH(TRIM(C776),'Code Aliases'!$A:$A,0)),TRIM(C776)))</f>
        <v/>
      </c>
      <c r="I776" s="17" t="str">
        <f aca="false">IF(TRIM(B776)="","",UPPER(TRIM(B776)))</f>
        <v/>
      </c>
      <c r="J776" s="17" t="str">
        <f aca="false">IF(H776="","",IF(COUNTIF('Master Stock'!$A$5:$A$206,H776)&gt;0,"Yes","Not on stock sheet"))</f>
        <v/>
      </c>
    </row>
    <row r="777" customFormat="false" ht="14.25" hidden="false" customHeight="true" outlineLevel="0" collapsed="false">
      <c r="E777" s="17"/>
      <c r="H777" s="17" t="str">
        <f aca="false">IF(TRIM(C777)="","",IFERROR(INDEX('Code Aliases'!$B:$B,MATCH(TRIM(C777),'Code Aliases'!$A:$A,0)),TRIM(C777)))</f>
        <v/>
      </c>
      <c r="I777" s="17" t="str">
        <f aca="false">IF(TRIM(B777)="","",UPPER(TRIM(B777)))</f>
        <v/>
      </c>
      <c r="J777" s="17" t="str">
        <f aca="false">IF(H777="","",IF(COUNTIF('Master Stock'!$A$5:$A$206,H777)&gt;0,"Yes","Not on stock sheet"))</f>
        <v/>
      </c>
    </row>
    <row r="778" customFormat="false" ht="14.25" hidden="false" customHeight="true" outlineLevel="0" collapsed="false">
      <c r="E778" s="17"/>
      <c r="H778" s="17" t="str">
        <f aca="false">IF(TRIM(C778)="","",IFERROR(INDEX('Code Aliases'!$B:$B,MATCH(TRIM(C778),'Code Aliases'!$A:$A,0)),TRIM(C778)))</f>
        <v/>
      </c>
      <c r="I778" s="17" t="str">
        <f aca="false">IF(TRIM(B778)="","",UPPER(TRIM(B778)))</f>
        <v/>
      </c>
      <c r="J778" s="17" t="str">
        <f aca="false">IF(H778="","",IF(COUNTIF('Master Stock'!$A$5:$A$206,H778)&gt;0,"Yes","Not on stock sheet"))</f>
        <v/>
      </c>
    </row>
    <row r="779" customFormat="false" ht="14.25" hidden="false" customHeight="true" outlineLevel="0" collapsed="false">
      <c r="E779" s="17"/>
      <c r="H779" s="17" t="str">
        <f aca="false">IF(TRIM(C779)="","",IFERROR(INDEX('Code Aliases'!$B:$B,MATCH(TRIM(C779),'Code Aliases'!$A:$A,0)),TRIM(C779)))</f>
        <v/>
      </c>
      <c r="I779" s="17" t="str">
        <f aca="false">IF(TRIM(B779)="","",UPPER(TRIM(B779)))</f>
        <v/>
      </c>
      <c r="J779" s="17" t="str">
        <f aca="false">IF(H779="","",IF(COUNTIF('Master Stock'!$A$5:$A$206,H779)&gt;0,"Yes","Not on stock sheet"))</f>
        <v/>
      </c>
    </row>
    <row r="780" customFormat="false" ht="14.25" hidden="false" customHeight="true" outlineLevel="0" collapsed="false">
      <c r="E780" s="17"/>
      <c r="H780" s="17" t="str">
        <f aca="false">IF(TRIM(C780)="","",IFERROR(INDEX('Code Aliases'!$B:$B,MATCH(TRIM(C780),'Code Aliases'!$A:$A,0)),TRIM(C780)))</f>
        <v/>
      </c>
      <c r="I780" s="17" t="str">
        <f aca="false">IF(TRIM(B780)="","",UPPER(TRIM(B780)))</f>
        <v/>
      </c>
      <c r="J780" s="17" t="str">
        <f aca="false">IF(H780="","",IF(COUNTIF('Master Stock'!$A$5:$A$206,H780)&gt;0,"Yes","Not on stock sheet"))</f>
        <v/>
      </c>
    </row>
    <row r="781" customFormat="false" ht="14.25" hidden="false" customHeight="true" outlineLevel="0" collapsed="false">
      <c r="E781" s="17"/>
      <c r="H781" s="17" t="str">
        <f aca="false">IF(TRIM(C781)="","",IFERROR(INDEX('Code Aliases'!$B:$B,MATCH(TRIM(C781),'Code Aliases'!$A:$A,0)),TRIM(C781)))</f>
        <v/>
      </c>
      <c r="I781" s="17" t="str">
        <f aca="false">IF(TRIM(B781)="","",UPPER(TRIM(B781)))</f>
        <v/>
      </c>
      <c r="J781" s="17" t="str">
        <f aca="false">IF(H781="","",IF(COUNTIF('Master Stock'!$A$5:$A$206,H781)&gt;0,"Yes","Not on stock sheet"))</f>
        <v/>
      </c>
    </row>
    <row r="782" customFormat="false" ht="14.25" hidden="false" customHeight="true" outlineLevel="0" collapsed="false">
      <c r="E782" s="17"/>
      <c r="H782" s="17" t="str">
        <f aca="false">IF(TRIM(C782)="","",IFERROR(INDEX('Code Aliases'!$B:$B,MATCH(TRIM(C782),'Code Aliases'!$A:$A,0)),TRIM(C782)))</f>
        <v/>
      </c>
      <c r="I782" s="17" t="str">
        <f aca="false">IF(TRIM(B782)="","",UPPER(TRIM(B782)))</f>
        <v/>
      </c>
      <c r="J782" s="17" t="str">
        <f aca="false">IF(H782="","",IF(COUNTIF('Master Stock'!$A$5:$A$206,H782)&gt;0,"Yes","Not on stock sheet"))</f>
        <v/>
      </c>
    </row>
    <row r="783" customFormat="false" ht="14.25" hidden="false" customHeight="true" outlineLevel="0" collapsed="false">
      <c r="E783" s="17"/>
      <c r="H783" s="17" t="str">
        <f aca="false">IF(TRIM(C783)="","",IFERROR(INDEX('Code Aliases'!$B:$B,MATCH(TRIM(C783),'Code Aliases'!$A:$A,0)),TRIM(C783)))</f>
        <v/>
      </c>
      <c r="I783" s="17" t="str">
        <f aca="false">IF(TRIM(B783)="","",UPPER(TRIM(B783)))</f>
        <v/>
      </c>
      <c r="J783" s="17" t="str">
        <f aca="false">IF(H783="","",IF(COUNTIF('Master Stock'!$A$5:$A$206,H783)&gt;0,"Yes","Not on stock sheet"))</f>
        <v/>
      </c>
    </row>
    <row r="784" customFormat="false" ht="14.25" hidden="false" customHeight="true" outlineLevel="0" collapsed="false">
      <c r="E784" s="17"/>
      <c r="H784" s="17" t="str">
        <f aca="false">IF(TRIM(C784)="","",IFERROR(INDEX('Code Aliases'!$B:$B,MATCH(TRIM(C784),'Code Aliases'!$A:$A,0)),TRIM(C784)))</f>
        <v/>
      </c>
      <c r="I784" s="17" t="str">
        <f aca="false">IF(TRIM(B784)="","",UPPER(TRIM(B784)))</f>
        <v/>
      </c>
      <c r="J784" s="17" t="str">
        <f aca="false">IF(H784="","",IF(COUNTIF('Master Stock'!$A$5:$A$206,H784)&gt;0,"Yes","Not on stock sheet"))</f>
        <v/>
      </c>
    </row>
    <row r="785" customFormat="false" ht="14.25" hidden="false" customHeight="true" outlineLevel="0" collapsed="false">
      <c r="E785" s="17"/>
      <c r="H785" s="17" t="str">
        <f aca="false">IF(TRIM(C785)="","",IFERROR(INDEX('Code Aliases'!$B:$B,MATCH(TRIM(C785),'Code Aliases'!$A:$A,0)),TRIM(C785)))</f>
        <v/>
      </c>
      <c r="I785" s="17" t="str">
        <f aca="false">IF(TRIM(B785)="","",UPPER(TRIM(B785)))</f>
        <v/>
      </c>
      <c r="J785" s="17" t="str">
        <f aca="false">IF(H785="","",IF(COUNTIF('Master Stock'!$A$5:$A$206,H785)&gt;0,"Yes","Not on stock sheet"))</f>
        <v/>
      </c>
    </row>
    <row r="786" customFormat="false" ht="14.25" hidden="false" customHeight="true" outlineLevel="0" collapsed="false">
      <c r="E786" s="17"/>
      <c r="H786" s="17" t="str">
        <f aca="false">IF(TRIM(C786)="","",IFERROR(INDEX('Code Aliases'!$B:$B,MATCH(TRIM(C786),'Code Aliases'!$A:$A,0)),TRIM(C786)))</f>
        <v/>
      </c>
      <c r="I786" s="17" t="str">
        <f aca="false">IF(TRIM(B786)="","",UPPER(TRIM(B786)))</f>
        <v/>
      </c>
      <c r="J786" s="17" t="str">
        <f aca="false">IF(H786="","",IF(COUNTIF('Master Stock'!$A$5:$A$206,H786)&gt;0,"Yes","Not on stock sheet"))</f>
        <v/>
      </c>
    </row>
    <row r="787" customFormat="false" ht="14.25" hidden="false" customHeight="true" outlineLevel="0" collapsed="false">
      <c r="E787" s="17"/>
      <c r="H787" s="17" t="str">
        <f aca="false">IF(TRIM(C787)="","",IFERROR(INDEX('Code Aliases'!$B:$B,MATCH(TRIM(C787),'Code Aliases'!$A:$A,0)),TRIM(C787)))</f>
        <v/>
      </c>
      <c r="I787" s="17" t="str">
        <f aca="false">IF(TRIM(B787)="","",UPPER(TRIM(B787)))</f>
        <v/>
      </c>
      <c r="J787" s="17" t="str">
        <f aca="false">IF(H787="","",IF(COUNTIF('Master Stock'!$A$5:$A$206,H787)&gt;0,"Yes","Not on stock sheet"))</f>
        <v/>
      </c>
    </row>
    <row r="788" customFormat="false" ht="14.25" hidden="false" customHeight="true" outlineLevel="0" collapsed="false">
      <c r="E788" s="17"/>
      <c r="H788" s="17" t="str">
        <f aca="false">IF(TRIM(C788)="","",IFERROR(INDEX('Code Aliases'!$B:$B,MATCH(TRIM(C788),'Code Aliases'!$A:$A,0)),TRIM(C788)))</f>
        <v/>
      </c>
      <c r="I788" s="17" t="str">
        <f aca="false">IF(TRIM(B788)="","",UPPER(TRIM(B788)))</f>
        <v/>
      </c>
      <c r="J788" s="17" t="str">
        <f aca="false">IF(H788="","",IF(COUNTIF('Master Stock'!$A$5:$A$206,H788)&gt;0,"Yes","Not on stock sheet"))</f>
        <v/>
      </c>
    </row>
    <row r="789" customFormat="false" ht="14.25" hidden="false" customHeight="true" outlineLevel="0" collapsed="false">
      <c r="E789" s="17"/>
      <c r="H789" s="17" t="str">
        <f aca="false">IF(TRIM(C789)="","",IFERROR(INDEX('Code Aliases'!$B:$B,MATCH(TRIM(C789),'Code Aliases'!$A:$A,0)),TRIM(C789)))</f>
        <v/>
      </c>
      <c r="I789" s="17" t="str">
        <f aca="false">IF(TRIM(B789)="","",UPPER(TRIM(B789)))</f>
        <v/>
      </c>
      <c r="J789" s="17" t="str">
        <f aca="false">IF(H789="","",IF(COUNTIF('Master Stock'!$A$5:$A$206,H789)&gt;0,"Yes","Not on stock sheet"))</f>
        <v/>
      </c>
    </row>
    <row r="790" customFormat="false" ht="14.25" hidden="false" customHeight="true" outlineLevel="0" collapsed="false">
      <c r="E790" s="17"/>
      <c r="H790" s="17" t="str">
        <f aca="false">IF(TRIM(C790)="","",IFERROR(INDEX('Code Aliases'!$B:$B,MATCH(TRIM(C790),'Code Aliases'!$A:$A,0)),TRIM(C790)))</f>
        <v/>
      </c>
      <c r="I790" s="17" t="str">
        <f aca="false">IF(TRIM(B790)="","",UPPER(TRIM(B790)))</f>
        <v/>
      </c>
      <c r="J790" s="17" t="str">
        <f aca="false">IF(H790="","",IF(COUNTIF('Master Stock'!$A$5:$A$206,H790)&gt;0,"Yes","Not on stock sheet"))</f>
        <v/>
      </c>
    </row>
    <row r="791" customFormat="false" ht="14.25" hidden="false" customHeight="true" outlineLevel="0" collapsed="false">
      <c r="E791" s="17"/>
      <c r="H791" s="17" t="str">
        <f aca="false">IF(TRIM(C791)="","",IFERROR(INDEX('Code Aliases'!$B:$B,MATCH(TRIM(C791),'Code Aliases'!$A:$A,0)),TRIM(C791)))</f>
        <v/>
      </c>
      <c r="I791" s="17" t="str">
        <f aca="false">IF(TRIM(B791)="","",UPPER(TRIM(B791)))</f>
        <v/>
      </c>
      <c r="J791" s="17" t="str">
        <f aca="false">IF(H791="","",IF(COUNTIF('Master Stock'!$A$5:$A$206,H791)&gt;0,"Yes","Not on stock sheet"))</f>
        <v/>
      </c>
    </row>
    <row r="792" customFormat="false" ht="14.25" hidden="false" customHeight="true" outlineLevel="0" collapsed="false">
      <c r="E792" s="17"/>
      <c r="H792" s="17" t="str">
        <f aca="false">IF(TRIM(C792)="","",IFERROR(INDEX('Code Aliases'!$B:$B,MATCH(TRIM(C792),'Code Aliases'!$A:$A,0)),TRIM(C792)))</f>
        <v/>
      </c>
      <c r="I792" s="17" t="str">
        <f aca="false">IF(TRIM(B792)="","",UPPER(TRIM(B792)))</f>
        <v/>
      </c>
      <c r="J792" s="17" t="str">
        <f aca="false">IF(H792="","",IF(COUNTIF('Master Stock'!$A$5:$A$206,H792)&gt;0,"Yes","Not on stock sheet"))</f>
        <v/>
      </c>
    </row>
    <row r="793" customFormat="false" ht="14.25" hidden="false" customHeight="true" outlineLevel="0" collapsed="false">
      <c r="E793" s="17"/>
      <c r="H793" s="17" t="str">
        <f aca="false">IF(TRIM(C793)="","",IFERROR(INDEX('Code Aliases'!$B:$B,MATCH(TRIM(C793),'Code Aliases'!$A:$A,0)),TRIM(C793)))</f>
        <v/>
      </c>
      <c r="I793" s="17" t="str">
        <f aca="false">IF(TRIM(B793)="","",UPPER(TRIM(B793)))</f>
        <v/>
      </c>
      <c r="J793" s="17" t="str">
        <f aca="false">IF(H793="","",IF(COUNTIF('Master Stock'!$A$5:$A$206,H793)&gt;0,"Yes","Not on stock sheet"))</f>
        <v/>
      </c>
    </row>
    <row r="794" customFormat="false" ht="14.25" hidden="false" customHeight="true" outlineLevel="0" collapsed="false">
      <c r="E794" s="17"/>
      <c r="H794" s="17" t="str">
        <f aca="false">IF(TRIM(C794)="","",IFERROR(INDEX('Code Aliases'!$B:$B,MATCH(TRIM(C794),'Code Aliases'!$A:$A,0)),TRIM(C794)))</f>
        <v/>
      </c>
      <c r="I794" s="17" t="str">
        <f aca="false">IF(TRIM(B794)="","",UPPER(TRIM(B794)))</f>
        <v/>
      </c>
      <c r="J794" s="17" t="str">
        <f aca="false">IF(H794="","",IF(COUNTIF('Master Stock'!$A$5:$A$206,H794)&gt;0,"Yes","Not on stock sheet"))</f>
        <v/>
      </c>
    </row>
    <row r="795" customFormat="false" ht="14.25" hidden="false" customHeight="true" outlineLevel="0" collapsed="false">
      <c r="E795" s="17"/>
      <c r="H795" s="17" t="str">
        <f aca="false">IF(TRIM(C795)="","",IFERROR(INDEX('Code Aliases'!$B:$B,MATCH(TRIM(C795),'Code Aliases'!$A:$A,0)),TRIM(C795)))</f>
        <v/>
      </c>
      <c r="I795" s="17" t="str">
        <f aca="false">IF(TRIM(B795)="","",UPPER(TRIM(B795)))</f>
        <v/>
      </c>
      <c r="J795" s="17" t="str">
        <f aca="false">IF(H795="","",IF(COUNTIF('Master Stock'!$A$5:$A$206,H795)&gt;0,"Yes","Not on stock sheet"))</f>
        <v/>
      </c>
    </row>
    <row r="796" customFormat="false" ht="14.25" hidden="false" customHeight="true" outlineLevel="0" collapsed="false">
      <c r="E796" s="17"/>
      <c r="H796" s="17" t="str">
        <f aca="false">IF(TRIM(C796)="","",IFERROR(INDEX('Code Aliases'!$B:$B,MATCH(TRIM(C796),'Code Aliases'!$A:$A,0)),TRIM(C796)))</f>
        <v/>
      </c>
      <c r="I796" s="17" t="str">
        <f aca="false">IF(TRIM(B796)="","",UPPER(TRIM(B796)))</f>
        <v/>
      </c>
      <c r="J796" s="17" t="str">
        <f aca="false">IF(H796="","",IF(COUNTIF('Master Stock'!$A$5:$A$206,H796)&gt;0,"Yes","Not on stock sheet"))</f>
        <v/>
      </c>
    </row>
    <row r="797" customFormat="false" ht="14.25" hidden="false" customHeight="true" outlineLevel="0" collapsed="false">
      <c r="E797" s="17"/>
      <c r="H797" s="17" t="str">
        <f aca="false">IF(TRIM(C797)="","",IFERROR(INDEX('Code Aliases'!$B:$B,MATCH(TRIM(C797),'Code Aliases'!$A:$A,0)),TRIM(C797)))</f>
        <v/>
      </c>
      <c r="I797" s="17" t="str">
        <f aca="false">IF(TRIM(B797)="","",UPPER(TRIM(B797)))</f>
        <v/>
      </c>
      <c r="J797" s="17" t="str">
        <f aca="false">IF(H797="","",IF(COUNTIF('Master Stock'!$A$5:$A$206,H797)&gt;0,"Yes","Not on stock sheet"))</f>
        <v/>
      </c>
    </row>
    <row r="798" customFormat="false" ht="14.25" hidden="false" customHeight="true" outlineLevel="0" collapsed="false">
      <c r="E798" s="17"/>
      <c r="H798" s="17" t="str">
        <f aca="false">IF(TRIM(C798)="","",IFERROR(INDEX('Code Aliases'!$B:$B,MATCH(TRIM(C798),'Code Aliases'!$A:$A,0)),TRIM(C798)))</f>
        <v/>
      </c>
      <c r="I798" s="17" t="str">
        <f aca="false">IF(TRIM(B798)="","",UPPER(TRIM(B798)))</f>
        <v/>
      </c>
      <c r="J798" s="17" t="str">
        <f aca="false">IF(H798="","",IF(COUNTIF('Master Stock'!$A$5:$A$206,H798)&gt;0,"Yes","Not on stock sheet"))</f>
        <v/>
      </c>
    </row>
    <row r="799" customFormat="false" ht="14.25" hidden="false" customHeight="true" outlineLevel="0" collapsed="false">
      <c r="E799" s="17"/>
      <c r="H799" s="17" t="str">
        <f aca="false">IF(TRIM(C799)="","",IFERROR(INDEX('Code Aliases'!$B:$B,MATCH(TRIM(C799),'Code Aliases'!$A:$A,0)),TRIM(C799)))</f>
        <v/>
      </c>
      <c r="I799" s="17" t="str">
        <f aca="false">IF(TRIM(B799)="","",UPPER(TRIM(B799)))</f>
        <v/>
      </c>
      <c r="J799" s="17" t="str">
        <f aca="false">IF(H799="","",IF(COUNTIF('Master Stock'!$A$5:$A$206,H799)&gt;0,"Yes","Not on stock sheet"))</f>
        <v/>
      </c>
    </row>
    <row r="800" customFormat="false" ht="14.25" hidden="false" customHeight="true" outlineLevel="0" collapsed="false">
      <c r="E800" s="17"/>
      <c r="H800" s="17" t="str">
        <f aca="false">IF(TRIM(C800)="","",IFERROR(INDEX('Code Aliases'!$B:$B,MATCH(TRIM(C800),'Code Aliases'!$A:$A,0)),TRIM(C800)))</f>
        <v/>
      </c>
      <c r="I800" s="17" t="str">
        <f aca="false">IF(TRIM(B800)="","",UPPER(TRIM(B800)))</f>
        <v/>
      </c>
      <c r="J800" s="17" t="str">
        <f aca="false">IF(H800="","",IF(COUNTIF('Master Stock'!$A$5:$A$206,H800)&gt;0,"Yes","Not on stock sheet"))</f>
        <v/>
      </c>
    </row>
    <row r="801" customFormat="false" ht="14.25" hidden="false" customHeight="true" outlineLevel="0" collapsed="false">
      <c r="E801" s="17"/>
      <c r="H801" s="17" t="str">
        <f aca="false">IF(TRIM(C801)="","",IFERROR(INDEX('Code Aliases'!$B:$B,MATCH(TRIM(C801),'Code Aliases'!$A:$A,0)),TRIM(C801)))</f>
        <v/>
      </c>
      <c r="I801" s="17" t="str">
        <f aca="false">IF(TRIM(B801)="","",UPPER(TRIM(B801)))</f>
        <v/>
      </c>
      <c r="J801" s="17" t="str">
        <f aca="false">IF(H801="","",IF(COUNTIF('Master Stock'!$A$5:$A$206,H801)&gt;0,"Yes","Not on stock sheet"))</f>
        <v/>
      </c>
    </row>
    <row r="802" customFormat="false" ht="14.25" hidden="false" customHeight="true" outlineLevel="0" collapsed="false">
      <c r="E802" s="17"/>
      <c r="H802" s="17" t="str">
        <f aca="false">IF(TRIM(C802)="","",IFERROR(INDEX('Code Aliases'!$B:$B,MATCH(TRIM(C802),'Code Aliases'!$A:$A,0)),TRIM(C802)))</f>
        <v/>
      </c>
      <c r="I802" s="17" t="str">
        <f aca="false">IF(TRIM(B802)="","",UPPER(TRIM(B802)))</f>
        <v/>
      </c>
      <c r="J802" s="17" t="str">
        <f aca="false">IF(H802="","",IF(COUNTIF('Master Stock'!$A$5:$A$206,H802)&gt;0,"Yes","Not on stock sheet"))</f>
        <v/>
      </c>
    </row>
    <row r="803" customFormat="false" ht="14.25" hidden="false" customHeight="true" outlineLevel="0" collapsed="false">
      <c r="E803" s="17"/>
      <c r="H803" s="17" t="str">
        <f aca="false">IF(TRIM(C803)="","",IFERROR(INDEX('Code Aliases'!$B:$B,MATCH(TRIM(C803),'Code Aliases'!$A:$A,0)),TRIM(C803)))</f>
        <v/>
      </c>
      <c r="I803" s="17" t="str">
        <f aca="false">IF(TRIM(B803)="","",UPPER(TRIM(B803)))</f>
        <v/>
      </c>
      <c r="J803" s="17" t="str">
        <f aca="false">IF(H803="","",IF(COUNTIF('Master Stock'!$A$5:$A$206,H803)&gt;0,"Yes","Not on stock sheet"))</f>
        <v/>
      </c>
    </row>
    <row r="804" customFormat="false" ht="14.25" hidden="false" customHeight="true" outlineLevel="0" collapsed="false">
      <c r="E804" s="17"/>
      <c r="H804" s="17" t="str">
        <f aca="false">IF(TRIM(C804)="","",IFERROR(INDEX('Code Aliases'!$B:$B,MATCH(TRIM(C804),'Code Aliases'!$A:$A,0)),TRIM(C804)))</f>
        <v/>
      </c>
      <c r="I804" s="17" t="str">
        <f aca="false">IF(TRIM(B804)="","",UPPER(TRIM(B804)))</f>
        <v/>
      </c>
      <c r="J804" s="17" t="str">
        <f aca="false">IF(H804="","",IF(COUNTIF('Master Stock'!$A$5:$A$206,H804)&gt;0,"Yes","Not on stock sheet"))</f>
        <v/>
      </c>
    </row>
    <row r="805" customFormat="false" ht="14.25" hidden="false" customHeight="true" outlineLevel="0" collapsed="false">
      <c r="E805" s="17"/>
      <c r="H805" s="17" t="str">
        <f aca="false">IF(TRIM(C805)="","",IFERROR(INDEX('Code Aliases'!$B:$B,MATCH(TRIM(C805),'Code Aliases'!$A:$A,0)),TRIM(C805)))</f>
        <v/>
      </c>
      <c r="I805" s="17" t="str">
        <f aca="false">IF(TRIM(B805)="","",UPPER(TRIM(B805)))</f>
        <v/>
      </c>
      <c r="J805" s="17" t="str">
        <f aca="false">IF(H805="","",IF(COUNTIF('Master Stock'!$A$5:$A$206,H805)&gt;0,"Yes","Not on stock sheet"))</f>
        <v/>
      </c>
    </row>
    <row r="806" customFormat="false" ht="14.25" hidden="false" customHeight="true" outlineLevel="0" collapsed="false">
      <c r="E806" s="17"/>
      <c r="H806" s="17" t="str">
        <f aca="false">IF(TRIM(C806)="","",IFERROR(INDEX('Code Aliases'!$B:$B,MATCH(TRIM(C806),'Code Aliases'!$A:$A,0)),TRIM(C806)))</f>
        <v/>
      </c>
      <c r="I806" s="17" t="str">
        <f aca="false">IF(TRIM(B806)="","",UPPER(TRIM(B806)))</f>
        <v/>
      </c>
      <c r="J806" s="17" t="str">
        <f aca="false">IF(H806="","",IF(COUNTIF('Master Stock'!$A$5:$A$206,H806)&gt;0,"Yes","Not on stock sheet"))</f>
        <v/>
      </c>
    </row>
    <row r="807" customFormat="false" ht="14.25" hidden="false" customHeight="true" outlineLevel="0" collapsed="false">
      <c r="E807" s="17"/>
      <c r="H807" s="17" t="str">
        <f aca="false">IF(TRIM(C807)="","",IFERROR(INDEX('Code Aliases'!$B:$B,MATCH(TRIM(C807),'Code Aliases'!$A:$A,0)),TRIM(C807)))</f>
        <v/>
      </c>
      <c r="I807" s="17" t="str">
        <f aca="false">IF(TRIM(B807)="","",UPPER(TRIM(B807)))</f>
        <v/>
      </c>
      <c r="J807" s="17" t="str">
        <f aca="false">IF(H807="","",IF(COUNTIF('Master Stock'!$A$5:$A$206,H807)&gt;0,"Yes","Not on stock sheet"))</f>
        <v/>
      </c>
    </row>
    <row r="808" customFormat="false" ht="14.25" hidden="false" customHeight="true" outlineLevel="0" collapsed="false">
      <c r="E808" s="17"/>
      <c r="H808" s="17" t="str">
        <f aca="false">IF(TRIM(C808)="","",IFERROR(INDEX('Code Aliases'!$B:$B,MATCH(TRIM(C808),'Code Aliases'!$A:$A,0)),TRIM(C808)))</f>
        <v/>
      </c>
      <c r="I808" s="17" t="str">
        <f aca="false">IF(TRIM(B808)="","",UPPER(TRIM(B808)))</f>
        <v/>
      </c>
      <c r="J808" s="17" t="str">
        <f aca="false">IF(H808="","",IF(COUNTIF('Master Stock'!$A$5:$A$206,H808)&gt;0,"Yes","Not on stock sheet"))</f>
        <v/>
      </c>
    </row>
    <row r="809" customFormat="false" ht="14.25" hidden="false" customHeight="true" outlineLevel="0" collapsed="false">
      <c r="E809" s="17"/>
      <c r="H809" s="17" t="str">
        <f aca="false">IF(TRIM(C809)="","",IFERROR(INDEX('Code Aliases'!$B:$B,MATCH(TRIM(C809),'Code Aliases'!$A:$A,0)),TRIM(C809)))</f>
        <v/>
      </c>
      <c r="I809" s="17" t="str">
        <f aca="false">IF(TRIM(B809)="","",UPPER(TRIM(B809)))</f>
        <v/>
      </c>
      <c r="J809" s="17" t="str">
        <f aca="false">IF(H809="","",IF(COUNTIF('Master Stock'!$A$5:$A$206,H809)&gt;0,"Yes","Not on stock sheet"))</f>
        <v/>
      </c>
    </row>
    <row r="810" customFormat="false" ht="14.25" hidden="false" customHeight="true" outlineLevel="0" collapsed="false">
      <c r="E810" s="17"/>
      <c r="H810" s="17" t="str">
        <f aca="false">IF(TRIM(C810)="","",IFERROR(INDEX('Code Aliases'!$B:$B,MATCH(TRIM(C810),'Code Aliases'!$A:$A,0)),TRIM(C810)))</f>
        <v/>
      </c>
      <c r="I810" s="17" t="str">
        <f aca="false">IF(TRIM(B810)="","",UPPER(TRIM(B810)))</f>
        <v/>
      </c>
      <c r="J810" s="17" t="str">
        <f aca="false">IF(H810="","",IF(COUNTIF('Master Stock'!$A$5:$A$206,H810)&gt;0,"Yes","Not on stock sheet"))</f>
        <v/>
      </c>
    </row>
    <row r="811" customFormat="false" ht="14.25" hidden="false" customHeight="true" outlineLevel="0" collapsed="false">
      <c r="E811" s="17"/>
      <c r="H811" s="17" t="str">
        <f aca="false">IF(TRIM(C811)="","",IFERROR(INDEX('Code Aliases'!$B:$B,MATCH(TRIM(C811),'Code Aliases'!$A:$A,0)),TRIM(C811)))</f>
        <v/>
      </c>
      <c r="I811" s="17" t="str">
        <f aca="false">IF(TRIM(B811)="","",UPPER(TRIM(B811)))</f>
        <v/>
      </c>
      <c r="J811" s="17" t="str">
        <f aca="false">IF(H811="","",IF(COUNTIF('Master Stock'!$A$5:$A$206,H811)&gt;0,"Yes","Not on stock sheet"))</f>
        <v/>
      </c>
    </row>
    <row r="812" customFormat="false" ht="14.25" hidden="false" customHeight="true" outlineLevel="0" collapsed="false">
      <c r="E812" s="17"/>
      <c r="H812" s="17" t="str">
        <f aca="false">IF(TRIM(C812)="","",IFERROR(INDEX('Code Aliases'!$B:$B,MATCH(TRIM(C812),'Code Aliases'!$A:$A,0)),TRIM(C812)))</f>
        <v/>
      </c>
      <c r="I812" s="17" t="str">
        <f aca="false">IF(TRIM(B812)="","",UPPER(TRIM(B812)))</f>
        <v/>
      </c>
      <c r="J812" s="17" t="str">
        <f aca="false">IF(H812="","",IF(COUNTIF('Master Stock'!$A$5:$A$206,H812)&gt;0,"Yes","Not on stock sheet"))</f>
        <v/>
      </c>
    </row>
    <row r="813" customFormat="false" ht="14.25" hidden="false" customHeight="true" outlineLevel="0" collapsed="false">
      <c r="E813" s="17"/>
      <c r="H813" s="17" t="str">
        <f aca="false">IF(TRIM(C813)="","",IFERROR(INDEX('Code Aliases'!$B:$B,MATCH(TRIM(C813),'Code Aliases'!$A:$A,0)),TRIM(C813)))</f>
        <v/>
      </c>
      <c r="I813" s="17" t="str">
        <f aca="false">IF(TRIM(B813)="","",UPPER(TRIM(B813)))</f>
        <v/>
      </c>
      <c r="J813" s="17" t="str">
        <f aca="false">IF(H813="","",IF(COUNTIF('Master Stock'!$A$5:$A$206,H813)&gt;0,"Yes","Not on stock sheet"))</f>
        <v/>
      </c>
    </row>
    <row r="814" customFormat="false" ht="14.25" hidden="false" customHeight="true" outlineLevel="0" collapsed="false">
      <c r="E814" s="17"/>
      <c r="H814" s="17" t="str">
        <f aca="false">IF(TRIM(C814)="","",IFERROR(INDEX('Code Aliases'!$B:$B,MATCH(TRIM(C814),'Code Aliases'!$A:$A,0)),TRIM(C814)))</f>
        <v/>
      </c>
      <c r="I814" s="17" t="str">
        <f aca="false">IF(TRIM(B814)="","",UPPER(TRIM(B814)))</f>
        <v/>
      </c>
      <c r="J814" s="17" t="str">
        <f aca="false">IF(H814="","",IF(COUNTIF('Master Stock'!$A$5:$A$206,H814)&gt;0,"Yes","Not on stock sheet"))</f>
        <v/>
      </c>
    </row>
    <row r="815" customFormat="false" ht="14.25" hidden="false" customHeight="true" outlineLevel="0" collapsed="false">
      <c r="E815" s="17"/>
      <c r="H815" s="17" t="str">
        <f aca="false">IF(TRIM(C815)="","",IFERROR(INDEX('Code Aliases'!$B:$B,MATCH(TRIM(C815),'Code Aliases'!$A:$A,0)),TRIM(C815)))</f>
        <v/>
      </c>
      <c r="I815" s="17" t="str">
        <f aca="false">IF(TRIM(B815)="","",UPPER(TRIM(B815)))</f>
        <v/>
      </c>
      <c r="J815" s="17" t="str">
        <f aca="false">IF(H815="","",IF(COUNTIF('Master Stock'!$A$5:$A$206,H815)&gt;0,"Yes","Not on stock sheet"))</f>
        <v/>
      </c>
    </row>
    <row r="816" customFormat="false" ht="14.25" hidden="false" customHeight="true" outlineLevel="0" collapsed="false">
      <c r="E816" s="17"/>
      <c r="H816" s="17" t="str">
        <f aca="false">IF(TRIM(C816)="","",IFERROR(INDEX('Code Aliases'!$B:$B,MATCH(TRIM(C816),'Code Aliases'!$A:$A,0)),TRIM(C816)))</f>
        <v/>
      </c>
      <c r="I816" s="17" t="str">
        <f aca="false">IF(TRIM(B816)="","",UPPER(TRIM(B816)))</f>
        <v/>
      </c>
      <c r="J816" s="17" t="str">
        <f aca="false">IF(H816="","",IF(COUNTIF('Master Stock'!$A$5:$A$206,H816)&gt;0,"Yes","Not on stock sheet"))</f>
        <v/>
      </c>
    </row>
    <row r="817" customFormat="false" ht="14.25" hidden="false" customHeight="true" outlineLevel="0" collapsed="false">
      <c r="E817" s="17"/>
      <c r="H817" s="17" t="str">
        <f aca="false">IF(TRIM(C817)="","",IFERROR(INDEX('Code Aliases'!$B:$B,MATCH(TRIM(C817),'Code Aliases'!$A:$A,0)),TRIM(C817)))</f>
        <v/>
      </c>
      <c r="I817" s="17" t="str">
        <f aca="false">IF(TRIM(B817)="","",UPPER(TRIM(B817)))</f>
        <v/>
      </c>
      <c r="J817" s="17" t="str">
        <f aca="false">IF(H817="","",IF(COUNTIF('Master Stock'!$A$5:$A$206,H817)&gt;0,"Yes","Not on stock sheet"))</f>
        <v/>
      </c>
    </row>
    <row r="818" customFormat="false" ht="14.25" hidden="false" customHeight="true" outlineLevel="0" collapsed="false">
      <c r="E818" s="17"/>
      <c r="H818" s="17" t="str">
        <f aca="false">IF(TRIM(C818)="","",IFERROR(INDEX('Code Aliases'!$B:$B,MATCH(TRIM(C818),'Code Aliases'!$A:$A,0)),TRIM(C818)))</f>
        <v/>
      </c>
      <c r="I818" s="17" t="str">
        <f aca="false">IF(TRIM(B818)="","",UPPER(TRIM(B818)))</f>
        <v/>
      </c>
      <c r="J818" s="17" t="str">
        <f aca="false">IF(H818="","",IF(COUNTIF('Master Stock'!$A$5:$A$206,H818)&gt;0,"Yes","Not on stock sheet"))</f>
        <v/>
      </c>
    </row>
    <row r="819" customFormat="false" ht="14.25" hidden="false" customHeight="true" outlineLevel="0" collapsed="false">
      <c r="E819" s="17"/>
      <c r="H819" s="17" t="str">
        <f aca="false">IF(TRIM(C819)="","",IFERROR(INDEX('Code Aliases'!$B:$B,MATCH(TRIM(C819),'Code Aliases'!$A:$A,0)),TRIM(C819)))</f>
        <v/>
      </c>
      <c r="I819" s="17" t="str">
        <f aca="false">IF(TRIM(B819)="","",UPPER(TRIM(B819)))</f>
        <v/>
      </c>
      <c r="J819" s="17" t="str">
        <f aca="false">IF(H819="","",IF(COUNTIF('Master Stock'!$A$5:$A$206,H819)&gt;0,"Yes","Not on stock sheet"))</f>
        <v/>
      </c>
    </row>
    <row r="820" customFormat="false" ht="14.25" hidden="false" customHeight="true" outlineLevel="0" collapsed="false">
      <c r="E820" s="17"/>
      <c r="H820" s="17" t="str">
        <f aca="false">IF(TRIM(C820)="","",IFERROR(INDEX('Code Aliases'!$B:$B,MATCH(TRIM(C820),'Code Aliases'!$A:$A,0)),TRIM(C820)))</f>
        <v/>
      </c>
      <c r="I820" s="17" t="str">
        <f aca="false">IF(TRIM(B820)="","",UPPER(TRIM(B820)))</f>
        <v/>
      </c>
      <c r="J820" s="17" t="str">
        <f aca="false">IF(H820="","",IF(COUNTIF('Master Stock'!$A$5:$A$206,H820)&gt;0,"Yes","Not on stock sheet"))</f>
        <v/>
      </c>
    </row>
    <row r="821" customFormat="false" ht="14.25" hidden="false" customHeight="true" outlineLevel="0" collapsed="false">
      <c r="E821" s="17"/>
      <c r="H821" s="17" t="str">
        <f aca="false">IF(TRIM(C821)="","",IFERROR(INDEX('Code Aliases'!$B:$B,MATCH(TRIM(C821),'Code Aliases'!$A:$A,0)),TRIM(C821)))</f>
        <v/>
      </c>
      <c r="I821" s="17" t="str">
        <f aca="false">IF(TRIM(B821)="","",UPPER(TRIM(B821)))</f>
        <v/>
      </c>
      <c r="J821" s="17" t="str">
        <f aca="false">IF(H821="","",IF(COUNTIF('Master Stock'!$A$5:$A$206,H821)&gt;0,"Yes","Not on stock sheet"))</f>
        <v/>
      </c>
    </row>
    <row r="822" customFormat="false" ht="14.25" hidden="false" customHeight="true" outlineLevel="0" collapsed="false">
      <c r="E822" s="17"/>
      <c r="H822" s="17" t="str">
        <f aca="false">IF(TRIM(C822)="","",IFERROR(INDEX('Code Aliases'!$B:$B,MATCH(TRIM(C822),'Code Aliases'!$A:$A,0)),TRIM(C822)))</f>
        <v/>
      </c>
      <c r="I822" s="17" t="str">
        <f aca="false">IF(TRIM(B822)="","",UPPER(TRIM(B822)))</f>
        <v/>
      </c>
      <c r="J822" s="17" t="str">
        <f aca="false">IF(H822="","",IF(COUNTIF('Master Stock'!$A$5:$A$206,H822)&gt;0,"Yes","Not on stock sheet"))</f>
        <v/>
      </c>
    </row>
    <row r="823" customFormat="false" ht="14.25" hidden="false" customHeight="true" outlineLevel="0" collapsed="false">
      <c r="E823" s="17"/>
      <c r="H823" s="17" t="str">
        <f aca="false">IF(TRIM(C823)="","",IFERROR(INDEX('Code Aliases'!$B:$B,MATCH(TRIM(C823),'Code Aliases'!$A:$A,0)),TRIM(C823)))</f>
        <v/>
      </c>
      <c r="I823" s="17" t="str">
        <f aca="false">IF(TRIM(B823)="","",UPPER(TRIM(B823)))</f>
        <v/>
      </c>
      <c r="J823" s="17" t="str">
        <f aca="false">IF(H823="","",IF(COUNTIF('Master Stock'!$A$5:$A$206,H823)&gt;0,"Yes","Not on stock sheet"))</f>
        <v/>
      </c>
    </row>
    <row r="824" customFormat="false" ht="14.25" hidden="false" customHeight="true" outlineLevel="0" collapsed="false">
      <c r="E824" s="17"/>
      <c r="H824" s="17" t="str">
        <f aca="false">IF(TRIM(C824)="","",IFERROR(INDEX('Code Aliases'!$B:$B,MATCH(TRIM(C824),'Code Aliases'!$A:$A,0)),TRIM(C824)))</f>
        <v/>
      </c>
      <c r="I824" s="17" t="str">
        <f aca="false">IF(TRIM(B824)="","",UPPER(TRIM(B824)))</f>
        <v/>
      </c>
      <c r="J824" s="17" t="str">
        <f aca="false">IF(H824="","",IF(COUNTIF('Master Stock'!$A$5:$A$206,H824)&gt;0,"Yes","Not on stock sheet"))</f>
        <v/>
      </c>
    </row>
    <row r="825" customFormat="false" ht="14.25" hidden="false" customHeight="true" outlineLevel="0" collapsed="false">
      <c r="E825" s="17"/>
      <c r="H825" s="17" t="str">
        <f aca="false">IF(TRIM(C825)="","",IFERROR(INDEX('Code Aliases'!$B:$B,MATCH(TRIM(C825),'Code Aliases'!$A:$A,0)),TRIM(C825)))</f>
        <v/>
      </c>
      <c r="I825" s="17" t="str">
        <f aca="false">IF(TRIM(B825)="","",UPPER(TRIM(B825)))</f>
        <v/>
      </c>
      <c r="J825" s="17" t="str">
        <f aca="false">IF(H825="","",IF(COUNTIF('Master Stock'!$A$5:$A$206,H825)&gt;0,"Yes","Not on stock sheet"))</f>
        <v/>
      </c>
    </row>
    <row r="826" customFormat="false" ht="14.25" hidden="false" customHeight="true" outlineLevel="0" collapsed="false">
      <c r="E826" s="17"/>
      <c r="H826" s="17" t="str">
        <f aca="false">IF(TRIM(C826)="","",IFERROR(INDEX('Code Aliases'!$B:$B,MATCH(TRIM(C826),'Code Aliases'!$A:$A,0)),TRIM(C826)))</f>
        <v/>
      </c>
      <c r="I826" s="17" t="str">
        <f aca="false">IF(TRIM(B826)="","",UPPER(TRIM(B826)))</f>
        <v/>
      </c>
      <c r="J826" s="17" t="str">
        <f aca="false">IF(H826="","",IF(COUNTIF('Master Stock'!$A$5:$A$206,H826)&gt;0,"Yes","Not on stock sheet"))</f>
        <v/>
      </c>
    </row>
    <row r="827" customFormat="false" ht="14.25" hidden="false" customHeight="true" outlineLevel="0" collapsed="false">
      <c r="E827" s="17"/>
      <c r="H827" s="17" t="str">
        <f aca="false">IF(TRIM(C827)="","",IFERROR(INDEX('Code Aliases'!$B:$B,MATCH(TRIM(C827),'Code Aliases'!$A:$A,0)),TRIM(C827)))</f>
        <v/>
      </c>
      <c r="I827" s="17" t="str">
        <f aca="false">IF(TRIM(B827)="","",UPPER(TRIM(B827)))</f>
        <v/>
      </c>
      <c r="J827" s="17" t="str">
        <f aca="false">IF(H827="","",IF(COUNTIF('Master Stock'!$A$5:$A$206,H827)&gt;0,"Yes","Not on stock sheet"))</f>
        <v/>
      </c>
    </row>
    <row r="828" customFormat="false" ht="14.25" hidden="false" customHeight="true" outlineLevel="0" collapsed="false">
      <c r="E828" s="17"/>
      <c r="H828" s="17" t="str">
        <f aca="false">IF(TRIM(C828)="","",IFERROR(INDEX('Code Aliases'!$B:$B,MATCH(TRIM(C828),'Code Aliases'!$A:$A,0)),TRIM(C828)))</f>
        <v/>
      </c>
      <c r="I828" s="17" t="str">
        <f aca="false">IF(TRIM(B828)="","",UPPER(TRIM(B828)))</f>
        <v/>
      </c>
      <c r="J828" s="17" t="str">
        <f aca="false">IF(H828="","",IF(COUNTIF('Master Stock'!$A$5:$A$206,H828)&gt;0,"Yes","Not on stock sheet"))</f>
        <v/>
      </c>
    </row>
    <row r="829" customFormat="false" ht="14.25" hidden="false" customHeight="true" outlineLevel="0" collapsed="false">
      <c r="E829" s="17"/>
      <c r="H829" s="17" t="str">
        <f aca="false">IF(TRIM(C829)="","",IFERROR(INDEX('Code Aliases'!$B:$B,MATCH(TRIM(C829),'Code Aliases'!$A:$A,0)),TRIM(C829)))</f>
        <v/>
      </c>
      <c r="I829" s="17" t="str">
        <f aca="false">IF(TRIM(B829)="","",UPPER(TRIM(B829)))</f>
        <v/>
      </c>
      <c r="J829" s="17" t="str">
        <f aca="false">IF(H829="","",IF(COUNTIF('Master Stock'!$A$5:$A$206,H829)&gt;0,"Yes","Not on stock sheet"))</f>
        <v/>
      </c>
    </row>
    <row r="830" customFormat="false" ht="14.25" hidden="false" customHeight="true" outlineLevel="0" collapsed="false">
      <c r="E830" s="17"/>
      <c r="H830" s="17" t="str">
        <f aca="false">IF(TRIM(C830)="","",IFERROR(INDEX('Code Aliases'!$B:$B,MATCH(TRIM(C830),'Code Aliases'!$A:$A,0)),TRIM(C830)))</f>
        <v/>
      </c>
      <c r="I830" s="17" t="str">
        <f aca="false">IF(TRIM(B830)="","",UPPER(TRIM(B830)))</f>
        <v/>
      </c>
      <c r="J830" s="17" t="str">
        <f aca="false">IF(H830="","",IF(COUNTIF('Master Stock'!$A$5:$A$206,H830)&gt;0,"Yes","Not on stock sheet"))</f>
        <v/>
      </c>
    </row>
    <row r="831" customFormat="false" ht="14.25" hidden="false" customHeight="true" outlineLevel="0" collapsed="false">
      <c r="E831" s="17"/>
      <c r="H831" s="17" t="str">
        <f aca="false">IF(TRIM(C831)="","",IFERROR(INDEX('Code Aliases'!$B:$B,MATCH(TRIM(C831),'Code Aliases'!$A:$A,0)),TRIM(C831)))</f>
        <v/>
      </c>
      <c r="I831" s="17" t="str">
        <f aca="false">IF(TRIM(B831)="","",UPPER(TRIM(B831)))</f>
        <v/>
      </c>
      <c r="J831" s="17" t="str">
        <f aca="false">IF(H831="","",IF(COUNTIF('Master Stock'!$A$5:$A$206,H831)&gt;0,"Yes","Not on stock sheet"))</f>
        <v/>
      </c>
    </row>
    <row r="832" customFormat="false" ht="14.25" hidden="false" customHeight="true" outlineLevel="0" collapsed="false">
      <c r="E832" s="17"/>
      <c r="H832" s="17" t="str">
        <f aca="false">IF(TRIM(C832)="","",IFERROR(INDEX('Code Aliases'!$B:$B,MATCH(TRIM(C832),'Code Aliases'!$A:$A,0)),TRIM(C832)))</f>
        <v/>
      </c>
      <c r="I832" s="17" t="str">
        <f aca="false">IF(TRIM(B832)="","",UPPER(TRIM(B832)))</f>
        <v/>
      </c>
      <c r="J832" s="17" t="str">
        <f aca="false">IF(H832="","",IF(COUNTIF('Master Stock'!$A$5:$A$206,H832)&gt;0,"Yes","Not on stock sheet"))</f>
        <v/>
      </c>
    </row>
    <row r="833" customFormat="false" ht="14.25" hidden="false" customHeight="true" outlineLevel="0" collapsed="false">
      <c r="E833" s="17"/>
      <c r="H833" s="17" t="str">
        <f aca="false">IF(TRIM(C833)="","",IFERROR(INDEX('Code Aliases'!$B:$B,MATCH(TRIM(C833),'Code Aliases'!$A:$A,0)),TRIM(C833)))</f>
        <v/>
      </c>
      <c r="I833" s="17" t="str">
        <f aca="false">IF(TRIM(B833)="","",UPPER(TRIM(B833)))</f>
        <v/>
      </c>
      <c r="J833" s="17" t="str">
        <f aca="false">IF(H833="","",IF(COUNTIF('Master Stock'!$A$5:$A$206,H833)&gt;0,"Yes","Not on stock sheet"))</f>
        <v/>
      </c>
    </row>
    <row r="834" customFormat="false" ht="14.25" hidden="false" customHeight="true" outlineLevel="0" collapsed="false">
      <c r="E834" s="17"/>
      <c r="H834" s="17" t="str">
        <f aca="false">IF(TRIM(C834)="","",IFERROR(INDEX('Code Aliases'!$B:$B,MATCH(TRIM(C834),'Code Aliases'!$A:$A,0)),TRIM(C834)))</f>
        <v/>
      </c>
      <c r="I834" s="17" t="str">
        <f aca="false">IF(TRIM(B834)="","",UPPER(TRIM(B834)))</f>
        <v/>
      </c>
      <c r="J834" s="17" t="str">
        <f aca="false">IF(H834="","",IF(COUNTIF('Master Stock'!$A$5:$A$206,H834)&gt;0,"Yes","Not on stock sheet"))</f>
        <v/>
      </c>
    </row>
    <row r="835" customFormat="false" ht="14.25" hidden="false" customHeight="true" outlineLevel="0" collapsed="false">
      <c r="E835" s="17"/>
      <c r="H835" s="17" t="str">
        <f aca="false">IF(TRIM(C835)="","",IFERROR(INDEX('Code Aliases'!$B:$B,MATCH(TRIM(C835),'Code Aliases'!$A:$A,0)),TRIM(C835)))</f>
        <v/>
      </c>
      <c r="I835" s="17" t="str">
        <f aca="false">IF(TRIM(B835)="","",UPPER(TRIM(B835)))</f>
        <v/>
      </c>
      <c r="J835" s="17" t="str">
        <f aca="false">IF(H835="","",IF(COUNTIF('Master Stock'!$A$5:$A$206,H835)&gt;0,"Yes","Not on stock sheet"))</f>
        <v/>
      </c>
    </row>
    <row r="836" customFormat="false" ht="14.25" hidden="false" customHeight="true" outlineLevel="0" collapsed="false">
      <c r="E836" s="17"/>
      <c r="H836" s="17" t="str">
        <f aca="false">IF(TRIM(C836)="","",IFERROR(INDEX('Code Aliases'!$B:$B,MATCH(TRIM(C836),'Code Aliases'!$A:$A,0)),TRIM(C836)))</f>
        <v/>
      </c>
      <c r="I836" s="17" t="str">
        <f aca="false">IF(TRIM(B836)="","",UPPER(TRIM(B836)))</f>
        <v/>
      </c>
      <c r="J836" s="17" t="str">
        <f aca="false">IF(H836="","",IF(COUNTIF('Master Stock'!$A$5:$A$206,H836)&gt;0,"Yes","Not on stock sheet"))</f>
        <v/>
      </c>
    </row>
    <row r="837" customFormat="false" ht="14.25" hidden="false" customHeight="true" outlineLevel="0" collapsed="false">
      <c r="E837" s="17"/>
      <c r="H837" s="17" t="str">
        <f aca="false">IF(TRIM(C837)="","",IFERROR(INDEX('Code Aliases'!$B:$B,MATCH(TRIM(C837),'Code Aliases'!$A:$A,0)),TRIM(C837)))</f>
        <v/>
      </c>
      <c r="I837" s="17" t="str">
        <f aca="false">IF(TRIM(B837)="","",UPPER(TRIM(B837)))</f>
        <v/>
      </c>
      <c r="J837" s="17" t="str">
        <f aca="false">IF(H837="","",IF(COUNTIF('Master Stock'!$A$5:$A$206,H837)&gt;0,"Yes","Not on stock sheet"))</f>
        <v/>
      </c>
    </row>
    <row r="838" customFormat="false" ht="14.25" hidden="false" customHeight="true" outlineLevel="0" collapsed="false">
      <c r="E838" s="17"/>
      <c r="H838" s="17" t="str">
        <f aca="false">IF(TRIM(C838)="","",IFERROR(INDEX('Code Aliases'!$B:$B,MATCH(TRIM(C838),'Code Aliases'!$A:$A,0)),TRIM(C838)))</f>
        <v/>
      </c>
      <c r="I838" s="17" t="str">
        <f aca="false">IF(TRIM(B838)="","",UPPER(TRIM(B838)))</f>
        <v/>
      </c>
      <c r="J838" s="17" t="str">
        <f aca="false">IF(H838="","",IF(COUNTIF('Master Stock'!$A$5:$A$206,H838)&gt;0,"Yes","Not on stock sheet"))</f>
        <v/>
      </c>
    </row>
    <row r="839" customFormat="false" ht="14.25" hidden="false" customHeight="true" outlineLevel="0" collapsed="false">
      <c r="E839" s="17"/>
      <c r="H839" s="17" t="str">
        <f aca="false">IF(TRIM(C839)="","",IFERROR(INDEX('Code Aliases'!$B:$B,MATCH(TRIM(C839),'Code Aliases'!$A:$A,0)),TRIM(C839)))</f>
        <v/>
      </c>
      <c r="I839" s="17" t="str">
        <f aca="false">IF(TRIM(B839)="","",UPPER(TRIM(B839)))</f>
        <v/>
      </c>
      <c r="J839" s="17" t="str">
        <f aca="false">IF(H839="","",IF(COUNTIF('Master Stock'!$A$5:$A$206,H839)&gt;0,"Yes","Not on stock sheet"))</f>
        <v/>
      </c>
    </row>
    <row r="840" customFormat="false" ht="14.25" hidden="false" customHeight="true" outlineLevel="0" collapsed="false">
      <c r="E840" s="17"/>
      <c r="H840" s="17" t="str">
        <f aca="false">IF(TRIM(C840)="","",IFERROR(INDEX('Code Aliases'!$B:$B,MATCH(TRIM(C840),'Code Aliases'!$A:$A,0)),TRIM(C840)))</f>
        <v/>
      </c>
      <c r="I840" s="17" t="str">
        <f aca="false">IF(TRIM(B840)="","",UPPER(TRIM(B840)))</f>
        <v/>
      </c>
      <c r="J840" s="17" t="str">
        <f aca="false">IF(H840="","",IF(COUNTIF('Master Stock'!$A$5:$A$206,H840)&gt;0,"Yes","Not on stock sheet"))</f>
        <v/>
      </c>
    </row>
    <row r="841" customFormat="false" ht="14.25" hidden="false" customHeight="true" outlineLevel="0" collapsed="false">
      <c r="E841" s="17"/>
      <c r="H841" s="17" t="str">
        <f aca="false">IF(TRIM(C841)="","",IFERROR(INDEX('Code Aliases'!$B:$B,MATCH(TRIM(C841),'Code Aliases'!$A:$A,0)),TRIM(C841)))</f>
        <v/>
      </c>
      <c r="I841" s="17" t="str">
        <f aca="false">IF(TRIM(B841)="","",UPPER(TRIM(B841)))</f>
        <v/>
      </c>
      <c r="J841" s="17" t="str">
        <f aca="false">IF(H841="","",IF(COUNTIF('Master Stock'!$A$5:$A$206,H841)&gt;0,"Yes","Not on stock sheet"))</f>
        <v/>
      </c>
    </row>
    <row r="842" customFormat="false" ht="14.25" hidden="false" customHeight="true" outlineLevel="0" collapsed="false">
      <c r="E842" s="17"/>
      <c r="H842" s="17" t="str">
        <f aca="false">IF(TRIM(C842)="","",IFERROR(INDEX('Code Aliases'!$B:$B,MATCH(TRIM(C842),'Code Aliases'!$A:$A,0)),TRIM(C842)))</f>
        <v/>
      </c>
      <c r="I842" s="17" t="str">
        <f aca="false">IF(TRIM(B842)="","",UPPER(TRIM(B842)))</f>
        <v/>
      </c>
      <c r="J842" s="17" t="str">
        <f aca="false">IF(H842="","",IF(COUNTIF('Master Stock'!$A$5:$A$206,H842)&gt;0,"Yes","Not on stock sheet"))</f>
        <v/>
      </c>
    </row>
    <row r="843" customFormat="false" ht="14.25" hidden="false" customHeight="true" outlineLevel="0" collapsed="false">
      <c r="E843" s="17"/>
      <c r="H843" s="17" t="str">
        <f aca="false">IF(TRIM(C843)="","",IFERROR(INDEX('Code Aliases'!$B:$B,MATCH(TRIM(C843),'Code Aliases'!$A:$A,0)),TRIM(C843)))</f>
        <v/>
      </c>
      <c r="I843" s="17" t="str">
        <f aca="false">IF(TRIM(B843)="","",UPPER(TRIM(B843)))</f>
        <v/>
      </c>
      <c r="J843" s="17" t="str">
        <f aca="false">IF(H843="","",IF(COUNTIF('Master Stock'!$A$5:$A$206,H843)&gt;0,"Yes","Not on stock sheet"))</f>
        <v/>
      </c>
    </row>
    <row r="844" customFormat="false" ht="14.25" hidden="false" customHeight="true" outlineLevel="0" collapsed="false">
      <c r="E844" s="17"/>
      <c r="H844" s="17" t="str">
        <f aca="false">IF(TRIM(C844)="","",IFERROR(INDEX('Code Aliases'!$B:$B,MATCH(TRIM(C844),'Code Aliases'!$A:$A,0)),TRIM(C844)))</f>
        <v/>
      </c>
      <c r="I844" s="17" t="str">
        <f aca="false">IF(TRIM(B844)="","",UPPER(TRIM(B844)))</f>
        <v/>
      </c>
      <c r="J844" s="17" t="str">
        <f aca="false">IF(H844="","",IF(COUNTIF('Master Stock'!$A$5:$A$206,H844)&gt;0,"Yes","Not on stock sheet"))</f>
        <v/>
      </c>
    </row>
    <row r="845" customFormat="false" ht="14.25" hidden="false" customHeight="true" outlineLevel="0" collapsed="false">
      <c r="E845" s="17"/>
      <c r="H845" s="17" t="str">
        <f aca="false">IF(TRIM(C845)="","",IFERROR(INDEX('Code Aliases'!$B:$B,MATCH(TRIM(C845),'Code Aliases'!$A:$A,0)),TRIM(C845)))</f>
        <v/>
      </c>
      <c r="I845" s="17" t="str">
        <f aca="false">IF(TRIM(B845)="","",UPPER(TRIM(B845)))</f>
        <v/>
      </c>
      <c r="J845" s="17" t="str">
        <f aca="false">IF(H845="","",IF(COUNTIF('Master Stock'!$A$5:$A$206,H845)&gt;0,"Yes","Not on stock sheet"))</f>
        <v/>
      </c>
    </row>
    <row r="846" customFormat="false" ht="14.25" hidden="false" customHeight="true" outlineLevel="0" collapsed="false">
      <c r="E846" s="17"/>
      <c r="H846" s="17" t="str">
        <f aca="false">IF(TRIM(C846)="","",IFERROR(INDEX('Code Aliases'!$B:$B,MATCH(TRIM(C846),'Code Aliases'!$A:$A,0)),TRIM(C846)))</f>
        <v/>
      </c>
      <c r="I846" s="17" t="str">
        <f aca="false">IF(TRIM(B846)="","",UPPER(TRIM(B846)))</f>
        <v/>
      </c>
      <c r="J846" s="17" t="str">
        <f aca="false">IF(H846="","",IF(COUNTIF('Master Stock'!$A$5:$A$206,H846)&gt;0,"Yes","Not on stock sheet"))</f>
        <v/>
      </c>
    </row>
    <row r="847" customFormat="false" ht="14.25" hidden="false" customHeight="true" outlineLevel="0" collapsed="false">
      <c r="E847" s="17"/>
      <c r="H847" s="17" t="str">
        <f aca="false">IF(TRIM(C847)="","",IFERROR(INDEX('Code Aliases'!$B:$B,MATCH(TRIM(C847),'Code Aliases'!$A:$A,0)),TRIM(C847)))</f>
        <v/>
      </c>
      <c r="I847" s="17" t="str">
        <f aca="false">IF(TRIM(B847)="","",UPPER(TRIM(B847)))</f>
        <v/>
      </c>
      <c r="J847" s="17" t="str">
        <f aca="false">IF(H847="","",IF(COUNTIF('Master Stock'!$A$5:$A$206,H847)&gt;0,"Yes","Not on stock sheet"))</f>
        <v/>
      </c>
    </row>
    <row r="848" customFormat="false" ht="14.25" hidden="false" customHeight="true" outlineLevel="0" collapsed="false">
      <c r="E848" s="17"/>
      <c r="H848" s="17" t="str">
        <f aca="false">IF(TRIM(C848)="","",IFERROR(INDEX('Code Aliases'!$B:$B,MATCH(TRIM(C848),'Code Aliases'!$A:$A,0)),TRIM(C848)))</f>
        <v/>
      </c>
      <c r="I848" s="17" t="str">
        <f aca="false">IF(TRIM(B848)="","",UPPER(TRIM(B848)))</f>
        <v/>
      </c>
      <c r="J848" s="17" t="str">
        <f aca="false">IF(H848="","",IF(COUNTIF('Master Stock'!$A$5:$A$206,H848)&gt;0,"Yes","Not on stock sheet"))</f>
        <v/>
      </c>
    </row>
    <row r="849" customFormat="false" ht="14.25" hidden="false" customHeight="true" outlineLevel="0" collapsed="false">
      <c r="E849" s="17"/>
      <c r="H849" s="17" t="str">
        <f aca="false">IF(TRIM(C849)="","",IFERROR(INDEX('Code Aliases'!$B:$B,MATCH(TRIM(C849),'Code Aliases'!$A:$A,0)),TRIM(C849)))</f>
        <v/>
      </c>
      <c r="I849" s="17" t="str">
        <f aca="false">IF(TRIM(B849)="","",UPPER(TRIM(B849)))</f>
        <v/>
      </c>
      <c r="J849" s="17" t="str">
        <f aca="false">IF(H849="","",IF(COUNTIF('Master Stock'!$A$5:$A$206,H849)&gt;0,"Yes","Not on stock sheet"))</f>
        <v/>
      </c>
    </row>
    <row r="850" customFormat="false" ht="14.25" hidden="false" customHeight="true" outlineLevel="0" collapsed="false">
      <c r="E850" s="17"/>
      <c r="H850" s="17" t="str">
        <f aca="false">IF(TRIM(C850)="","",IFERROR(INDEX('Code Aliases'!$B:$B,MATCH(TRIM(C850),'Code Aliases'!$A:$A,0)),TRIM(C850)))</f>
        <v/>
      </c>
      <c r="I850" s="17" t="str">
        <f aca="false">IF(TRIM(B850)="","",UPPER(TRIM(B850)))</f>
        <v/>
      </c>
      <c r="J850" s="17" t="str">
        <f aca="false">IF(H850="","",IF(COUNTIF('Master Stock'!$A$5:$A$206,H850)&gt;0,"Yes","Not on stock sheet"))</f>
        <v/>
      </c>
    </row>
    <row r="851" customFormat="false" ht="14.25" hidden="false" customHeight="true" outlineLevel="0" collapsed="false">
      <c r="E851" s="17"/>
      <c r="H851" s="17" t="str">
        <f aca="false">IF(TRIM(C851)="","",IFERROR(INDEX('Code Aliases'!$B:$B,MATCH(TRIM(C851),'Code Aliases'!$A:$A,0)),TRIM(C851)))</f>
        <v/>
      </c>
      <c r="I851" s="17" t="str">
        <f aca="false">IF(TRIM(B851)="","",UPPER(TRIM(B851)))</f>
        <v/>
      </c>
      <c r="J851" s="17" t="str">
        <f aca="false">IF(H851="","",IF(COUNTIF('Master Stock'!$A$5:$A$206,H851)&gt;0,"Yes","Not on stock sheet"))</f>
        <v/>
      </c>
    </row>
    <row r="852" customFormat="false" ht="14.25" hidden="false" customHeight="true" outlineLevel="0" collapsed="false">
      <c r="E852" s="17"/>
      <c r="H852" s="17" t="str">
        <f aca="false">IF(TRIM(C852)="","",IFERROR(INDEX('Code Aliases'!$B:$B,MATCH(TRIM(C852),'Code Aliases'!$A:$A,0)),TRIM(C852)))</f>
        <v/>
      </c>
      <c r="I852" s="17" t="str">
        <f aca="false">IF(TRIM(B852)="","",UPPER(TRIM(B852)))</f>
        <v/>
      </c>
      <c r="J852" s="17" t="str">
        <f aca="false">IF(H852="","",IF(COUNTIF('Master Stock'!$A$5:$A$206,H852)&gt;0,"Yes","Not on stock sheet"))</f>
        <v/>
      </c>
    </row>
    <row r="853" customFormat="false" ht="14.25" hidden="false" customHeight="true" outlineLevel="0" collapsed="false">
      <c r="E853" s="17"/>
      <c r="H853" s="17" t="str">
        <f aca="false">IF(TRIM(C853)="","",IFERROR(INDEX('Code Aliases'!$B:$B,MATCH(TRIM(C853),'Code Aliases'!$A:$A,0)),TRIM(C853)))</f>
        <v/>
      </c>
      <c r="I853" s="17" t="str">
        <f aca="false">IF(TRIM(B853)="","",UPPER(TRIM(B853)))</f>
        <v/>
      </c>
      <c r="J853" s="17" t="str">
        <f aca="false">IF(H853="","",IF(COUNTIF('Master Stock'!$A$5:$A$206,H853)&gt;0,"Yes","Not on stock sheet"))</f>
        <v/>
      </c>
    </row>
    <row r="854" customFormat="false" ht="14.25" hidden="false" customHeight="true" outlineLevel="0" collapsed="false">
      <c r="E854" s="17"/>
      <c r="H854" s="17" t="str">
        <f aca="false">IF(TRIM(C854)="","",IFERROR(INDEX('Code Aliases'!$B:$B,MATCH(TRIM(C854),'Code Aliases'!$A:$A,0)),TRIM(C854)))</f>
        <v/>
      </c>
      <c r="I854" s="17" t="str">
        <f aca="false">IF(TRIM(B854)="","",UPPER(TRIM(B854)))</f>
        <v/>
      </c>
      <c r="J854" s="17" t="str">
        <f aca="false">IF(H854="","",IF(COUNTIF('Master Stock'!$A$5:$A$206,H854)&gt;0,"Yes","Not on stock sheet"))</f>
        <v/>
      </c>
    </row>
    <row r="855" customFormat="false" ht="14.25" hidden="false" customHeight="true" outlineLevel="0" collapsed="false">
      <c r="E855" s="17"/>
      <c r="H855" s="17" t="str">
        <f aca="false">IF(TRIM(C855)="","",IFERROR(INDEX('Code Aliases'!$B:$B,MATCH(TRIM(C855),'Code Aliases'!$A:$A,0)),TRIM(C855)))</f>
        <v/>
      </c>
      <c r="I855" s="17" t="str">
        <f aca="false">IF(TRIM(B855)="","",UPPER(TRIM(B855)))</f>
        <v/>
      </c>
      <c r="J855" s="17" t="str">
        <f aca="false">IF(H855="","",IF(COUNTIF('Master Stock'!$A$5:$A$206,H855)&gt;0,"Yes","Not on stock sheet"))</f>
        <v/>
      </c>
    </row>
    <row r="856" customFormat="false" ht="14.25" hidden="false" customHeight="true" outlineLevel="0" collapsed="false">
      <c r="E856" s="17"/>
      <c r="H856" s="17" t="str">
        <f aca="false">IF(TRIM(C856)="","",IFERROR(INDEX('Code Aliases'!$B:$B,MATCH(TRIM(C856),'Code Aliases'!$A:$A,0)),TRIM(C856)))</f>
        <v/>
      </c>
      <c r="I856" s="17" t="str">
        <f aca="false">IF(TRIM(B856)="","",UPPER(TRIM(B856)))</f>
        <v/>
      </c>
      <c r="J856" s="17" t="str">
        <f aca="false">IF(H856="","",IF(COUNTIF('Master Stock'!$A$5:$A$206,H856)&gt;0,"Yes","Not on stock sheet"))</f>
        <v/>
      </c>
    </row>
    <row r="857" customFormat="false" ht="14.25" hidden="false" customHeight="true" outlineLevel="0" collapsed="false">
      <c r="E857" s="17"/>
      <c r="H857" s="17" t="str">
        <f aca="false">IF(TRIM(C857)="","",IFERROR(INDEX('Code Aliases'!$B:$B,MATCH(TRIM(C857),'Code Aliases'!$A:$A,0)),TRIM(C857)))</f>
        <v/>
      </c>
      <c r="I857" s="17" t="str">
        <f aca="false">IF(TRIM(B857)="","",UPPER(TRIM(B857)))</f>
        <v/>
      </c>
      <c r="J857" s="17" t="str">
        <f aca="false">IF(H857="","",IF(COUNTIF('Master Stock'!$A$5:$A$206,H857)&gt;0,"Yes","Not on stock sheet"))</f>
        <v/>
      </c>
    </row>
    <row r="858" customFormat="false" ht="14.25" hidden="false" customHeight="true" outlineLevel="0" collapsed="false">
      <c r="E858" s="17"/>
      <c r="H858" s="17" t="str">
        <f aca="false">IF(TRIM(C858)="","",IFERROR(INDEX('Code Aliases'!$B:$B,MATCH(TRIM(C858),'Code Aliases'!$A:$A,0)),TRIM(C858)))</f>
        <v/>
      </c>
      <c r="I858" s="17" t="str">
        <f aca="false">IF(TRIM(B858)="","",UPPER(TRIM(B858)))</f>
        <v/>
      </c>
      <c r="J858" s="17" t="str">
        <f aca="false">IF(H858="","",IF(COUNTIF('Master Stock'!$A$5:$A$206,H858)&gt;0,"Yes","Not on stock sheet"))</f>
        <v/>
      </c>
    </row>
    <row r="859" customFormat="false" ht="14.25" hidden="false" customHeight="true" outlineLevel="0" collapsed="false">
      <c r="E859" s="17"/>
      <c r="H859" s="17" t="str">
        <f aca="false">IF(TRIM(C859)="","",IFERROR(INDEX('Code Aliases'!$B:$B,MATCH(TRIM(C859),'Code Aliases'!$A:$A,0)),TRIM(C859)))</f>
        <v/>
      </c>
      <c r="I859" s="17" t="str">
        <f aca="false">IF(TRIM(B859)="","",UPPER(TRIM(B859)))</f>
        <v/>
      </c>
      <c r="J859" s="17" t="str">
        <f aca="false">IF(H859="","",IF(COUNTIF('Master Stock'!$A$5:$A$206,H859)&gt;0,"Yes","Not on stock sheet"))</f>
        <v/>
      </c>
    </row>
    <row r="860" customFormat="false" ht="14.25" hidden="false" customHeight="true" outlineLevel="0" collapsed="false">
      <c r="E860" s="17"/>
      <c r="H860" s="17" t="str">
        <f aca="false">IF(TRIM(C860)="","",IFERROR(INDEX('Code Aliases'!$B:$B,MATCH(TRIM(C860),'Code Aliases'!$A:$A,0)),TRIM(C860)))</f>
        <v/>
      </c>
      <c r="I860" s="17" t="str">
        <f aca="false">IF(TRIM(B860)="","",UPPER(TRIM(B860)))</f>
        <v/>
      </c>
      <c r="J860" s="17" t="str">
        <f aca="false">IF(H860="","",IF(COUNTIF('Master Stock'!$A$5:$A$206,H860)&gt;0,"Yes","Not on stock sheet"))</f>
        <v/>
      </c>
    </row>
    <row r="861" customFormat="false" ht="14.25" hidden="false" customHeight="true" outlineLevel="0" collapsed="false">
      <c r="E861" s="17"/>
      <c r="H861" s="17" t="str">
        <f aca="false">IF(TRIM(C861)="","",IFERROR(INDEX('Code Aliases'!$B:$B,MATCH(TRIM(C861),'Code Aliases'!$A:$A,0)),TRIM(C861)))</f>
        <v/>
      </c>
      <c r="I861" s="17" t="str">
        <f aca="false">IF(TRIM(B861)="","",UPPER(TRIM(B861)))</f>
        <v/>
      </c>
      <c r="J861" s="17" t="str">
        <f aca="false">IF(H861="","",IF(COUNTIF('Master Stock'!$A$5:$A$206,H861)&gt;0,"Yes","Not on stock sheet"))</f>
        <v/>
      </c>
    </row>
    <row r="862" customFormat="false" ht="14.25" hidden="false" customHeight="true" outlineLevel="0" collapsed="false">
      <c r="E862" s="17"/>
      <c r="H862" s="17" t="str">
        <f aca="false">IF(TRIM(C862)="","",IFERROR(INDEX('Code Aliases'!$B:$B,MATCH(TRIM(C862),'Code Aliases'!$A:$A,0)),TRIM(C862)))</f>
        <v/>
      </c>
      <c r="I862" s="17" t="str">
        <f aca="false">IF(TRIM(B862)="","",UPPER(TRIM(B862)))</f>
        <v/>
      </c>
      <c r="J862" s="17" t="str">
        <f aca="false">IF(H862="","",IF(COUNTIF('Master Stock'!$A$5:$A$206,H862)&gt;0,"Yes","Not on stock sheet"))</f>
        <v/>
      </c>
    </row>
    <row r="863" customFormat="false" ht="14.25" hidden="false" customHeight="true" outlineLevel="0" collapsed="false">
      <c r="E863" s="17"/>
      <c r="H863" s="17" t="str">
        <f aca="false">IF(TRIM(C863)="","",IFERROR(INDEX('Code Aliases'!$B:$B,MATCH(TRIM(C863),'Code Aliases'!$A:$A,0)),TRIM(C863)))</f>
        <v/>
      </c>
      <c r="I863" s="17" t="str">
        <f aca="false">IF(TRIM(B863)="","",UPPER(TRIM(B863)))</f>
        <v/>
      </c>
      <c r="J863" s="17" t="str">
        <f aca="false">IF(H863="","",IF(COUNTIF('Master Stock'!$A$5:$A$206,H863)&gt;0,"Yes","Not on stock sheet"))</f>
        <v/>
      </c>
    </row>
    <row r="864" customFormat="false" ht="14.25" hidden="false" customHeight="true" outlineLevel="0" collapsed="false">
      <c r="E864" s="17"/>
      <c r="H864" s="17" t="str">
        <f aca="false">IF(TRIM(C864)="","",IFERROR(INDEX('Code Aliases'!$B:$B,MATCH(TRIM(C864),'Code Aliases'!$A:$A,0)),TRIM(C864)))</f>
        <v/>
      </c>
      <c r="I864" s="17" t="str">
        <f aca="false">IF(TRIM(B864)="","",UPPER(TRIM(B864)))</f>
        <v/>
      </c>
      <c r="J864" s="17" t="str">
        <f aca="false">IF(H864="","",IF(COUNTIF('Master Stock'!$A$5:$A$206,H864)&gt;0,"Yes","Not on stock sheet"))</f>
        <v/>
      </c>
    </row>
    <row r="865" customFormat="false" ht="14.25" hidden="false" customHeight="true" outlineLevel="0" collapsed="false">
      <c r="E865" s="17"/>
      <c r="H865" s="17" t="str">
        <f aca="false">IF(TRIM(C865)="","",IFERROR(INDEX('Code Aliases'!$B:$B,MATCH(TRIM(C865),'Code Aliases'!$A:$A,0)),TRIM(C865)))</f>
        <v/>
      </c>
      <c r="I865" s="17" t="str">
        <f aca="false">IF(TRIM(B865)="","",UPPER(TRIM(B865)))</f>
        <v/>
      </c>
      <c r="J865" s="17" t="str">
        <f aca="false">IF(H865="","",IF(COUNTIF('Master Stock'!$A$5:$A$206,H865)&gt;0,"Yes","Not on stock sheet"))</f>
        <v/>
      </c>
    </row>
    <row r="866" customFormat="false" ht="14.25" hidden="false" customHeight="true" outlineLevel="0" collapsed="false">
      <c r="E866" s="17"/>
      <c r="H866" s="17" t="str">
        <f aca="false">IF(TRIM(C866)="","",IFERROR(INDEX('Code Aliases'!$B:$B,MATCH(TRIM(C866),'Code Aliases'!$A:$A,0)),TRIM(C866)))</f>
        <v/>
      </c>
      <c r="I866" s="17" t="str">
        <f aca="false">IF(TRIM(B866)="","",UPPER(TRIM(B866)))</f>
        <v/>
      </c>
      <c r="J866" s="17" t="str">
        <f aca="false">IF(H866="","",IF(COUNTIF('Master Stock'!$A$5:$A$206,H866)&gt;0,"Yes","Not on stock sheet"))</f>
        <v/>
      </c>
    </row>
    <row r="867" customFormat="false" ht="14.25" hidden="false" customHeight="true" outlineLevel="0" collapsed="false">
      <c r="E867" s="17"/>
      <c r="H867" s="17" t="str">
        <f aca="false">IF(TRIM(C867)="","",IFERROR(INDEX('Code Aliases'!$B:$B,MATCH(TRIM(C867),'Code Aliases'!$A:$A,0)),TRIM(C867)))</f>
        <v/>
      </c>
      <c r="I867" s="17" t="str">
        <f aca="false">IF(TRIM(B867)="","",UPPER(TRIM(B867)))</f>
        <v/>
      </c>
      <c r="J867" s="17" t="str">
        <f aca="false">IF(H867="","",IF(COUNTIF('Master Stock'!$A$5:$A$206,H867)&gt;0,"Yes","Not on stock sheet"))</f>
        <v/>
      </c>
    </row>
    <row r="868" customFormat="false" ht="14.25" hidden="false" customHeight="true" outlineLevel="0" collapsed="false">
      <c r="E868" s="17"/>
      <c r="H868" s="17" t="str">
        <f aca="false">IF(TRIM(C868)="","",IFERROR(INDEX('Code Aliases'!$B:$B,MATCH(TRIM(C868),'Code Aliases'!$A:$A,0)),TRIM(C868)))</f>
        <v/>
      </c>
      <c r="I868" s="17" t="str">
        <f aca="false">IF(TRIM(B868)="","",UPPER(TRIM(B868)))</f>
        <v/>
      </c>
      <c r="J868" s="17" t="str">
        <f aca="false">IF(H868="","",IF(COUNTIF('Master Stock'!$A$5:$A$206,H868)&gt;0,"Yes","Not on stock sheet"))</f>
        <v/>
      </c>
    </row>
    <row r="869" customFormat="false" ht="14.25" hidden="false" customHeight="true" outlineLevel="0" collapsed="false">
      <c r="E869" s="17"/>
      <c r="H869" s="17" t="str">
        <f aca="false">IF(TRIM(C869)="","",IFERROR(INDEX('Code Aliases'!$B:$B,MATCH(TRIM(C869),'Code Aliases'!$A:$A,0)),TRIM(C869)))</f>
        <v/>
      </c>
      <c r="I869" s="17" t="str">
        <f aca="false">IF(TRIM(B869)="","",UPPER(TRIM(B869)))</f>
        <v/>
      </c>
      <c r="J869" s="17" t="str">
        <f aca="false">IF(H869="","",IF(COUNTIF('Master Stock'!$A$5:$A$206,H869)&gt;0,"Yes","Not on stock sheet"))</f>
        <v/>
      </c>
    </row>
    <row r="870" customFormat="false" ht="14.25" hidden="false" customHeight="true" outlineLevel="0" collapsed="false">
      <c r="E870" s="17"/>
      <c r="H870" s="17" t="str">
        <f aca="false">IF(TRIM(C870)="","",IFERROR(INDEX('Code Aliases'!$B:$B,MATCH(TRIM(C870),'Code Aliases'!$A:$A,0)),TRIM(C870)))</f>
        <v/>
      </c>
      <c r="I870" s="17" t="str">
        <f aca="false">IF(TRIM(B870)="","",UPPER(TRIM(B870)))</f>
        <v/>
      </c>
      <c r="J870" s="17" t="str">
        <f aca="false">IF(H870="","",IF(COUNTIF('Master Stock'!$A$5:$A$206,H870)&gt;0,"Yes","Not on stock sheet"))</f>
        <v/>
      </c>
    </row>
    <row r="871" customFormat="false" ht="14.25" hidden="false" customHeight="true" outlineLevel="0" collapsed="false">
      <c r="E871" s="17"/>
      <c r="H871" s="17" t="str">
        <f aca="false">IF(TRIM(C871)="","",IFERROR(INDEX('Code Aliases'!$B:$B,MATCH(TRIM(C871),'Code Aliases'!$A:$A,0)),TRIM(C871)))</f>
        <v/>
      </c>
      <c r="I871" s="17" t="str">
        <f aca="false">IF(TRIM(B871)="","",UPPER(TRIM(B871)))</f>
        <v/>
      </c>
      <c r="J871" s="17" t="str">
        <f aca="false">IF(H871="","",IF(COUNTIF('Master Stock'!$A$5:$A$206,H871)&gt;0,"Yes","Not on stock sheet"))</f>
        <v/>
      </c>
    </row>
    <row r="872" customFormat="false" ht="14.25" hidden="false" customHeight="true" outlineLevel="0" collapsed="false">
      <c r="E872" s="17"/>
      <c r="H872" s="17" t="str">
        <f aca="false">IF(TRIM(C872)="","",IFERROR(INDEX('Code Aliases'!$B:$B,MATCH(TRIM(C872),'Code Aliases'!$A:$A,0)),TRIM(C872)))</f>
        <v/>
      </c>
      <c r="I872" s="17" t="str">
        <f aca="false">IF(TRIM(B872)="","",UPPER(TRIM(B872)))</f>
        <v/>
      </c>
      <c r="J872" s="17" t="str">
        <f aca="false">IF(H872="","",IF(COUNTIF('Master Stock'!$A$5:$A$206,H872)&gt;0,"Yes","Not on stock sheet"))</f>
        <v/>
      </c>
    </row>
    <row r="873" customFormat="false" ht="14.25" hidden="false" customHeight="true" outlineLevel="0" collapsed="false">
      <c r="E873" s="17"/>
      <c r="H873" s="17" t="str">
        <f aca="false">IF(TRIM(C873)="","",IFERROR(INDEX('Code Aliases'!$B:$B,MATCH(TRIM(C873),'Code Aliases'!$A:$A,0)),TRIM(C873)))</f>
        <v/>
      </c>
      <c r="I873" s="17" t="str">
        <f aca="false">IF(TRIM(B873)="","",UPPER(TRIM(B873)))</f>
        <v/>
      </c>
      <c r="J873" s="17" t="str">
        <f aca="false">IF(H873="","",IF(COUNTIF('Master Stock'!$A$5:$A$206,H873)&gt;0,"Yes","Not on stock sheet"))</f>
        <v/>
      </c>
    </row>
    <row r="874" customFormat="false" ht="14.25" hidden="false" customHeight="true" outlineLevel="0" collapsed="false">
      <c r="E874" s="17"/>
      <c r="H874" s="17" t="str">
        <f aca="false">IF(TRIM(C874)="","",IFERROR(INDEX('Code Aliases'!$B:$B,MATCH(TRIM(C874),'Code Aliases'!$A:$A,0)),TRIM(C874)))</f>
        <v/>
      </c>
      <c r="I874" s="17" t="str">
        <f aca="false">IF(TRIM(B874)="","",UPPER(TRIM(B874)))</f>
        <v/>
      </c>
      <c r="J874" s="17" t="str">
        <f aca="false">IF(H874="","",IF(COUNTIF('Master Stock'!$A$5:$A$206,H874)&gt;0,"Yes","Not on stock sheet"))</f>
        <v/>
      </c>
    </row>
    <row r="875" customFormat="false" ht="14.25" hidden="false" customHeight="true" outlineLevel="0" collapsed="false">
      <c r="E875" s="17"/>
      <c r="H875" s="17" t="str">
        <f aca="false">IF(TRIM(C875)="","",IFERROR(INDEX('Code Aliases'!$B:$B,MATCH(TRIM(C875),'Code Aliases'!$A:$A,0)),TRIM(C875)))</f>
        <v/>
      </c>
      <c r="I875" s="17" t="str">
        <f aca="false">IF(TRIM(B875)="","",UPPER(TRIM(B875)))</f>
        <v/>
      </c>
      <c r="J875" s="17" t="str">
        <f aca="false">IF(H875="","",IF(COUNTIF('Master Stock'!$A$5:$A$206,H875)&gt;0,"Yes","Not on stock sheet"))</f>
        <v/>
      </c>
    </row>
    <row r="876" customFormat="false" ht="14.25" hidden="false" customHeight="true" outlineLevel="0" collapsed="false">
      <c r="E876" s="17"/>
      <c r="H876" s="17" t="str">
        <f aca="false">IF(TRIM(C876)="","",IFERROR(INDEX('Code Aliases'!$B:$B,MATCH(TRIM(C876),'Code Aliases'!$A:$A,0)),TRIM(C876)))</f>
        <v/>
      </c>
      <c r="I876" s="17" t="str">
        <f aca="false">IF(TRIM(B876)="","",UPPER(TRIM(B876)))</f>
        <v/>
      </c>
      <c r="J876" s="17" t="str">
        <f aca="false">IF(H876="","",IF(COUNTIF('Master Stock'!$A$5:$A$206,H876)&gt;0,"Yes","Not on stock sheet"))</f>
        <v/>
      </c>
    </row>
    <row r="877" customFormat="false" ht="14.25" hidden="false" customHeight="true" outlineLevel="0" collapsed="false">
      <c r="E877" s="17"/>
      <c r="H877" s="17" t="str">
        <f aca="false">IF(TRIM(C877)="","",IFERROR(INDEX('Code Aliases'!$B:$B,MATCH(TRIM(C877),'Code Aliases'!$A:$A,0)),TRIM(C877)))</f>
        <v/>
      </c>
      <c r="I877" s="17" t="str">
        <f aca="false">IF(TRIM(B877)="","",UPPER(TRIM(B877)))</f>
        <v/>
      </c>
      <c r="J877" s="17" t="str">
        <f aca="false">IF(H877="","",IF(COUNTIF('Master Stock'!$A$5:$A$206,H877)&gt;0,"Yes","Not on stock sheet"))</f>
        <v/>
      </c>
    </row>
    <row r="878" customFormat="false" ht="14.25" hidden="false" customHeight="true" outlineLevel="0" collapsed="false">
      <c r="E878" s="17"/>
      <c r="H878" s="17" t="str">
        <f aca="false">IF(TRIM(C878)="","",IFERROR(INDEX('Code Aliases'!$B:$B,MATCH(TRIM(C878),'Code Aliases'!$A:$A,0)),TRIM(C878)))</f>
        <v/>
      </c>
      <c r="I878" s="17" t="str">
        <f aca="false">IF(TRIM(B878)="","",UPPER(TRIM(B878)))</f>
        <v/>
      </c>
      <c r="J878" s="17" t="str">
        <f aca="false">IF(H878="","",IF(COUNTIF('Master Stock'!$A$5:$A$206,H878)&gt;0,"Yes","Not on stock sheet"))</f>
        <v/>
      </c>
    </row>
    <row r="879" customFormat="false" ht="14.25" hidden="false" customHeight="true" outlineLevel="0" collapsed="false">
      <c r="E879" s="17"/>
      <c r="H879" s="17" t="str">
        <f aca="false">IF(TRIM(C879)="","",IFERROR(INDEX('Code Aliases'!$B:$B,MATCH(TRIM(C879),'Code Aliases'!$A:$A,0)),TRIM(C879)))</f>
        <v/>
      </c>
      <c r="I879" s="17" t="str">
        <f aca="false">IF(TRIM(B879)="","",UPPER(TRIM(B879)))</f>
        <v/>
      </c>
      <c r="J879" s="17" t="str">
        <f aca="false">IF(H879="","",IF(COUNTIF('Master Stock'!$A$5:$A$206,H879)&gt;0,"Yes","Not on stock sheet"))</f>
        <v/>
      </c>
    </row>
    <row r="880" customFormat="false" ht="14.25" hidden="false" customHeight="true" outlineLevel="0" collapsed="false">
      <c r="E880" s="17"/>
      <c r="H880" s="17" t="str">
        <f aca="false">IF(TRIM(C880)="","",IFERROR(INDEX('Code Aliases'!$B:$B,MATCH(TRIM(C880),'Code Aliases'!$A:$A,0)),TRIM(C880)))</f>
        <v/>
      </c>
      <c r="I880" s="17" t="str">
        <f aca="false">IF(TRIM(B880)="","",UPPER(TRIM(B880)))</f>
        <v/>
      </c>
      <c r="J880" s="17" t="str">
        <f aca="false">IF(H880="","",IF(COUNTIF('Master Stock'!$A$5:$A$206,H880)&gt;0,"Yes","Not on stock sheet"))</f>
        <v/>
      </c>
    </row>
    <row r="881" customFormat="false" ht="14.25" hidden="false" customHeight="true" outlineLevel="0" collapsed="false">
      <c r="E881" s="17"/>
      <c r="H881" s="17" t="str">
        <f aca="false">IF(TRIM(C881)="","",IFERROR(INDEX('Code Aliases'!$B:$B,MATCH(TRIM(C881),'Code Aliases'!$A:$A,0)),TRIM(C881)))</f>
        <v/>
      </c>
      <c r="I881" s="17" t="str">
        <f aca="false">IF(TRIM(B881)="","",UPPER(TRIM(B881)))</f>
        <v/>
      </c>
      <c r="J881" s="17" t="str">
        <f aca="false">IF(H881="","",IF(COUNTIF('Master Stock'!$A$5:$A$206,H881)&gt;0,"Yes","Not on stock sheet"))</f>
        <v/>
      </c>
    </row>
    <row r="882" customFormat="false" ht="14.25" hidden="false" customHeight="true" outlineLevel="0" collapsed="false">
      <c r="E882" s="17"/>
      <c r="H882" s="17" t="str">
        <f aca="false">IF(TRIM(C882)="","",IFERROR(INDEX('Code Aliases'!$B:$B,MATCH(TRIM(C882),'Code Aliases'!$A:$A,0)),TRIM(C882)))</f>
        <v/>
      </c>
      <c r="I882" s="17" t="str">
        <f aca="false">IF(TRIM(B882)="","",UPPER(TRIM(B882)))</f>
        <v/>
      </c>
      <c r="J882" s="17" t="str">
        <f aca="false">IF(H882="","",IF(COUNTIF('Master Stock'!$A$5:$A$206,H882)&gt;0,"Yes","Not on stock sheet"))</f>
        <v/>
      </c>
    </row>
    <row r="883" customFormat="false" ht="14.25" hidden="false" customHeight="true" outlineLevel="0" collapsed="false">
      <c r="E883" s="17"/>
      <c r="H883" s="17" t="str">
        <f aca="false">IF(TRIM(C883)="","",IFERROR(INDEX('Code Aliases'!$B:$B,MATCH(TRIM(C883),'Code Aliases'!$A:$A,0)),TRIM(C883)))</f>
        <v/>
      </c>
      <c r="I883" s="17" t="str">
        <f aca="false">IF(TRIM(B883)="","",UPPER(TRIM(B883)))</f>
        <v/>
      </c>
      <c r="J883" s="17" t="str">
        <f aca="false">IF(H883="","",IF(COUNTIF('Master Stock'!$A$5:$A$206,H883)&gt;0,"Yes","Not on stock sheet"))</f>
        <v/>
      </c>
    </row>
    <row r="884" customFormat="false" ht="14.25" hidden="false" customHeight="true" outlineLevel="0" collapsed="false">
      <c r="E884" s="17"/>
      <c r="H884" s="17" t="str">
        <f aca="false">IF(TRIM(C884)="","",IFERROR(INDEX('Code Aliases'!$B:$B,MATCH(TRIM(C884),'Code Aliases'!$A:$A,0)),TRIM(C884)))</f>
        <v/>
      </c>
      <c r="I884" s="17" t="str">
        <f aca="false">IF(TRIM(B884)="","",UPPER(TRIM(B884)))</f>
        <v/>
      </c>
      <c r="J884" s="17" t="str">
        <f aca="false">IF(H884="","",IF(COUNTIF('Master Stock'!$A$5:$A$206,H884)&gt;0,"Yes","Not on stock sheet"))</f>
        <v/>
      </c>
    </row>
    <row r="885" customFormat="false" ht="14.25" hidden="false" customHeight="true" outlineLevel="0" collapsed="false">
      <c r="E885" s="17"/>
      <c r="H885" s="17" t="str">
        <f aca="false">IF(TRIM(C885)="","",IFERROR(INDEX('Code Aliases'!$B:$B,MATCH(TRIM(C885),'Code Aliases'!$A:$A,0)),TRIM(C885)))</f>
        <v/>
      </c>
      <c r="I885" s="17" t="str">
        <f aca="false">IF(TRIM(B885)="","",UPPER(TRIM(B885)))</f>
        <v/>
      </c>
      <c r="J885" s="17" t="str">
        <f aca="false">IF(H885="","",IF(COUNTIF('Master Stock'!$A$5:$A$206,H885)&gt;0,"Yes","Not on stock sheet"))</f>
        <v/>
      </c>
    </row>
    <row r="886" customFormat="false" ht="14.25" hidden="false" customHeight="true" outlineLevel="0" collapsed="false">
      <c r="E886" s="17"/>
      <c r="H886" s="17" t="str">
        <f aca="false">IF(TRIM(C886)="","",IFERROR(INDEX('Code Aliases'!$B:$B,MATCH(TRIM(C886),'Code Aliases'!$A:$A,0)),TRIM(C886)))</f>
        <v/>
      </c>
      <c r="I886" s="17" t="str">
        <f aca="false">IF(TRIM(B886)="","",UPPER(TRIM(B886)))</f>
        <v/>
      </c>
      <c r="J886" s="17" t="str">
        <f aca="false">IF(H886="","",IF(COUNTIF('Master Stock'!$A$5:$A$206,H886)&gt;0,"Yes","Not on stock sheet"))</f>
        <v/>
      </c>
    </row>
    <row r="887" customFormat="false" ht="14.25" hidden="false" customHeight="true" outlineLevel="0" collapsed="false">
      <c r="E887" s="17"/>
      <c r="H887" s="17" t="str">
        <f aca="false">IF(TRIM(C887)="","",IFERROR(INDEX('Code Aliases'!$B:$B,MATCH(TRIM(C887),'Code Aliases'!$A:$A,0)),TRIM(C887)))</f>
        <v/>
      </c>
      <c r="I887" s="17" t="str">
        <f aca="false">IF(TRIM(B887)="","",UPPER(TRIM(B887)))</f>
        <v/>
      </c>
      <c r="J887" s="17" t="str">
        <f aca="false">IF(H887="","",IF(COUNTIF('Master Stock'!$A$5:$A$206,H887)&gt;0,"Yes","Not on stock sheet"))</f>
        <v/>
      </c>
    </row>
    <row r="888" customFormat="false" ht="14.25" hidden="false" customHeight="true" outlineLevel="0" collapsed="false">
      <c r="E888" s="17"/>
      <c r="H888" s="17" t="str">
        <f aca="false">IF(TRIM(C888)="","",IFERROR(INDEX('Code Aliases'!$B:$B,MATCH(TRIM(C888),'Code Aliases'!$A:$A,0)),TRIM(C888)))</f>
        <v/>
      </c>
      <c r="I888" s="17" t="str">
        <f aca="false">IF(TRIM(B888)="","",UPPER(TRIM(B888)))</f>
        <v/>
      </c>
      <c r="J888" s="17" t="str">
        <f aca="false">IF(H888="","",IF(COUNTIF('Master Stock'!$A$5:$A$206,H888)&gt;0,"Yes","Not on stock sheet"))</f>
        <v/>
      </c>
    </row>
    <row r="889" customFormat="false" ht="14.25" hidden="false" customHeight="true" outlineLevel="0" collapsed="false">
      <c r="E889" s="17"/>
      <c r="H889" s="17" t="str">
        <f aca="false">IF(TRIM(C889)="","",IFERROR(INDEX('Code Aliases'!$B:$B,MATCH(TRIM(C889),'Code Aliases'!$A:$A,0)),TRIM(C889)))</f>
        <v/>
      </c>
      <c r="I889" s="17" t="str">
        <f aca="false">IF(TRIM(B889)="","",UPPER(TRIM(B889)))</f>
        <v/>
      </c>
      <c r="J889" s="17" t="str">
        <f aca="false">IF(H889="","",IF(COUNTIF('Master Stock'!$A$5:$A$206,H889)&gt;0,"Yes","Not on stock sheet"))</f>
        <v/>
      </c>
    </row>
    <row r="890" customFormat="false" ht="14.25" hidden="false" customHeight="true" outlineLevel="0" collapsed="false">
      <c r="E890" s="17"/>
      <c r="H890" s="17" t="str">
        <f aca="false">IF(TRIM(C890)="","",IFERROR(INDEX('Code Aliases'!$B:$B,MATCH(TRIM(C890),'Code Aliases'!$A:$A,0)),TRIM(C890)))</f>
        <v/>
      </c>
      <c r="I890" s="17" t="str">
        <f aca="false">IF(TRIM(B890)="","",UPPER(TRIM(B890)))</f>
        <v/>
      </c>
      <c r="J890" s="17" t="str">
        <f aca="false">IF(H890="","",IF(COUNTIF('Master Stock'!$A$5:$A$206,H890)&gt;0,"Yes","Not on stock sheet"))</f>
        <v/>
      </c>
    </row>
    <row r="891" customFormat="false" ht="14.25" hidden="false" customHeight="true" outlineLevel="0" collapsed="false">
      <c r="E891" s="17"/>
      <c r="H891" s="17" t="str">
        <f aca="false">IF(TRIM(C891)="","",IFERROR(INDEX('Code Aliases'!$B:$B,MATCH(TRIM(C891),'Code Aliases'!$A:$A,0)),TRIM(C891)))</f>
        <v/>
      </c>
      <c r="I891" s="17" t="str">
        <f aca="false">IF(TRIM(B891)="","",UPPER(TRIM(B891)))</f>
        <v/>
      </c>
      <c r="J891" s="17" t="str">
        <f aca="false">IF(H891="","",IF(COUNTIF('Master Stock'!$A$5:$A$206,H891)&gt;0,"Yes","Not on stock sheet"))</f>
        <v/>
      </c>
    </row>
    <row r="892" customFormat="false" ht="14.25" hidden="false" customHeight="true" outlineLevel="0" collapsed="false">
      <c r="E892" s="17"/>
      <c r="H892" s="17" t="str">
        <f aca="false">IF(TRIM(C892)="","",IFERROR(INDEX('Code Aliases'!$B:$B,MATCH(TRIM(C892),'Code Aliases'!$A:$A,0)),TRIM(C892)))</f>
        <v/>
      </c>
      <c r="I892" s="17" t="str">
        <f aca="false">IF(TRIM(B892)="","",UPPER(TRIM(B892)))</f>
        <v/>
      </c>
      <c r="J892" s="17" t="str">
        <f aca="false">IF(H892="","",IF(COUNTIF('Master Stock'!$A$5:$A$206,H892)&gt;0,"Yes","Not on stock sheet"))</f>
        <v/>
      </c>
    </row>
    <row r="893" customFormat="false" ht="14.25" hidden="false" customHeight="true" outlineLevel="0" collapsed="false">
      <c r="E893" s="17"/>
      <c r="H893" s="17" t="str">
        <f aca="false">IF(TRIM(C893)="","",IFERROR(INDEX('Code Aliases'!$B:$B,MATCH(TRIM(C893),'Code Aliases'!$A:$A,0)),TRIM(C893)))</f>
        <v/>
      </c>
      <c r="I893" s="17" t="str">
        <f aca="false">IF(TRIM(B893)="","",UPPER(TRIM(B893)))</f>
        <v/>
      </c>
      <c r="J893" s="17" t="str">
        <f aca="false">IF(H893="","",IF(COUNTIF('Master Stock'!$A$5:$A$206,H893)&gt;0,"Yes","Not on stock sheet"))</f>
        <v/>
      </c>
    </row>
    <row r="894" customFormat="false" ht="14.25" hidden="false" customHeight="true" outlineLevel="0" collapsed="false">
      <c r="E894" s="17"/>
      <c r="H894" s="17" t="str">
        <f aca="false">IF(TRIM(C894)="","",IFERROR(INDEX('Code Aliases'!$B:$B,MATCH(TRIM(C894),'Code Aliases'!$A:$A,0)),TRIM(C894)))</f>
        <v/>
      </c>
      <c r="I894" s="17" t="str">
        <f aca="false">IF(TRIM(B894)="","",UPPER(TRIM(B894)))</f>
        <v/>
      </c>
      <c r="J894" s="17" t="str">
        <f aca="false">IF(H894="","",IF(COUNTIF('Master Stock'!$A$5:$A$206,H894)&gt;0,"Yes","Not on stock sheet"))</f>
        <v/>
      </c>
    </row>
    <row r="895" customFormat="false" ht="14.25" hidden="false" customHeight="true" outlineLevel="0" collapsed="false">
      <c r="E895" s="17"/>
      <c r="H895" s="17" t="str">
        <f aca="false">IF(TRIM(C895)="","",IFERROR(INDEX('Code Aliases'!$B:$B,MATCH(TRIM(C895),'Code Aliases'!$A:$A,0)),TRIM(C895)))</f>
        <v/>
      </c>
      <c r="I895" s="17" t="str">
        <f aca="false">IF(TRIM(B895)="","",UPPER(TRIM(B895)))</f>
        <v/>
      </c>
      <c r="J895" s="17" t="str">
        <f aca="false">IF(H895="","",IF(COUNTIF('Master Stock'!$A$5:$A$206,H895)&gt;0,"Yes","Not on stock sheet"))</f>
        <v/>
      </c>
    </row>
    <row r="896" customFormat="false" ht="14.25" hidden="false" customHeight="true" outlineLevel="0" collapsed="false">
      <c r="E896" s="17"/>
      <c r="H896" s="17" t="str">
        <f aca="false">IF(TRIM(C896)="","",IFERROR(INDEX('Code Aliases'!$B:$B,MATCH(TRIM(C896),'Code Aliases'!$A:$A,0)),TRIM(C896)))</f>
        <v/>
      </c>
      <c r="I896" s="17" t="str">
        <f aca="false">IF(TRIM(B896)="","",UPPER(TRIM(B896)))</f>
        <v/>
      </c>
      <c r="J896" s="17" t="str">
        <f aca="false">IF(H896="","",IF(COUNTIF('Master Stock'!$A$5:$A$206,H896)&gt;0,"Yes","Not on stock sheet"))</f>
        <v/>
      </c>
    </row>
    <row r="897" customFormat="false" ht="14.25" hidden="false" customHeight="true" outlineLevel="0" collapsed="false">
      <c r="E897" s="17"/>
      <c r="H897" s="17" t="str">
        <f aca="false">IF(TRIM(C897)="","",IFERROR(INDEX('Code Aliases'!$B:$B,MATCH(TRIM(C897),'Code Aliases'!$A:$A,0)),TRIM(C897)))</f>
        <v/>
      </c>
      <c r="I897" s="17" t="str">
        <f aca="false">IF(TRIM(B897)="","",UPPER(TRIM(B897)))</f>
        <v/>
      </c>
      <c r="J897" s="17" t="str">
        <f aca="false">IF(H897="","",IF(COUNTIF('Master Stock'!$A$5:$A$206,H897)&gt;0,"Yes","Not on stock sheet"))</f>
        <v/>
      </c>
    </row>
    <row r="898" customFormat="false" ht="14.25" hidden="false" customHeight="true" outlineLevel="0" collapsed="false">
      <c r="E898" s="17"/>
      <c r="H898" s="17" t="str">
        <f aca="false">IF(TRIM(C898)="","",IFERROR(INDEX('Code Aliases'!$B:$B,MATCH(TRIM(C898),'Code Aliases'!$A:$A,0)),TRIM(C898)))</f>
        <v/>
      </c>
      <c r="I898" s="17" t="str">
        <f aca="false">IF(TRIM(B898)="","",UPPER(TRIM(B898)))</f>
        <v/>
      </c>
      <c r="J898" s="17" t="str">
        <f aca="false">IF(H898="","",IF(COUNTIF('Master Stock'!$A$5:$A$206,H898)&gt;0,"Yes","Not on stock sheet"))</f>
        <v/>
      </c>
    </row>
    <row r="899" customFormat="false" ht="14.25" hidden="false" customHeight="true" outlineLevel="0" collapsed="false">
      <c r="E899" s="17"/>
      <c r="H899" s="17" t="str">
        <f aca="false">IF(TRIM(C899)="","",IFERROR(INDEX('Code Aliases'!$B:$B,MATCH(TRIM(C899),'Code Aliases'!$A:$A,0)),TRIM(C899)))</f>
        <v/>
      </c>
      <c r="I899" s="17" t="str">
        <f aca="false">IF(TRIM(B899)="","",UPPER(TRIM(B899)))</f>
        <v/>
      </c>
      <c r="J899" s="17" t="str">
        <f aca="false">IF(H899="","",IF(COUNTIF('Master Stock'!$A$5:$A$206,H899)&gt;0,"Yes","Not on stock sheet"))</f>
        <v/>
      </c>
    </row>
    <row r="900" customFormat="false" ht="14.25" hidden="false" customHeight="true" outlineLevel="0" collapsed="false">
      <c r="E900" s="17"/>
      <c r="H900" s="17" t="str">
        <f aca="false">IF(TRIM(C900)="","",IFERROR(INDEX('Code Aliases'!$B:$B,MATCH(TRIM(C900),'Code Aliases'!$A:$A,0)),TRIM(C900)))</f>
        <v/>
      </c>
      <c r="I900" s="17" t="str">
        <f aca="false">IF(TRIM(B900)="","",UPPER(TRIM(B900)))</f>
        <v/>
      </c>
      <c r="J900" s="17" t="str">
        <f aca="false">IF(H900="","",IF(COUNTIF('Master Stock'!$A$5:$A$206,H900)&gt;0,"Yes","Not on stock sheet"))</f>
        <v/>
      </c>
    </row>
    <row r="901" customFormat="false" ht="14.25" hidden="false" customHeight="true" outlineLevel="0" collapsed="false">
      <c r="E901" s="17"/>
      <c r="H901" s="17" t="str">
        <f aca="false">IF(TRIM(C901)="","",IFERROR(INDEX('Code Aliases'!$B:$B,MATCH(TRIM(C901),'Code Aliases'!$A:$A,0)),TRIM(C901)))</f>
        <v/>
      </c>
      <c r="I901" s="17" t="str">
        <f aca="false">IF(TRIM(B901)="","",UPPER(TRIM(B901)))</f>
        <v/>
      </c>
      <c r="J901" s="17" t="str">
        <f aca="false">IF(H901="","",IF(COUNTIF('Master Stock'!$A$5:$A$206,H901)&gt;0,"Yes","Not on stock sheet"))</f>
        <v/>
      </c>
    </row>
    <row r="902" customFormat="false" ht="14.25" hidden="false" customHeight="true" outlineLevel="0" collapsed="false">
      <c r="E902" s="17"/>
      <c r="H902" s="17" t="str">
        <f aca="false">IF(TRIM(C902)="","",IFERROR(INDEX('Code Aliases'!$B:$B,MATCH(TRIM(C902),'Code Aliases'!$A:$A,0)),TRIM(C902)))</f>
        <v/>
      </c>
      <c r="I902" s="17" t="str">
        <f aca="false">IF(TRIM(B902)="","",UPPER(TRIM(B902)))</f>
        <v/>
      </c>
      <c r="J902" s="17" t="str">
        <f aca="false">IF(H902="","",IF(COUNTIF('Master Stock'!$A$5:$A$206,H902)&gt;0,"Yes","Not on stock sheet"))</f>
        <v/>
      </c>
    </row>
    <row r="903" customFormat="false" ht="14.25" hidden="false" customHeight="true" outlineLevel="0" collapsed="false">
      <c r="E903" s="17"/>
      <c r="H903" s="17" t="str">
        <f aca="false">IF(TRIM(C903)="","",IFERROR(INDEX('Code Aliases'!$B:$B,MATCH(TRIM(C903),'Code Aliases'!$A:$A,0)),TRIM(C903)))</f>
        <v/>
      </c>
      <c r="I903" s="17" t="str">
        <f aca="false">IF(TRIM(B903)="","",UPPER(TRIM(B903)))</f>
        <v/>
      </c>
      <c r="J903" s="17" t="str">
        <f aca="false">IF(H903="","",IF(COUNTIF('Master Stock'!$A$5:$A$206,H903)&gt;0,"Yes","Not on stock sheet"))</f>
        <v/>
      </c>
    </row>
    <row r="904" customFormat="false" ht="14.25" hidden="false" customHeight="true" outlineLevel="0" collapsed="false">
      <c r="E904" s="17"/>
      <c r="H904" s="17" t="str">
        <f aca="false">IF(TRIM(C904)="","",IFERROR(INDEX('Code Aliases'!$B:$B,MATCH(TRIM(C904),'Code Aliases'!$A:$A,0)),TRIM(C904)))</f>
        <v/>
      </c>
      <c r="I904" s="17" t="str">
        <f aca="false">IF(TRIM(B904)="","",UPPER(TRIM(B904)))</f>
        <v/>
      </c>
      <c r="J904" s="17" t="str">
        <f aca="false">IF(H904="","",IF(COUNTIF('Master Stock'!$A$5:$A$206,H904)&gt;0,"Yes","Not on stock sheet"))</f>
        <v/>
      </c>
    </row>
    <row r="905" customFormat="false" ht="14.25" hidden="false" customHeight="true" outlineLevel="0" collapsed="false">
      <c r="E905" s="17"/>
      <c r="H905" s="17" t="str">
        <f aca="false">IF(TRIM(C905)="","",IFERROR(INDEX('Code Aliases'!$B:$B,MATCH(TRIM(C905),'Code Aliases'!$A:$A,0)),TRIM(C905)))</f>
        <v/>
      </c>
      <c r="I905" s="17" t="str">
        <f aca="false">IF(TRIM(B905)="","",UPPER(TRIM(B905)))</f>
        <v/>
      </c>
      <c r="J905" s="17" t="str">
        <f aca="false">IF(H905="","",IF(COUNTIF('Master Stock'!$A$5:$A$206,H905)&gt;0,"Yes","Not on stock sheet"))</f>
        <v/>
      </c>
    </row>
    <row r="906" customFormat="false" ht="14.25" hidden="false" customHeight="true" outlineLevel="0" collapsed="false">
      <c r="E906" s="17"/>
      <c r="H906" s="17" t="str">
        <f aca="false">IF(TRIM(C906)="","",IFERROR(INDEX('Code Aliases'!$B:$B,MATCH(TRIM(C906),'Code Aliases'!$A:$A,0)),TRIM(C906)))</f>
        <v/>
      </c>
      <c r="I906" s="17" t="str">
        <f aca="false">IF(TRIM(B906)="","",UPPER(TRIM(B906)))</f>
        <v/>
      </c>
      <c r="J906" s="17" t="str">
        <f aca="false">IF(H906="","",IF(COUNTIF('Master Stock'!$A$5:$A$206,H906)&gt;0,"Yes","Not on stock sheet"))</f>
        <v/>
      </c>
    </row>
    <row r="907" customFormat="false" ht="14.25" hidden="false" customHeight="true" outlineLevel="0" collapsed="false">
      <c r="E907" s="17"/>
      <c r="H907" s="17" t="str">
        <f aca="false">IF(TRIM(C907)="","",IFERROR(INDEX('Code Aliases'!$B:$B,MATCH(TRIM(C907),'Code Aliases'!$A:$A,0)),TRIM(C907)))</f>
        <v/>
      </c>
      <c r="I907" s="17" t="str">
        <f aca="false">IF(TRIM(B907)="","",UPPER(TRIM(B907)))</f>
        <v/>
      </c>
      <c r="J907" s="17" t="str">
        <f aca="false">IF(H907="","",IF(COUNTIF('Master Stock'!$A$5:$A$206,H907)&gt;0,"Yes","Not on stock sheet"))</f>
        <v/>
      </c>
    </row>
    <row r="908" customFormat="false" ht="14.25" hidden="false" customHeight="true" outlineLevel="0" collapsed="false">
      <c r="E908" s="17"/>
      <c r="H908" s="17" t="str">
        <f aca="false">IF(TRIM(C908)="","",IFERROR(INDEX('Code Aliases'!$B:$B,MATCH(TRIM(C908),'Code Aliases'!$A:$A,0)),TRIM(C908)))</f>
        <v/>
      </c>
      <c r="I908" s="17" t="str">
        <f aca="false">IF(TRIM(B908)="","",UPPER(TRIM(B908)))</f>
        <v/>
      </c>
      <c r="J908" s="17" t="str">
        <f aca="false">IF(H908="","",IF(COUNTIF('Master Stock'!$A$5:$A$206,H908)&gt;0,"Yes","Not on stock sheet"))</f>
        <v/>
      </c>
    </row>
    <row r="909" customFormat="false" ht="14.25" hidden="false" customHeight="true" outlineLevel="0" collapsed="false">
      <c r="E909" s="17"/>
      <c r="H909" s="17" t="str">
        <f aca="false">IF(TRIM(C909)="","",IFERROR(INDEX('Code Aliases'!$B:$B,MATCH(TRIM(C909),'Code Aliases'!$A:$A,0)),TRIM(C909)))</f>
        <v/>
      </c>
      <c r="I909" s="17" t="str">
        <f aca="false">IF(TRIM(B909)="","",UPPER(TRIM(B909)))</f>
        <v/>
      </c>
      <c r="J909" s="17" t="str">
        <f aca="false">IF(H909="","",IF(COUNTIF('Master Stock'!$A$5:$A$206,H909)&gt;0,"Yes","Not on stock sheet"))</f>
        <v/>
      </c>
    </row>
    <row r="910" customFormat="false" ht="14.25" hidden="false" customHeight="true" outlineLevel="0" collapsed="false">
      <c r="E910" s="17"/>
      <c r="H910" s="17" t="str">
        <f aca="false">IF(TRIM(C910)="","",IFERROR(INDEX('Code Aliases'!$B:$B,MATCH(TRIM(C910),'Code Aliases'!$A:$A,0)),TRIM(C910)))</f>
        <v/>
      </c>
      <c r="I910" s="17" t="str">
        <f aca="false">IF(TRIM(B910)="","",UPPER(TRIM(B910)))</f>
        <v/>
      </c>
      <c r="J910" s="17" t="str">
        <f aca="false">IF(H910="","",IF(COUNTIF('Master Stock'!$A$5:$A$206,H910)&gt;0,"Yes","Not on stock sheet"))</f>
        <v/>
      </c>
    </row>
    <row r="911" customFormat="false" ht="14.25" hidden="false" customHeight="true" outlineLevel="0" collapsed="false">
      <c r="E911" s="17"/>
      <c r="H911" s="17" t="str">
        <f aca="false">IF(TRIM(C911)="","",IFERROR(INDEX('Code Aliases'!$B:$B,MATCH(TRIM(C911),'Code Aliases'!$A:$A,0)),TRIM(C911)))</f>
        <v/>
      </c>
      <c r="I911" s="17" t="str">
        <f aca="false">IF(TRIM(B911)="","",UPPER(TRIM(B911)))</f>
        <v/>
      </c>
      <c r="J911" s="17" t="str">
        <f aca="false">IF(H911="","",IF(COUNTIF('Master Stock'!$A$5:$A$206,H911)&gt;0,"Yes","Not on stock sheet"))</f>
        <v/>
      </c>
    </row>
    <row r="912" customFormat="false" ht="14.25" hidden="false" customHeight="true" outlineLevel="0" collapsed="false">
      <c r="E912" s="17"/>
      <c r="H912" s="17" t="str">
        <f aca="false">IF(TRIM(C912)="","",IFERROR(INDEX('Code Aliases'!$B:$B,MATCH(TRIM(C912),'Code Aliases'!$A:$A,0)),TRIM(C912)))</f>
        <v/>
      </c>
      <c r="I912" s="17" t="str">
        <f aca="false">IF(TRIM(B912)="","",UPPER(TRIM(B912)))</f>
        <v/>
      </c>
      <c r="J912" s="17" t="str">
        <f aca="false">IF(H912="","",IF(COUNTIF('Master Stock'!$A$5:$A$206,H912)&gt;0,"Yes","Not on stock sheet"))</f>
        <v/>
      </c>
    </row>
    <row r="913" customFormat="false" ht="14.25" hidden="false" customHeight="true" outlineLevel="0" collapsed="false">
      <c r="E913" s="17"/>
      <c r="H913" s="17" t="str">
        <f aca="false">IF(TRIM(C913)="","",IFERROR(INDEX('Code Aliases'!$B:$B,MATCH(TRIM(C913),'Code Aliases'!$A:$A,0)),TRIM(C913)))</f>
        <v/>
      </c>
      <c r="I913" s="17" t="str">
        <f aca="false">IF(TRIM(B913)="","",UPPER(TRIM(B913)))</f>
        <v/>
      </c>
      <c r="J913" s="17" t="str">
        <f aca="false">IF(H913="","",IF(COUNTIF('Master Stock'!$A$5:$A$206,H913)&gt;0,"Yes","Not on stock sheet"))</f>
        <v/>
      </c>
    </row>
    <row r="914" customFormat="false" ht="14.25" hidden="false" customHeight="true" outlineLevel="0" collapsed="false">
      <c r="E914" s="17"/>
      <c r="H914" s="17" t="str">
        <f aca="false">IF(TRIM(C914)="","",IFERROR(INDEX('Code Aliases'!$B:$B,MATCH(TRIM(C914),'Code Aliases'!$A:$A,0)),TRIM(C914)))</f>
        <v/>
      </c>
      <c r="I914" s="17" t="str">
        <f aca="false">IF(TRIM(B914)="","",UPPER(TRIM(B914)))</f>
        <v/>
      </c>
      <c r="J914" s="17" t="str">
        <f aca="false">IF(H914="","",IF(COUNTIF('Master Stock'!$A$5:$A$206,H914)&gt;0,"Yes","Not on stock sheet"))</f>
        <v/>
      </c>
    </row>
    <row r="915" customFormat="false" ht="14.25" hidden="false" customHeight="true" outlineLevel="0" collapsed="false">
      <c r="E915" s="17"/>
      <c r="H915" s="17" t="str">
        <f aca="false">IF(TRIM(C915)="","",IFERROR(INDEX('Code Aliases'!$B:$B,MATCH(TRIM(C915),'Code Aliases'!$A:$A,0)),TRIM(C915)))</f>
        <v/>
      </c>
      <c r="I915" s="17" t="str">
        <f aca="false">IF(TRIM(B915)="","",UPPER(TRIM(B915)))</f>
        <v/>
      </c>
      <c r="J915" s="17" t="str">
        <f aca="false">IF(H915="","",IF(COUNTIF('Master Stock'!$A$5:$A$206,H915)&gt;0,"Yes","Not on stock sheet"))</f>
        <v/>
      </c>
    </row>
    <row r="916" customFormat="false" ht="14.25" hidden="false" customHeight="true" outlineLevel="0" collapsed="false">
      <c r="E916" s="17"/>
      <c r="H916" s="17" t="str">
        <f aca="false">IF(TRIM(C916)="","",IFERROR(INDEX('Code Aliases'!$B:$B,MATCH(TRIM(C916),'Code Aliases'!$A:$A,0)),TRIM(C916)))</f>
        <v/>
      </c>
      <c r="I916" s="17" t="str">
        <f aca="false">IF(TRIM(B916)="","",UPPER(TRIM(B916)))</f>
        <v/>
      </c>
      <c r="J916" s="17" t="str">
        <f aca="false">IF(H916="","",IF(COUNTIF('Master Stock'!$A$5:$A$206,H916)&gt;0,"Yes","Not on stock sheet"))</f>
        <v/>
      </c>
    </row>
    <row r="917" customFormat="false" ht="14.25" hidden="false" customHeight="true" outlineLevel="0" collapsed="false">
      <c r="E917" s="17"/>
      <c r="H917" s="17" t="str">
        <f aca="false">IF(TRIM(C917)="","",IFERROR(INDEX('Code Aliases'!$B:$B,MATCH(TRIM(C917),'Code Aliases'!$A:$A,0)),TRIM(C917)))</f>
        <v/>
      </c>
      <c r="I917" s="17" t="str">
        <f aca="false">IF(TRIM(B917)="","",UPPER(TRIM(B917)))</f>
        <v/>
      </c>
      <c r="J917" s="17" t="str">
        <f aca="false">IF(H917="","",IF(COUNTIF('Master Stock'!$A$5:$A$206,H917)&gt;0,"Yes","Not on stock sheet"))</f>
        <v/>
      </c>
    </row>
    <row r="918" customFormat="false" ht="14.25" hidden="false" customHeight="true" outlineLevel="0" collapsed="false">
      <c r="E918" s="17"/>
      <c r="H918" s="17" t="str">
        <f aca="false">IF(TRIM(C918)="","",IFERROR(INDEX('Code Aliases'!$B:$B,MATCH(TRIM(C918),'Code Aliases'!$A:$A,0)),TRIM(C918)))</f>
        <v/>
      </c>
      <c r="I918" s="17" t="str">
        <f aca="false">IF(TRIM(B918)="","",UPPER(TRIM(B918)))</f>
        <v/>
      </c>
      <c r="J918" s="17" t="str">
        <f aca="false">IF(H918="","",IF(COUNTIF('Master Stock'!$A$5:$A$206,H918)&gt;0,"Yes","Not on stock sheet"))</f>
        <v/>
      </c>
    </row>
    <row r="919" customFormat="false" ht="14.25" hidden="false" customHeight="true" outlineLevel="0" collapsed="false">
      <c r="E919" s="17"/>
      <c r="H919" s="17" t="str">
        <f aca="false">IF(TRIM(C919)="","",IFERROR(INDEX('Code Aliases'!$B:$B,MATCH(TRIM(C919),'Code Aliases'!$A:$A,0)),TRIM(C919)))</f>
        <v/>
      </c>
      <c r="I919" s="17" t="str">
        <f aca="false">IF(TRIM(B919)="","",UPPER(TRIM(B919)))</f>
        <v/>
      </c>
      <c r="J919" s="17" t="str">
        <f aca="false">IF(H919="","",IF(COUNTIF('Master Stock'!$A$5:$A$206,H919)&gt;0,"Yes","Not on stock sheet"))</f>
        <v/>
      </c>
    </row>
    <row r="920" customFormat="false" ht="14.25" hidden="false" customHeight="true" outlineLevel="0" collapsed="false">
      <c r="E920" s="17"/>
      <c r="H920" s="17" t="str">
        <f aca="false">IF(TRIM(C920)="","",IFERROR(INDEX('Code Aliases'!$B:$B,MATCH(TRIM(C920),'Code Aliases'!$A:$A,0)),TRIM(C920)))</f>
        <v/>
      </c>
      <c r="I920" s="17" t="str">
        <f aca="false">IF(TRIM(B920)="","",UPPER(TRIM(B920)))</f>
        <v/>
      </c>
      <c r="J920" s="17" t="str">
        <f aca="false">IF(H920="","",IF(COUNTIF('Master Stock'!$A$5:$A$206,H920)&gt;0,"Yes","Not on stock sheet"))</f>
        <v/>
      </c>
    </row>
    <row r="921" customFormat="false" ht="14.25" hidden="false" customHeight="true" outlineLevel="0" collapsed="false">
      <c r="E921" s="17"/>
      <c r="H921" s="17" t="str">
        <f aca="false">IF(TRIM(C921)="","",IFERROR(INDEX('Code Aliases'!$B:$B,MATCH(TRIM(C921),'Code Aliases'!$A:$A,0)),TRIM(C921)))</f>
        <v/>
      </c>
      <c r="I921" s="17" t="str">
        <f aca="false">IF(TRIM(B921)="","",UPPER(TRIM(B921)))</f>
        <v/>
      </c>
      <c r="J921" s="17" t="str">
        <f aca="false">IF(H921="","",IF(COUNTIF('Master Stock'!$A$5:$A$206,H921)&gt;0,"Yes","Not on stock sheet"))</f>
        <v/>
      </c>
    </row>
    <row r="922" customFormat="false" ht="14.25" hidden="false" customHeight="true" outlineLevel="0" collapsed="false">
      <c r="E922" s="17"/>
      <c r="H922" s="17" t="str">
        <f aca="false">IF(TRIM(C922)="","",IFERROR(INDEX('Code Aliases'!$B:$B,MATCH(TRIM(C922),'Code Aliases'!$A:$A,0)),TRIM(C922)))</f>
        <v/>
      </c>
      <c r="I922" s="17" t="str">
        <f aca="false">IF(TRIM(B922)="","",UPPER(TRIM(B922)))</f>
        <v/>
      </c>
      <c r="J922" s="17" t="str">
        <f aca="false">IF(H922="","",IF(COUNTIF('Master Stock'!$A$5:$A$206,H922)&gt;0,"Yes","Not on stock sheet"))</f>
        <v/>
      </c>
    </row>
    <row r="923" customFormat="false" ht="14.25" hidden="false" customHeight="true" outlineLevel="0" collapsed="false">
      <c r="E923" s="17"/>
      <c r="H923" s="17" t="str">
        <f aca="false">IF(TRIM(C923)="","",IFERROR(INDEX('Code Aliases'!$B:$B,MATCH(TRIM(C923),'Code Aliases'!$A:$A,0)),TRIM(C923)))</f>
        <v/>
      </c>
      <c r="I923" s="17" t="str">
        <f aca="false">IF(TRIM(B923)="","",UPPER(TRIM(B923)))</f>
        <v/>
      </c>
      <c r="J923" s="17" t="str">
        <f aca="false">IF(H923="","",IF(COUNTIF('Master Stock'!$A$5:$A$206,H923)&gt;0,"Yes","Not on stock sheet"))</f>
        <v/>
      </c>
    </row>
    <row r="924" customFormat="false" ht="14.25" hidden="false" customHeight="true" outlineLevel="0" collapsed="false">
      <c r="E924" s="17"/>
      <c r="H924" s="17" t="str">
        <f aca="false">IF(TRIM(C924)="","",IFERROR(INDEX('Code Aliases'!$B:$B,MATCH(TRIM(C924),'Code Aliases'!$A:$A,0)),TRIM(C924)))</f>
        <v/>
      </c>
      <c r="I924" s="17" t="str">
        <f aca="false">IF(TRIM(B924)="","",UPPER(TRIM(B924)))</f>
        <v/>
      </c>
      <c r="J924" s="17" t="str">
        <f aca="false">IF(H924="","",IF(COUNTIF('Master Stock'!$A$5:$A$206,H924)&gt;0,"Yes","Not on stock sheet"))</f>
        <v/>
      </c>
    </row>
    <row r="925" customFormat="false" ht="14.25" hidden="false" customHeight="true" outlineLevel="0" collapsed="false">
      <c r="E925" s="17"/>
      <c r="H925" s="17" t="str">
        <f aca="false">IF(TRIM(C925)="","",IFERROR(INDEX('Code Aliases'!$B:$B,MATCH(TRIM(C925),'Code Aliases'!$A:$A,0)),TRIM(C925)))</f>
        <v/>
      </c>
      <c r="I925" s="17" t="str">
        <f aca="false">IF(TRIM(B925)="","",UPPER(TRIM(B925)))</f>
        <v/>
      </c>
      <c r="J925" s="17" t="str">
        <f aca="false">IF(H925="","",IF(COUNTIF('Master Stock'!$A$5:$A$206,H925)&gt;0,"Yes","Not on stock sheet"))</f>
        <v/>
      </c>
    </row>
    <row r="926" customFormat="false" ht="14.25" hidden="false" customHeight="true" outlineLevel="0" collapsed="false">
      <c r="E926" s="17"/>
      <c r="H926" s="17" t="str">
        <f aca="false">IF(TRIM(C926)="","",IFERROR(INDEX('Code Aliases'!$B:$B,MATCH(TRIM(C926),'Code Aliases'!$A:$A,0)),TRIM(C926)))</f>
        <v/>
      </c>
      <c r="I926" s="17" t="str">
        <f aca="false">IF(TRIM(B926)="","",UPPER(TRIM(B926)))</f>
        <v/>
      </c>
      <c r="J926" s="17" t="str">
        <f aca="false">IF(H926="","",IF(COUNTIF('Master Stock'!$A$5:$A$206,H926)&gt;0,"Yes","Not on stock sheet"))</f>
        <v/>
      </c>
    </row>
    <row r="927" customFormat="false" ht="14.25" hidden="false" customHeight="true" outlineLevel="0" collapsed="false">
      <c r="E927" s="17"/>
      <c r="H927" s="17" t="str">
        <f aca="false">IF(TRIM(C927)="","",IFERROR(INDEX('Code Aliases'!$B:$B,MATCH(TRIM(C927),'Code Aliases'!$A:$A,0)),TRIM(C927)))</f>
        <v/>
      </c>
      <c r="I927" s="17" t="str">
        <f aca="false">IF(TRIM(B927)="","",UPPER(TRIM(B927)))</f>
        <v/>
      </c>
      <c r="J927" s="17" t="str">
        <f aca="false">IF(H927="","",IF(COUNTIF('Master Stock'!$A$5:$A$206,H927)&gt;0,"Yes","Not on stock sheet"))</f>
        <v/>
      </c>
    </row>
    <row r="928" customFormat="false" ht="14.25" hidden="false" customHeight="true" outlineLevel="0" collapsed="false">
      <c r="E928" s="17"/>
      <c r="H928" s="17" t="str">
        <f aca="false">IF(TRIM(C928)="","",IFERROR(INDEX('Code Aliases'!$B:$B,MATCH(TRIM(C928),'Code Aliases'!$A:$A,0)),TRIM(C928)))</f>
        <v/>
      </c>
      <c r="I928" s="17" t="str">
        <f aca="false">IF(TRIM(B928)="","",UPPER(TRIM(B928)))</f>
        <v/>
      </c>
      <c r="J928" s="17" t="str">
        <f aca="false">IF(H928="","",IF(COUNTIF('Master Stock'!$A$5:$A$206,H928)&gt;0,"Yes","Not on stock sheet"))</f>
        <v/>
      </c>
    </row>
    <row r="929" customFormat="false" ht="14.25" hidden="false" customHeight="true" outlineLevel="0" collapsed="false">
      <c r="E929" s="17"/>
      <c r="H929" s="17" t="str">
        <f aca="false">IF(TRIM(C929)="","",IFERROR(INDEX('Code Aliases'!$B:$B,MATCH(TRIM(C929),'Code Aliases'!$A:$A,0)),TRIM(C929)))</f>
        <v/>
      </c>
      <c r="I929" s="17" t="str">
        <f aca="false">IF(TRIM(B929)="","",UPPER(TRIM(B929)))</f>
        <v/>
      </c>
      <c r="J929" s="17" t="str">
        <f aca="false">IF(H929="","",IF(COUNTIF('Master Stock'!$A$5:$A$206,H929)&gt;0,"Yes","Not on stock sheet"))</f>
        <v/>
      </c>
    </row>
    <row r="930" customFormat="false" ht="14.25" hidden="false" customHeight="true" outlineLevel="0" collapsed="false">
      <c r="E930" s="17"/>
      <c r="H930" s="17" t="str">
        <f aca="false">IF(TRIM(C930)="","",IFERROR(INDEX('Code Aliases'!$B:$B,MATCH(TRIM(C930),'Code Aliases'!$A:$A,0)),TRIM(C930)))</f>
        <v/>
      </c>
      <c r="I930" s="17" t="str">
        <f aca="false">IF(TRIM(B930)="","",UPPER(TRIM(B930)))</f>
        <v/>
      </c>
      <c r="J930" s="17" t="str">
        <f aca="false">IF(H930="","",IF(COUNTIF('Master Stock'!$A$5:$A$206,H930)&gt;0,"Yes","Not on stock sheet"))</f>
        <v/>
      </c>
    </row>
    <row r="931" customFormat="false" ht="14.25" hidden="false" customHeight="true" outlineLevel="0" collapsed="false">
      <c r="E931" s="17"/>
      <c r="H931" s="17" t="str">
        <f aca="false">IF(TRIM(C931)="","",IFERROR(INDEX('Code Aliases'!$B:$B,MATCH(TRIM(C931),'Code Aliases'!$A:$A,0)),TRIM(C931)))</f>
        <v/>
      </c>
      <c r="I931" s="17" t="str">
        <f aca="false">IF(TRIM(B931)="","",UPPER(TRIM(B931)))</f>
        <v/>
      </c>
      <c r="J931" s="17" t="str">
        <f aca="false">IF(H931="","",IF(COUNTIF('Master Stock'!$A$5:$A$206,H931)&gt;0,"Yes","Not on stock sheet"))</f>
        <v/>
      </c>
    </row>
    <row r="932" customFormat="false" ht="14.25" hidden="false" customHeight="true" outlineLevel="0" collapsed="false">
      <c r="E932" s="17"/>
      <c r="H932" s="17" t="str">
        <f aca="false">IF(TRIM(C932)="","",IFERROR(INDEX('Code Aliases'!$B:$B,MATCH(TRIM(C932),'Code Aliases'!$A:$A,0)),TRIM(C932)))</f>
        <v/>
      </c>
      <c r="I932" s="17" t="str">
        <f aca="false">IF(TRIM(B932)="","",UPPER(TRIM(B932)))</f>
        <v/>
      </c>
      <c r="J932" s="17" t="str">
        <f aca="false">IF(H932="","",IF(COUNTIF('Master Stock'!$A$5:$A$206,H932)&gt;0,"Yes","Not on stock sheet"))</f>
        <v/>
      </c>
    </row>
    <row r="933" customFormat="false" ht="14.25" hidden="false" customHeight="true" outlineLevel="0" collapsed="false">
      <c r="E933" s="17"/>
      <c r="H933" s="17" t="str">
        <f aca="false">IF(TRIM(C933)="","",IFERROR(INDEX('Code Aliases'!$B:$B,MATCH(TRIM(C933),'Code Aliases'!$A:$A,0)),TRIM(C933)))</f>
        <v/>
      </c>
      <c r="I933" s="17" t="str">
        <f aca="false">IF(TRIM(B933)="","",UPPER(TRIM(B933)))</f>
        <v/>
      </c>
      <c r="J933" s="17" t="str">
        <f aca="false">IF(H933="","",IF(COUNTIF('Master Stock'!$A$5:$A$206,H933)&gt;0,"Yes","Not on stock sheet"))</f>
        <v/>
      </c>
    </row>
    <row r="934" customFormat="false" ht="14.25" hidden="false" customHeight="true" outlineLevel="0" collapsed="false">
      <c r="E934" s="17"/>
      <c r="H934" s="17" t="str">
        <f aca="false">IF(TRIM(C934)="","",IFERROR(INDEX('Code Aliases'!$B:$B,MATCH(TRIM(C934),'Code Aliases'!$A:$A,0)),TRIM(C934)))</f>
        <v/>
      </c>
      <c r="I934" s="17" t="str">
        <f aca="false">IF(TRIM(B934)="","",UPPER(TRIM(B934)))</f>
        <v/>
      </c>
      <c r="J934" s="17" t="str">
        <f aca="false">IF(H934="","",IF(COUNTIF('Master Stock'!$A$5:$A$206,H934)&gt;0,"Yes","Not on stock sheet"))</f>
        <v/>
      </c>
    </row>
    <row r="935" customFormat="false" ht="14.25" hidden="false" customHeight="true" outlineLevel="0" collapsed="false">
      <c r="E935" s="17"/>
      <c r="H935" s="17" t="str">
        <f aca="false">IF(TRIM(C935)="","",IFERROR(INDEX('Code Aliases'!$B:$B,MATCH(TRIM(C935),'Code Aliases'!$A:$A,0)),TRIM(C935)))</f>
        <v/>
      </c>
      <c r="I935" s="17" t="str">
        <f aca="false">IF(TRIM(B935)="","",UPPER(TRIM(B935)))</f>
        <v/>
      </c>
      <c r="J935" s="17" t="str">
        <f aca="false">IF(H935="","",IF(COUNTIF('Master Stock'!$A$5:$A$206,H935)&gt;0,"Yes","Not on stock sheet"))</f>
        <v/>
      </c>
    </row>
    <row r="936" customFormat="false" ht="14.25" hidden="false" customHeight="true" outlineLevel="0" collapsed="false">
      <c r="E936" s="17"/>
      <c r="H936" s="17" t="str">
        <f aca="false">IF(TRIM(C936)="","",IFERROR(INDEX('Code Aliases'!$B:$B,MATCH(TRIM(C936),'Code Aliases'!$A:$A,0)),TRIM(C936)))</f>
        <v/>
      </c>
      <c r="I936" s="17" t="str">
        <f aca="false">IF(TRIM(B936)="","",UPPER(TRIM(B936)))</f>
        <v/>
      </c>
      <c r="J936" s="17" t="str">
        <f aca="false">IF(H936="","",IF(COUNTIF('Master Stock'!$A$5:$A$206,H936)&gt;0,"Yes","Not on stock sheet"))</f>
        <v/>
      </c>
    </row>
    <row r="937" customFormat="false" ht="14.25" hidden="false" customHeight="true" outlineLevel="0" collapsed="false">
      <c r="E937" s="17"/>
      <c r="H937" s="17" t="str">
        <f aca="false">IF(TRIM(C937)="","",IFERROR(INDEX('Code Aliases'!$B:$B,MATCH(TRIM(C937),'Code Aliases'!$A:$A,0)),TRIM(C937)))</f>
        <v/>
      </c>
      <c r="I937" s="17" t="str">
        <f aca="false">IF(TRIM(B937)="","",UPPER(TRIM(B937)))</f>
        <v/>
      </c>
      <c r="J937" s="17" t="str">
        <f aca="false">IF(H937="","",IF(COUNTIF('Master Stock'!$A$5:$A$206,H937)&gt;0,"Yes","Not on stock sheet"))</f>
        <v/>
      </c>
    </row>
    <row r="938" customFormat="false" ht="14.25" hidden="false" customHeight="true" outlineLevel="0" collapsed="false">
      <c r="E938" s="17"/>
      <c r="H938" s="17" t="str">
        <f aca="false">IF(TRIM(C938)="","",IFERROR(INDEX('Code Aliases'!$B:$B,MATCH(TRIM(C938),'Code Aliases'!$A:$A,0)),TRIM(C938)))</f>
        <v/>
      </c>
      <c r="I938" s="17" t="str">
        <f aca="false">IF(TRIM(B938)="","",UPPER(TRIM(B938)))</f>
        <v/>
      </c>
      <c r="J938" s="17" t="str">
        <f aca="false">IF(H938="","",IF(COUNTIF('Master Stock'!$A$5:$A$206,H938)&gt;0,"Yes","Not on stock sheet"))</f>
        <v/>
      </c>
    </row>
    <row r="939" customFormat="false" ht="14.25" hidden="false" customHeight="true" outlineLevel="0" collapsed="false">
      <c r="E939" s="17"/>
      <c r="H939" s="17" t="str">
        <f aca="false">IF(TRIM(C939)="","",IFERROR(INDEX('Code Aliases'!$B:$B,MATCH(TRIM(C939),'Code Aliases'!$A:$A,0)),TRIM(C939)))</f>
        <v/>
      </c>
      <c r="I939" s="17" t="str">
        <f aca="false">IF(TRIM(B939)="","",UPPER(TRIM(B939)))</f>
        <v/>
      </c>
      <c r="J939" s="17" t="str">
        <f aca="false">IF(H939="","",IF(COUNTIF('Master Stock'!$A$5:$A$206,H939)&gt;0,"Yes","Not on stock sheet"))</f>
        <v/>
      </c>
    </row>
    <row r="940" customFormat="false" ht="14.25" hidden="false" customHeight="true" outlineLevel="0" collapsed="false">
      <c r="E940" s="17"/>
      <c r="H940" s="17" t="str">
        <f aca="false">IF(TRIM(C940)="","",IFERROR(INDEX('Code Aliases'!$B:$B,MATCH(TRIM(C940),'Code Aliases'!$A:$A,0)),TRIM(C940)))</f>
        <v/>
      </c>
      <c r="I940" s="17" t="str">
        <f aca="false">IF(TRIM(B940)="","",UPPER(TRIM(B940)))</f>
        <v/>
      </c>
      <c r="J940" s="17" t="str">
        <f aca="false">IF(H940="","",IF(COUNTIF('Master Stock'!$A$5:$A$206,H940)&gt;0,"Yes","Not on stock sheet"))</f>
        <v/>
      </c>
    </row>
    <row r="941" customFormat="false" ht="14.25" hidden="false" customHeight="true" outlineLevel="0" collapsed="false">
      <c r="E941" s="17"/>
      <c r="H941" s="17" t="str">
        <f aca="false">IF(TRIM(C941)="","",IFERROR(INDEX('Code Aliases'!$B:$B,MATCH(TRIM(C941),'Code Aliases'!$A:$A,0)),TRIM(C941)))</f>
        <v/>
      </c>
      <c r="I941" s="17" t="str">
        <f aca="false">IF(TRIM(B941)="","",UPPER(TRIM(B941)))</f>
        <v/>
      </c>
      <c r="J941" s="17" t="str">
        <f aca="false">IF(H941="","",IF(COUNTIF('Master Stock'!$A$5:$A$206,H941)&gt;0,"Yes","Not on stock sheet"))</f>
        <v/>
      </c>
    </row>
    <row r="942" customFormat="false" ht="14.25" hidden="false" customHeight="true" outlineLevel="0" collapsed="false">
      <c r="E942" s="17"/>
      <c r="H942" s="17" t="str">
        <f aca="false">IF(TRIM(C942)="","",IFERROR(INDEX('Code Aliases'!$B:$B,MATCH(TRIM(C942),'Code Aliases'!$A:$A,0)),TRIM(C942)))</f>
        <v/>
      </c>
      <c r="I942" s="17" t="str">
        <f aca="false">IF(TRIM(B942)="","",UPPER(TRIM(B942)))</f>
        <v/>
      </c>
      <c r="J942" s="17" t="str">
        <f aca="false">IF(H942="","",IF(COUNTIF('Master Stock'!$A$5:$A$206,H942)&gt;0,"Yes","Not on stock sheet"))</f>
        <v/>
      </c>
    </row>
    <row r="943" customFormat="false" ht="14.25" hidden="false" customHeight="true" outlineLevel="0" collapsed="false">
      <c r="E943" s="17"/>
      <c r="H943" s="17" t="str">
        <f aca="false">IF(TRIM(C943)="","",IFERROR(INDEX('Code Aliases'!$B:$B,MATCH(TRIM(C943),'Code Aliases'!$A:$A,0)),TRIM(C943)))</f>
        <v/>
      </c>
      <c r="I943" s="17" t="str">
        <f aca="false">IF(TRIM(B943)="","",UPPER(TRIM(B943)))</f>
        <v/>
      </c>
      <c r="J943" s="17" t="str">
        <f aca="false">IF(H943="","",IF(COUNTIF('Master Stock'!$A$5:$A$206,H943)&gt;0,"Yes","Not on stock sheet"))</f>
        <v/>
      </c>
    </row>
    <row r="944" customFormat="false" ht="14.25" hidden="false" customHeight="true" outlineLevel="0" collapsed="false">
      <c r="E944" s="17"/>
      <c r="H944" s="17" t="str">
        <f aca="false">IF(TRIM(C944)="","",IFERROR(INDEX('Code Aliases'!$B:$B,MATCH(TRIM(C944),'Code Aliases'!$A:$A,0)),TRIM(C944)))</f>
        <v/>
      </c>
      <c r="I944" s="17" t="str">
        <f aca="false">IF(TRIM(B944)="","",UPPER(TRIM(B944)))</f>
        <v/>
      </c>
      <c r="J944" s="17" t="str">
        <f aca="false">IF(H944="","",IF(COUNTIF('Master Stock'!$A$5:$A$206,H944)&gt;0,"Yes","Not on stock sheet"))</f>
        <v/>
      </c>
    </row>
    <row r="945" customFormat="false" ht="14.25" hidden="false" customHeight="true" outlineLevel="0" collapsed="false">
      <c r="E945" s="17"/>
      <c r="H945" s="17" t="str">
        <f aca="false">IF(TRIM(C945)="","",IFERROR(INDEX('Code Aliases'!$B:$B,MATCH(TRIM(C945),'Code Aliases'!$A:$A,0)),TRIM(C945)))</f>
        <v/>
      </c>
      <c r="I945" s="17" t="str">
        <f aca="false">IF(TRIM(B945)="","",UPPER(TRIM(B945)))</f>
        <v/>
      </c>
      <c r="J945" s="17" t="str">
        <f aca="false">IF(H945="","",IF(COUNTIF('Master Stock'!$A$5:$A$206,H945)&gt;0,"Yes","Not on stock sheet"))</f>
        <v/>
      </c>
    </row>
    <row r="946" customFormat="false" ht="14.25" hidden="false" customHeight="true" outlineLevel="0" collapsed="false">
      <c r="E946" s="17"/>
      <c r="H946" s="17" t="str">
        <f aca="false">IF(TRIM(C946)="","",IFERROR(INDEX('Code Aliases'!$B:$B,MATCH(TRIM(C946),'Code Aliases'!$A:$A,0)),TRIM(C946)))</f>
        <v/>
      </c>
      <c r="I946" s="17" t="str">
        <f aca="false">IF(TRIM(B946)="","",UPPER(TRIM(B946)))</f>
        <v/>
      </c>
      <c r="J946" s="17" t="str">
        <f aca="false">IF(H946="","",IF(COUNTIF('Master Stock'!$A$5:$A$206,H946)&gt;0,"Yes","Not on stock sheet"))</f>
        <v/>
      </c>
    </row>
    <row r="947" customFormat="false" ht="14.25" hidden="false" customHeight="true" outlineLevel="0" collapsed="false">
      <c r="E947" s="17"/>
      <c r="H947" s="17" t="str">
        <f aca="false">IF(TRIM(C947)="","",IFERROR(INDEX('Code Aliases'!$B:$B,MATCH(TRIM(C947),'Code Aliases'!$A:$A,0)),TRIM(C947)))</f>
        <v/>
      </c>
      <c r="I947" s="17" t="str">
        <f aca="false">IF(TRIM(B947)="","",UPPER(TRIM(B947)))</f>
        <v/>
      </c>
      <c r="J947" s="17" t="str">
        <f aca="false">IF(H947="","",IF(COUNTIF('Master Stock'!$A$5:$A$206,H947)&gt;0,"Yes","Not on stock sheet"))</f>
        <v/>
      </c>
    </row>
    <row r="948" customFormat="false" ht="14.25" hidden="false" customHeight="true" outlineLevel="0" collapsed="false">
      <c r="E948" s="17"/>
      <c r="H948" s="17" t="str">
        <f aca="false">IF(TRIM(C948)="","",IFERROR(INDEX('Code Aliases'!$B:$B,MATCH(TRIM(C948),'Code Aliases'!$A:$A,0)),TRIM(C948)))</f>
        <v/>
      </c>
      <c r="I948" s="17" t="str">
        <f aca="false">IF(TRIM(B948)="","",UPPER(TRIM(B948)))</f>
        <v/>
      </c>
      <c r="J948" s="17" t="str">
        <f aca="false">IF(H948="","",IF(COUNTIF('Master Stock'!$A$5:$A$206,H948)&gt;0,"Yes","Not on stock sheet"))</f>
        <v/>
      </c>
    </row>
    <row r="949" customFormat="false" ht="14.25" hidden="false" customHeight="true" outlineLevel="0" collapsed="false">
      <c r="E949" s="17"/>
      <c r="H949" s="17" t="str">
        <f aca="false">IF(TRIM(C949)="","",IFERROR(INDEX('Code Aliases'!$B:$B,MATCH(TRIM(C949),'Code Aliases'!$A:$A,0)),TRIM(C949)))</f>
        <v/>
      </c>
      <c r="I949" s="17" t="str">
        <f aca="false">IF(TRIM(B949)="","",UPPER(TRIM(B949)))</f>
        <v/>
      </c>
      <c r="J949" s="17" t="str">
        <f aca="false">IF(H949="","",IF(COUNTIF('Master Stock'!$A$5:$A$206,H949)&gt;0,"Yes","Not on stock sheet"))</f>
        <v/>
      </c>
    </row>
    <row r="950" customFormat="false" ht="14.25" hidden="false" customHeight="true" outlineLevel="0" collapsed="false">
      <c r="E950" s="17"/>
      <c r="H950" s="17" t="str">
        <f aca="false">IF(TRIM(C950)="","",IFERROR(INDEX('Code Aliases'!$B:$B,MATCH(TRIM(C950),'Code Aliases'!$A:$A,0)),TRIM(C950)))</f>
        <v/>
      </c>
      <c r="I950" s="17" t="str">
        <f aca="false">IF(TRIM(B950)="","",UPPER(TRIM(B950)))</f>
        <v/>
      </c>
      <c r="J950" s="17" t="str">
        <f aca="false">IF(H950="","",IF(COUNTIF('Master Stock'!$A$5:$A$206,H950)&gt;0,"Yes","Not on stock sheet"))</f>
        <v/>
      </c>
    </row>
    <row r="951" customFormat="false" ht="14.25" hidden="false" customHeight="true" outlineLevel="0" collapsed="false">
      <c r="E951" s="17"/>
      <c r="H951" s="17" t="str">
        <f aca="false">IF(TRIM(C951)="","",IFERROR(INDEX('Code Aliases'!$B:$B,MATCH(TRIM(C951),'Code Aliases'!$A:$A,0)),TRIM(C951)))</f>
        <v/>
      </c>
      <c r="I951" s="17" t="str">
        <f aca="false">IF(TRIM(B951)="","",UPPER(TRIM(B951)))</f>
        <v/>
      </c>
      <c r="J951" s="17" t="str">
        <f aca="false">IF(H951="","",IF(COUNTIF('Master Stock'!$A$5:$A$206,H951)&gt;0,"Yes","Not on stock sheet"))</f>
        <v/>
      </c>
    </row>
    <row r="952" customFormat="false" ht="14.25" hidden="false" customHeight="true" outlineLevel="0" collapsed="false">
      <c r="E952" s="17"/>
      <c r="H952" s="17" t="str">
        <f aca="false">IF(TRIM(C952)="","",IFERROR(INDEX('Code Aliases'!$B:$B,MATCH(TRIM(C952),'Code Aliases'!$A:$A,0)),TRIM(C952)))</f>
        <v/>
      </c>
      <c r="I952" s="17" t="str">
        <f aca="false">IF(TRIM(B952)="","",UPPER(TRIM(B952)))</f>
        <v/>
      </c>
      <c r="J952" s="17" t="str">
        <f aca="false">IF(H952="","",IF(COUNTIF('Master Stock'!$A$5:$A$206,H952)&gt;0,"Yes","Not on stock sheet"))</f>
        <v/>
      </c>
    </row>
    <row r="953" customFormat="false" ht="14.25" hidden="false" customHeight="true" outlineLevel="0" collapsed="false">
      <c r="E953" s="17"/>
      <c r="H953" s="17" t="str">
        <f aca="false">IF(TRIM(C953)="","",IFERROR(INDEX('Code Aliases'!$B:$B,MATCH(TRIM(C953),'Code Aliases'!$A:$A,0)),TRIM(C953)))</f>
        <v/>
      </c>
      <c r="I953" s="17" t="str">
        <f aca="false">IF(TRIM(B953)="","",UPPER(TRIM(B953)))</f>
        <v/>
      </c>
      <c r="J953" s="17" t="str">
        <f aca="false">IF(H953="","",IF(COUNTIF('Master Stock'!$A$5:$A$206,H953)&gt;0,"Yes","Not on stock sheet"))</f>
        <v/>
      </c>
    </row>
    <row r="954" customFormat="false" ht="14.25" hidden="false" customHeight="true" outlineLevel="0" collapsed="false">
      <c r="E954" s="17"/>
      <c r="H954" s="17" t="str">
        <f aca="false">IF(TRIM(C954)="","",IFERROR(INDEX('Code Aliases'!$B:$B,MATCH(TRIM(C954),'Code Aliases'!$A:$A,0)),TRIM(C954)))</f>
        <v/>
      </c>
      <c r="I954" s="17" t="str">
        <f aca="false">IF(TRIM(B954)="","",UPPER(TRIM(B954)))</f>
        <v/>
      </c>
      <c r="J954" s="17" t="str">
        <f aca="false">IF(H954="","",IF(COUNTIF('Master Stock'!$A$5:$A$206,H954)&gt;0,"Yes","Not on stock sheet"))</f>
        <v/>
      </c>
    </row>
    <row r="955" customFormat="false" ht="14.25" hidden="false" customHeight="true" outlineLevel="0" collapsed="false">
      <c r="E955" s="17"/>
      <c r="H955" s="17" t="str">
        <f aca="false">IF(TRIM(C955)="","",IFERROR(INDEX('Code Aliases'!$B:$B,MATCH(TRIM(C955),'Code Aliases'!$A:$A,0)),TRIM(C955)))</f>
        <v/>
      </c>
      <c r="I955" s="17" t="str">
        <f aca="false">IF(TRIM(B955)="","",UPPER(TRIM(B955)))</f>
        <v/>
      </c>
      <c r="J955" s="17" t="str">
        <f aca="false">IF(H955="","",IF(COUNTIF('Master Stock'!$A$5:$A$206,H955)&gt;0,"Yes","Not on stock sheet"))</f>
        <v/>
      </c>
    </row>
    <row r="956" customFormat="false" ht="14.25" hidden="false" customHeight="true" outlineLevel="0" collapsed="false">
      <c r="E956" s="17"/>
      <c r="H956" s="17" t="str">
        <f aca="false">IF(TRIM(C956)="","",IFERROR(INDEX('Code Aliases'!$B:$B,MATCH(TRIM(C956),'Code Aliases'!$A:$A,0)),TRIM(C956)))</f>
        <v/>
      </c>
      <c r="I956" s="17" t="str">
        <f aca="false">IF(TRIM(B956)="","",UPPER(TRIM(B956)))</f>
        <v/>
      </c>
      <c r="J956" s="17" t="str">
        <f aca="false">IF(H956="","",IF(COUNTIF('Master Stock'!$A$5:$A$206,H956)&gt;0,"Yes","Not on stock sheet"))</f>
        <v/>
      </c>
    </row>
    <row r="957" customFormat="false" ht="14.25" hidden="false" customHeight="true" outlineLevel="0" collapsed="false">
      <c r="E957" s="17"/>
      <c r="H957" s="17" t="str">
        <f aca="false">IF(TRIM(C957)="","",IFERROR(INDEX('Code Aliases'!$B:$B,MATCH(TRIM(C957),'Code Aliases'!$A:$A,0)),TRIM(C957)))</f>
        <v/>
      </c>
      <c r="I957" s="17" t="str">
        <f aca="false">IF(TRIM(B957)="","",UPPER(TRIM(B957)))</f>
        <v/>
      </c>
      <c r="J957" s="17" t="str">
        <f aca="false">IF(H957="","",IF(COUNTIF('Master Stock'!$A$5:$A$206,H957)&gt;0,"Yes","Not on stock sheet"))</f>
        <v/>
      </c>
    </row>
    <row r="958" customFormat="false" ht="14.25" hidden="false" customHeight="true" outlineLevel="0" collapsed="false">
      <c r="E958" s="17"/>
      <c r="H958" s="17" t="str">
        <f aca="false">IF(TRIM(C958)="","",IFERROR(INDEX('Code Aliases'!$B:$B,MATCH(TRIM(C958),'Code Aliases'!$A:$A,0)),TRIM(C958)))</f>
        <v/>
      </c>
      <c r="I958" s="17" t="str">
        <f aca="false">IF(TRIM(B958)="","",UPPER(TRIM(B958)))</f>
        <v/>
      </c>
      <c r="J958" s="17" t="str">
        <f aca="false">IF(H958="","",IF(COUNTIF('Master Stock'!$A$5:$A$206,H958)&gt;0,"Yes","Not on stock sheet"))</f>
        <v/>
      </c>
    </row>
    <row r="959" customFormat="false" ht="14.25" hidden="false" customHeight="true" outlineLevel="0" collapsed="false">
      <c r="E959" s="17"/>
      <c r="H959" s="17" t="str">
        <f aca="false">IF(TRIM(C959)="","",IFERROR(INDEX('Code Aliases'!$B:$B,MATCH(TRIM(C959),'Code Aliases'!$A:$A,0)),TRIM(C959)))</f>
        <v/>
      </c>
      <c r="I959" s="17" t="str">
        <f aca="false">IF(TRIM(B959)="","",UPPER(TRIM(B959)))</f>
        <v/>
      </c>
      <c r="J959" s="17" t="str">
        <f aca="false">IF(H959="","",IF(COUNTIF('Master Stock'!$A$5:$A$206,H959)&gt;0,"Yes","Not on stock sheet"))</f>
        <v/>
      </c>
    </row>
    <row r="960" customFormat="false" ht="14.25" hidden="false" customHeight="true" outlineLevel="0" collapsed="false">
      <c r="E960" s="17"/>
      <c r="H960" s="17" t="str">
        <f aca="false">IF(TRIM(C960)="","",IFERROR(INDEX('Code Aliases'!$B:$B,MATCH(TRIM(C960),'Code Aliases'!$A:$A,0)),TRIM(C960)))</f>
        <v/>
      </c>
      <c r="I960" s="17" t="str">
        <f aca="false">IF(TRIM(B960)="","",UPPER(TRIM(B960)))</f>
        <v/>
      </c>
      <c r="J960" s="17" t="str">
        <f aca="false">IF(H960="","",IF(COUNTIF('Master Stock'!$A$5:$A$206,H960)&gt;0,"Yes","Not on stock sheet"))</f>
        <v/>
      </c>
    </row>
    <row r="961" customFormat="false" ht="14.25" hidden="false" customHeight="true" outlineLevel="0" collapsed="false">
      <c r="E961" s="17"/>
      <c r="H961" s="17" t="str">
        <f aca="false">IF(TRIM(C961)="","",IFERROR(INDEX('Code Aliases'!$B:$B,MATCH(TRIM(C961),'Code Aliases'!$A:$A,0)),TRIM(C961)))</f>
        <v/>
      </c>
      <c r="I961" s="17" t="str">
        <f aca="false">IF(TRIM(B961)="","",UPPER(TRIM(B961)))</f>
        <v/>
      </c>
      <c r="J961" s="17" t="str">
        <f aca="false">IF(H961="","",IF(COUNTIF('Master Stock'!$A$5:$A$206,H961)&gt;0,"Yes","Not on stock sheet"))</f>
        <v/>
      </c>
    </row>
    <row r="962" customFormat="false" ht="14.25" hidden="false" customHeight="true" outlineLevel="0" collapsed="false">
      <c r="E962" s="17"/>
      <c r="H962" s="17" t="str">
        <f aca="false">IF(TRIM(C962)="","",IFERROR(INDEX('Code Aliases'!$B:$B,MATCH(TRIM(C962),'Code Aliases'!$A:$A,0)),TRIM(C962)))</f>
        <v/>
      </c>
      <c r="I962" s="17" t="str">
        <f aca="false">IF(TRIM(B962)="","",UPPER(TRIM(B962)))</f>
        <v/>
      </c>
      <c r="J962" s="17" t="str">
        <f aca="false">IF(H962="","",IF(COUNTIF('Master Stock'!$A$5:$A$206,H962)&gt;0,"Yes","Not on stock sheet"))</f>
        <v/>
      </c>
    </row>
    <row r="963" customFormat="false" ht="14.25" hidden="false" customHeight="true" outlineLevel="0" collapsed="false">
      <c r="E963" s="17"/>
      <c r="H963" s="17" t="str">
        <f aca="false">IF(TRIM(C963)="","",IFERROR(INDEX('Code Aliases'!$B:$B,MATCH(TRIM(C963),'Code Aliases'!$A:$A,0)),TRIM(C963)))</f>
        <v/>
      </c>
      <c r="I963" s="17" t="str">
        <f aca="false">IF(TRIM(B963)="","",UPPER(TRIM(B963)))</f>
        <v/>
      </c>
      <c r="J963" s="17" t="str">
        <f aca="false">IF(H963="","",IF(COUNTIF('Master Stock'!$A$5:$A$206,H963)&gt;0,"Yes","Not on stock sheet"))</f>
        <v/>
      </c>
    </row>
    <row r="964" customFormat="false" ht="14.25" hidden="false" customHeight="true" outlineLevel="0" collapsed="false">
      <c r="E964" s="17"/>
      <c r="H964" s="17" t="str">
        <f aca="false">IF(TRIM(C964)="","",IFERROR(INDEX('Code Aliases'!$B:$B,MATCH(TRIM(C964),'Code Aliases'!$A:$A,0)),TRIM(C964)))</f>
        <v/>
      </c>
      <c r="I964" s="17" t="str">
        <f aca="false">IF(TRIM(B964)="","",UPPER(TRIM(B964)))</f>
        <v/>
      </c>
      <c r="J964" s="17" t="str">
        <f aca="false">IF(H964="","",IF(COUNTIF('Master Stock'!$A$5:$A$206,H964)&gt;0,"Yes","Not on stock sheet"))</f>
        <v/>
      </c>
    </row>
    <row r="965" customFormat="false" ht="14.25" hidden="false" customHeight="true" outlineLevel="0" collapsed="false">
      <c r="E965" s="17"/>
      <c r="H965" s="17" t="str">
        <f aca="false">IF(TRIM(C965)="","",IFERROR(INDEX('Code Aliases'!$B:$B,MATCH(TRIM(C965),'Code Aliases'!$A:$A,0)),TRIM(C965)))</f>
        <v/>
      </c>
      <c r="I965" s="17" t="str">
        <f aca="false">IF(TRIM(B965)="","",UPPER(TRIM(B965)))</f>
        <v/>
      </c>
      <c r="J965" s="17" t="str">
        <f aca="false">IF(H965="","",IF(COUNTIF('Master Stock'!$A$5:$A$206,H965)&gt;0,"Yes","Not on stock sheet"))</f>
        <v/>
      </c>
    </row>
    <row r="966" customFormat="false" ht="14.25" hidden="false" customHeight="true" outlineLevel="0" collapsed="false">
      <c r="E966" s="17"/>
      <c r="H966" s="17" t="str">
        <f aca="false">IF(TRIM(C966)="","",IFERROR(INDEX('Code Aliases'!$B:$B,MATCH(TRIM(C966),'Code Aliases'!$A:$A,0)),TRIM(C966)))</f>
        <v/>
      </c>
      <c r="I966" s="17" t="str">
        <f aca="false">IF(TRIM(B966)="","",UPPER(TRIM(B966)))</f>
        <v/>
      </c>
      <c r="J966" s="17" t="str">
        <f aca="false">IF(H966="","",IF(COUNTIF('Master Stock'!$A$5:$A$206,H966)&gt;0,"Yes","Not on stock sheet"))</f>
        <v/>
      </c>
    </row>
    <row r="967" customFormat="false" ht="14.25" hidden="false" customHeight="true" outlineLevel="0" collapsed="false">
      <c r="E967" s="17"/>
      <c r="H967" s="17" t="str">
        <f aca="false">IF(TRIM(C967)="","",IFERROR(INDEX('Code Aliases'!$B:$B,MATCH(TRIM(C967),'Code Aliases'!$A:$A,0)),TRIM(C967)))</f>
        <v/>
      </c>
      <c r="I967" s="17" t="str">
        <f aca="false">IF(TRIM(B967)="","",UPPER(TRIM(B967)))</f>
        <v/>
      </c>
      <c r="J967" s="17" t="str">
        <f aca="false">IF(H967="","",IF(COUNTIF('Master Stock'!$A$5:$A$206,H967)&gt;0,"Yes","Not on stock sheet"))</f>
        <v/>
      </c>
    </row>
    <row r="968" customFormat="false" ht="14.25" hidden="false" customHeight="true" outlineLevel="0" collapsed="false">
      <c r="E968" s="17"/>
      <c r="H968" s="17" t="str">
        <f aca="false">IF(TRIM(C968)="","",IFERROR(INDEX('Code Aliases'!$B:$B,MATCH(TRIM(C968),'Code Aliases'!$A:$A,0)),TRIM(C968)))</f>
        <v/>
      </c>
      <c r="I968" s="17" t="str">
        <f aca="false">IF(TRIM(B968)="","",UPPER(TRIM(B968)))</f>
        <v/>
      </c>
      <c r="J968" s="17" t="str">
        <f aca="false">IF(H968="","",IF(COUNTIF('Master Stock'!$A$5:$A$206,H968)&gt;0,"Yes","Not on stock sheet"))</f>
        <v/>
      </c>
    </row>
    <row r="969" customFormat="false" ht="14.25" hidden="false" customHeight="true" outlineLevel="0" collapsed="false">
      <c r="E969" s="17"/>
      <c r="H969" s="17" t="str">
        <f aca="false">IF(TRIM(C969)="","",IFERROR(INDEX('Code Aliases'!$B:$B,MATCH(TRIM(C969),'Code Aliases'!$A:$A,0)),TRIM(C969)))</f>
        <v/>
      </c>
      <c r="I969" s="17" t="str">
        <f aca="false">IF(TRIM(B969)="","",UPPER(TRIM(B969)))</f>
        <v/>
      </c>
      <c r="J969" s="17" t="str">
        <f aca="false">IF(H969="","",IF(COUNTIF('Master Stock'!$A$5:$A$206,H969)&gt;0,"Yes","Not on stock sheet"))</f>
        <v/>
      </c>
    </row>
    <row r="970" customFormat="false" ht="14.25" hidden="false" customHeight="true" outlineLevel="0" collapsed="false">
      <c r="E970" s="17"/>
      <c r="H970" s="17" t="str">
        <f aca="false">IF(TRIM(C970)="","",IFERROR(INDEX('Code Aliases'!$B:$B,MATCH(TRIM(C970),'Code Aliases'!$A:$A,0)),TRIM(C970)))</f>
        <v/>
      </c>
      <c r="I970" s="17" t="str">
        <f aca="false">IF(TRIM(B970)="","",UPPER(TRIM(B970)))</f>
        <v/>
      </c>
      <c r="J970" s="17" t="str">
        <f aca="false">IF(H970="","",IF(COUNTIF('Master Stock'!$A$5:$A$206,H970)&gt;0,"Yes","Not on stock sheet"))</f>
        <v/>
      </c>
    </row>
    <row r="971" customFormat="false" ht="14.25" hidden="false" customHeight="true" outlineLevel="0" collapsed="false">
      <c r="E971" s="17"/>
      <c r="H971" s="17" t="str">
        <f aca="false">IF(TRIM(C971)="","",IFERROR(INDEX('Code Aliases'!$B:$B,MATCH(TRIM(C971),'Code Aliases'!$A:$A,0)),TRIM(C971)))</f>
        <v/>
      </c>
      <c r="I971" s="17" t="str">
        <f aca="false">IF(TRIM(B971)="","",UPPER(TRIM(B971)))</f>
        <v/>
      </c>
      <c r="J971" s="17" t="str">
        <f aca="false">IF(H971="","",IF(COUNTIF('Master Stock'!$A$5:$A$206,H971)&gt;0,"Yes","Not on stock sheet"))</f>
        <v/>
      </c>
    </row>
    <row r="972" customFormat="false" ht="14.25" hidden="false" customHeight="true" outlineLevel="0" collapsed="false">
      <c r="E972" s="17"/>
      <c r="H972" s="17" t="str">
        <f aca="false">IF(TRIM(C972)="","",IFERROR(INDEX('Code Aliases'!$B:$B,MATCH(TRIM(C972),'Code Aliases'!$A:$A,0)),TRIM(C972)))</f>
        <v/>
      </c>
      <c r="I972" s="17" t="str">
        <f aca="false">IF(TRIM(B972)="","",UPPER(TRIM(B972)))</f>
        <v/>
      </c>
      <c r="J972" s="17" t="str">
        <f aca="false">IF(H972="","",IF(COUNTIF('Master Stock'!$A$5:$A$206,H972)&gt;0,"Yes","Not on stock sheet"))</f>
        <v/>
      </c>
    </row>
    <row r="973" customFormat="false" ht="14.25" hidden="false" customHeight="true" outlineLevel="0" collapsed="false">
      <c r="E973" s="17"/>
      <c r="H973" s="17" t="str">
        <f aca="false">IF(TRIM(C973)="","",IFERROR(INDEX('Code Aliases'!$B:$B,MATCH(TRIM(C973),'Code Aliases'!$A:$A,0)),TRIM(C973)))</f>
        <v/>
      </c>
      <c r="I973" s="17" t="str">
        <f aca="false">IF(TRIM(B973)="","",UPPER(TRIM(B973)))</f>
        <v/>
      </c>
      <c r="J973" s="17" t="str">
        <f aca="false">IF(H973="","",IF(COUNTIF('Master Stock'!$A$5:$A$206,H973)&gt;0,"Yes","Not on stock sheet"))</f>
        <v/>
      </c>
    </row>
    <row r="974" customFormat="false" ht="14.25" hidden="false" customHeight="true" outlineLevel="0" collapsed="false">
      <c r="E974" s="17"/>
      <c r="H974" s="17" t="str">
        <f aca="false">IF(TRIM(C974)="","",IFERROR(INDEX('Code Aliases'!$B:$B,MATCH(TRIM(C974),'Code Aliases'!$A:$A,0)),TRIM(C974)))</f>
        <v/>
      </c>
      <c r="I974" s="17" t="str">
        <f aca="false">IF(TRIM(B974)="","",UPPER(TRIM(B974)))</f>
        <v/>
      </c>
      <c r="J974" s="17" t="str">
        <f aca="false">IF(H974="","",IF(COUNTIF('Master Stock'!$A$5:$A$206,H974)&gt;0,"Yes","Not on stock sheet"))</f>
        <v/>
      </c>
    </row>
    <row r="975" customFormat="false" ht="14.25" hidden="false" customHeight="true" outlineLevel="0" collapsed="false">
      <c r="E975" s="17"/>
      <c r="H975" s="17" t="str">
        <f aca="false">IF(TRIM(C975)="","",IFERROR(INDEX('Code Aliases'!$B:$B,MATCH(TRIM(C975),'Code Aliases'!$A:$A,0)),TRIM(C975)))</f>
        <v/>
      </c>
      <c r="I975" s="17" t="str">
        <f aca="false">IF(TRIM(B975)="","",UPPER(TRIM(B975)))</f>
        <v/>
      </c>
      <c r="J975" s="17" t="str">
        <f aca="false">IF(H975="","",IF(COUNTIF('Master Stock'!$A$5:$A$206,H975)&gt;0,"Yes","Not on stock sheet"))</f>
        <v/>
      </c>
    </row>
    <row r="976" customFormat="false" ht="14.25" hidden="false" customHeight="true" outlineLevel="0" collapsed="false">
      <c r="E976" s="17"/>
      <c r="H976" s="17" t="str">
        <f aca="false">IF(TRIM(C976)="","",IFERROR(INDEX('Code Aliases'!$B:$B,MATCH(TRIM(C976),'Code Aliases'!$A:$A,0)),TRIM(C976)))</f>
        <v/>
      </c>
      <c r="I976" s="17" t="str">
        <f aca="false">IF(TRIM(B976)="","",UPPER(TRIM(B976)))</f>
        <v/>
      </c>
      <c r="J976" s="17" t="str">
        <f aca="false">IF(H976="","",IF(COUNTIF('Master Stock'!$A$5:$A$206,H976)&gt;0,"Yes","Not on stock sheet"))</f>
        <v/>
      </c>
    </row>
    <row r="977" customFormat="false" ht="14.25" hidden="false" customHeight="true" outlineLevel="0" collapsed="false">
      <c r="E977" s="17"/>
      <c r="H977" s="17" t="str">
        <f aca="false">IF(TRIM(C977)="","",IFERROR(INDEX('Code Aliases'!$B:$B,MATCH(TRIM(C977),'Code Aliases'!$A:$A,0)),TRIM(C977)))</f>
        <v/>
      </c>
      <c r="I977" s="17" t="str">
        <f aca="false">IF(TRIM(B977)="","",UPPER(TRIM(B977)))</f>
        <v/>
      </c>
      <c r="J977" s="17" t="str">
        <f aca="false">IF(H977="","",IF(COUNTIF('Master Stock'!$A$5:$A$206,H977)&gt;0,"Yes","Not on stock sheet"))</f>
        <v/>
      </c>
    </row>
    <row r="978" customFormat="false" ht="14.25" hidden="false" customHeight="true" outlineLevel="0" collapsed="false">
      <c r="E978" s="17"/>
      <c r="H978" s="17" t="str">
        <f aca="false">IF(TRIM(C978)="","",IFERROR(INDEX('Code Aliases'!$B:$B,MATCH(TRIM(C978),'Code Aliases'!$A:$A,0)),TRIM(C978)))</f>
        <v/>
      </c>
      <c r="I978" s="17" t="str">
        <f aca="false">IF(TRIM(B978)="","",UPPER(TRIM(B978)))</f>
        <v/>
      </c>
      <c r="J978" s="17" t="str">
        <f aca="false">IF(H978="","",IF(COUNTIF('Master Stock'!$A$5:$A$206,H978)&gt;0,"Yes","Not on stock sheet"))</f>
        <v/>
      </c>
    </row>
    <row r="979" customFormat="false" ht="14.25" hidden="false" customHeight="true" outlineLevel="0" collapsed="false">
      <c r="E979" s="17"/>
      <c r="H979" s="17" t="str">
        <f aca="false">IF(TRIM(C979)="","",IFERROR(INDEX('Code Aliases'!$B:$B,MATCH(TRIM(C979),'Code Aliases'!$A:$A,0)),TRIM(C979)))</f>
        <v/>
      </c>
      <c r="I979" s="17" t="str">
        <f aca="false">IF(TRIM(B979)="","",UPPER(TRIM(B979)))</f>
        <v/>
      </c>
      <c r="J979" s="17" t="str">
        <f aca="false">IF(H979="","",IF(COUNTIF('Master Stock'!$A$5:$A$206,H979)&gt;0,"Yes","Not on stock sheet"))</f>
        <v/>
      </c>
    </row>
    <row r="980" customFormat="false" ht="14.25" hidden="false" customHeight="true" outlineLevel="0" collapsed="false">
      <c r="E980" s="17"/>
      <c r="H980" s="17" t="str">
        <f aca="false">IF(TRIM(C980)="","",IFERROR(INDEX('Code Aliases'!$B:$B,MATCH(TRIM(C980),'Code Aliases'!$A:$A,0)),TRIM(C980)))</f>
        <v/>
      </c>
      <c r="I980" s="17" t="str">
        <f aca="false">IF(TRIM(B980)="","",UPPER(TRIM(B980)))</f>
        <v/>
      </c>
      <c r="J980" s="17" t="str">
        <f aca="false">IF(H980="","",IF(COUNTIF('Master Stock'!$A$5:$A$206,H980)&gt;0,"Yes","Not on stock sheet"))</f>
        <v/>
      </c>
    </row>
    <row r="981" customFormat="false" ht="14.25" hidden="false" customHeight="true" outlineLevel="0" collapsed="false">
      <c r="E981" s="17"/>
      <c r="H981" s="17" t="str">
        <f aca="false">IF(TRIM(C981)="","",IFERROR(INDEX('Code Aliases'!$B:$B,MATCH(TRIM(C981),'Code Aliases'!$A:$A,0)),TRIM(C981)))</f>
        <v/>
      </c>
      <c r="I981" s="17" t="str">
        <f aca="false">IF(TRIM(B981)="","",UPPER(TRIM(B981)))</f>
        <v/>
      </c>
      <c r="J981" s="17" t="str">
        <f aca="false">IF(H981="","",IF(COUNTIF('Master Stock'!$A$5:$A$206,H981)&gt;0,"Yes","Not on stock sheet"))</f>
        <v/>
      </c>
    </row>
    <row r="982" customFormat="false" ht="14.25" hidden="false" customHeight="true" outlineLevel="0" collapsed="false">
      <c r="E982" s="17"/>
      <c r="H982" s="17" t="str">
        <f aca="false">IF(TRIM(C982)="","",IFERROR(INDEX('Code Aliases'!$B:$B,MATCH(TRIM(C982),'Code Aliases'!$A:$A,0)),TRIM(C982)))</f>
        <v/>
      </c>
      <c r="I982" s="17" t="str">
        <f aca="false">IF(TRIM(B982)="","",UPPER(TRIM(B982)))</f>
        <v/>
      </c>
      <c r="J982" s="17" t="str">
        <f aca="false">IF(H982="","",IF(COUNTIF('Master Stock'!$A$5:$A$206,H982)&gt;0,"Yes","Not on stock sheet"))</f>
        <v/>
      </c>
    </row>
    <row r="983" customFormat="false" ht="14.25" hidden="false" customHeight="true" outlineLevel="0" collapsed="false">
      <c r="E983" s="17"/>
      <c r="H983" s="17" t="str">
        <f aca="false">IF(TRIM(C983)="","",IFERROR(INDEX('Code Aliases'!$B:$B,MATCH(TRIM(C983),'Code Aliases'!$A:$A,0)),TRIM(C983)))</f>
        <v/>
      </c>
      <c r="I983" s="17" t="str">
        <f aca="false">IF(TRIM(B983)="","",UPPER(TRIM(B983)))</f>
        <v/>
      </c>
      <c r="J983" s="17" t="str">
        <f aca="false">IF(H983="","",IF(COUNTIF('Master Stock'!$A$5:$A$206,H983)&gt;0,"Yes","Not on stock sheet"))</f>
        <v/>
      </c>
    </row>
    <row r="984" customFormat="false" ht="14.25" hidden="false" customHeight="true" outlineLevel="0" collapsed="false">
      <c r="E984" s="17"/>
      <c r="H984" s="17" t="str">
        <f aca="false">IF(TRIM(C984)="","",IFERROR(INDEX('Code Aliases'!$B:$B,MATCH(TRIM(C984),'Code Aliases'!$A:$A,0)),TRIM(C984)))</f>
        <v/>
      </c>
      <c r="I984" s="17" t="str">
        <f aca="false">IF(TRIM(B984)="","",UPPER(TRIM(B984)))</f>
        <v/>
      </c>
      <c r="J984" s="17" t="str">
        <f aca="false">IF(H984="","",IF(COUNTIF('Master Stock'!$A$5:$A$206,H984)&gt;0,"Yes","Not on stock sheet"))</f>
        <v/>
      </c>
    </row>
    <row r="985" customFormat="false" ht="14.25" hidden="false" customHeight="true" outlineLevel="0" collapsed="false">
      <c r="E985" s="17"/>
      <c r="H985" s="17" t="str">
        <f aca="false">IF(TRIM(C985)="","",IFERROR(INDEX('Code Aliases'!$B:$B,MATCH(TRIM(C985),'Code Aliases'!$A:$A,0)),TRIM(C985)))</f>
        <v/>
      </c>
      <c r="I985" s="17" t="str">
        <f aca="false">IF(TRIM(B985)="","",UPPER(TRIM(B985)))</f>
        <v/>
      </c>
      <c r="J985" s="17" t="str">
        <f aca="false">IF(H985="","",IF(COUNTIF('Master Stock'!$A$5:$A$206,H985)&gt;0,"Yes","Not on stock sheet"))</f>
        <v/>
      </c>
    </row>
    <row r="986" customFormat="false" ht="14.25" hidden="false" customHeight="true" outlineLevel="0" collapsed="false">
      <c r="E986" s="17"/>
      <c r="H986" s="17" t="str">
        <f aca="false">IF(TRIM(C986)="","",IFERROR(INDEX('Code Aliases'!$B:$B,MATCH(TRIM(C986),'Code Aliases'!$A:$A,0)),TRIM(C986)))</f>
        <v/>
      </c>
      <c r="I986" s="17" t="str">
        <f aca="false">IF(TRIM(B986)="","",UPPER(TRIM(B986)))</f>
        <v/>
      </c>
      <c r="J986" s="17" t="str">
        <f aca="false">IF(H986="","",IF(COUNTIF('Master Stock'!$A$5:$A$206,H986)&gt;0,"Yes","Not on stock sheet"))</f>
        <v/>
      </c>
    </row>
    <row r="987" customFormat="false" ht="14.25" hidden="false" customHeight="true" outlineLevel="0" collapsed="false">
      <c r="E987" s="17"/>
      <c r="H987" s="17" t="str">
        <f aca="false">IF(TRIM(C987)="","",IFERROR(INDEX('Code Aliases'!$B:$B,MATCH(TRIM(C987),'Code Aliases'!$A:$A,0)),TRIM(C987)))</f>
        <v/>
      </c>
      <c r="I987" s="17" t="str">
        <f aca="false">IF(TRIM(B987)="","",UPPER(TRIM(B987)))</f>
        <v/>
      </c>
      <c r="J987" s="17" t="str">
        <f aca="false">IF(H987="","",IF(COUNTIF('Master Stock'!$A$5:$A$206,H987)&gt;0,"Yes","Not on stock sheet"))</f>
        <v/>
      </c>
    </row>
    <row r="988" customFormat="false" ht="14.25" hidden="false" customHeight="true" outlineLevel="0" collapsed="false">
      <c r="E988" s="17"/>
      <c r="H988" s="17" t="str">
        <f aca="false">IF(TRIM(C988)="","",IFERROR(INDEX('Code Aliases'!$B:$B,MATCH(TRIM(C988),'Code Aliases'!$A:$A,0)),TRIM(C988)))</f>
        <v/>
      </c>
      <c r="I988" s="17" t="str">
        <f aca="false">IF(TRIM(B988)="","",UPPER(TRIM(B988)))</f>
        <v/>
      </c>
      <c r="J988" s="17" t="str">
        <f aca="false">IF(H988="","",IF(COUNTIF('Master Stock'!$A$5:$A$206,H988)&gt;0,"Yes","Not on stock sheet"))</f>
        <v/>
      </c>
    </row>
    <row r="989" customFormat="false" ht="14.25" hidden="false" customHeight="true" outlineLevel="0" collapsed="false">
      <c r="E989" s="17"/>
      <c r="H989" s="17" t="str">
        <f aca="false">IF(TRIM(C989)="","",IFERROR(INDEX('Code Aliases'!$B:$B,MATCH(TRIM(C989),'Code Aliases'!$A:$A,0)),TRIM(C989)))</f>
        <v/>
      </c>
      <c r="I989" s="17" t="str">
        <f aca="false">IF(TRIM(B989)="","",UPPER(TRIM(B989)))</f>
        <v/>
      </c>
      <c r="J989" s="17" t="str">
        <f aca="false">IF(H989="","",IF(COUNTIF('Master Stock'!$A$5:$A$206,H989)&gt;0,"Yes","Not on stock sheet"))</f>
        <v/>
      </c>
    </row>
    <row r="990" customFormat="false" ht="14.25" hidden="false" customHeight="true" outlineLevel="0" collapsed="false">
      <c r="E990" s="17"/>
      <c r="H990" s="17" t="str">
        <f aca="false">IF(TRIM(C990)="","",IFERROR(INDEX('Code Aliases'!$B:$B,MATCH(TRIM(C990),'Code Aliases'!$A:$A,0)),TRIM(C990)))</f>
        <v/>
      </c>
      <c r="I990" s="17" t="str">
        <f aca="false">IF(TRIM(B990)="","",UPPER(TRIM(B990)))</f>
        <v/>
      </c>
      <c r="J990" s="17" t="str">
        <f aca="false">IF(H990="","",IF(COUNTIF('Master Stock'!$A$5:$A$206,H990)&gt;0,"Yes","Not on stock sheet"))</f>
        <v/>
      </c>
    </row>
    <row r="991" customFormat="false" ht="14.25" hidden="false" customHeight="true" outlineLevel="0" collapsed="false">
      <c r="E991" s="17"/>
      <c r="H991" s="17" t="str">
        <f aca="false">IF(TRIM(C991)="","",IFERROR(INDEX('Code Aliases'!$B:$B,MATCH(TRIM(C991),'Code Aliases'!$A:$A,0)),TRIM(C991)))</f>
        <v/>
      </c>
      <c r="I991" s="17" t="str">
        <f aca="false">IF(TRIM(B991)="","",UPPER(TRIM(B991)))</f>
        <v/>
      </c>
      <c r="J991" s="17" t="str">
        <f aca="false">IF(H991="","",IF(COUNTIF('Master Stock'!$A$5:$A$206,H991)&gt;0,"Yes","Not on stock sheet"))</f>
        <v/>
      </c>
    </row>
    <row r="992" customFormat="false" ht="14.25" hidden="false" customHeight="true" outlineLevel="0" collapsed="false">
      <c r="E992" s="17"/>
      <c r="H992" s="17" t="str">
        <f aca="false">IF(TRIM(C992)="","",IFERROR(INDEX('Code Aliases'!$B:$B,MATCH(TRIM(C992),'Code Aliases'!$A:$A,0)),TRIM(C992)))</f>
        <v/>
      </c>
      <c r="I992" s="17" t="str">
        <f aca="false">IF(TRIM(B992)="","",UPPER(TRIM(B992)))</f>
        <v/>
      </c>
      <c r="J992" s="17" t="str">
        <f aca="false">IF(H992="","",IF(COUNTIF('Master Stock'!$A$5:$A$206,H992)&gt;0,"Yes","Not on stock sheet"))</f>
        <v/>
      </c>
    </row>
    <row r="993" customFormat="false" ht="14.25" hidden="false" customHeight="true" outlineLevel="0" collapsed="false">
      <c r="E993" s="17"/>
      <c r="H993" s="17" t="str">
        <f aca="false">IF(TRIM(C993)="","",IFERROR(INDEX('Code Aliases'!$B:$B,MATCH(TRIM(C993),'Code Aliases'!$A:$A,0)),TRIM(C993)))</f>
        <v/>
      </c>
      <c r="I993" s="17" t="str">
        <f aca="false">IF(TRIM(B993)="","",UPPER(TRIM(B993)))</f>
        <v/>
      </c>
      <c r="J993" s="17" t="str">
        <f aca="false">IF(H993="","",IF(COUNTIF('Master Stock'!$A$5:$A$206,H993)&gt;0,"Yes","Not on stock sheet"))</f>
        <v/>
      </c>
    </row>
    <row r="994" customFormat="false" ht="14.25" hidden="false" customHeight="true" outlineLevel="0" collapsed="false">
      <c r="E994" s="17"/>
      <c r="H994" s="17" t="str">
        <f aca="false">IF(TRIM(C994)="","",IFERROR(INDEX('Code Aliases'!$B:$B,MATCH(TRIM(C994),'Code Aliases'!$A:$A,0)),TRIM(C994)))</f>
        <v/>
      </c>
      <c r="I994" s="17" t="str">
        <f aca="false">IF(TRIM(B994)="","",UPPER(TRIM(B994)))</f>
        <v/>
      </c>
      <c r="J994" s="17" t="str">
        <f aca="false">IF(H994="","",IF(COUNTIF('Master Stock'!$A$5:$A$206,H994)&gt;0,"Yes","Not on stock sheet"))</f>
        <v/>
      </c>
    </row>
    <row r="995" customFormat="false" ht="14.25" hidden="false" customHeight="true" outlineLevel="0" collapsed="false">
      <c r="E995" s="17"/>
      <c r="H995" s="17" t="str">
        <f aca="false">IF(TRIM(C995)="","",IFERROR(INDEX('Code Aliases'!$B:$B,MATCH(TRIM(C995),'Code Aliases'!$A:$A,0)),TRIM(C995)))</f>
        <v/>
      </c>
      <c r="I995" s="17" t="str">
        <f aca="false">IF(TRIM(B995)="","",UPPER(TRIM(B995)))</f>
        <v/>
      </c>
      <c r="J995" s="17" t="str">
        <f aca="false">IF(H995="","",IF(COUNTIF('Master Stock'!$A$5:$A$206,H995)&gt;0,"Yes","Not on stock sheet"))</f>
        <v/>
      </c>
    </row>
    <row r="996" customFormat="false" ht="14.25" hidden="false" customHeight="true" outlineLevel="0" collapsed="false">
      <c r="E996" s="17"/>
      <c r="H996" s="17" t="str">
        <f aca="false">IF(TRIM(C996)="","",IFERROR(INDEX('Code Aliases'!$B:$B,MATCH(TRIM(C996),'Code Aliases'!$A:$A,0)),TRIM(C996)))</f>
        <v/>
      </c>
      <c r="I996" s="17" t="str">
        <f aca="false">IF(TRIM(B996)="","",UPPER(TRIM(B996)))</f>
        <v/>
      </c>
      <c r="J996" s="17" t="str">
        <f aca="false">IF(H996="","",IF(COUNTIF('Master Stock'!$A$5:$A$206,H996)&gt;0,"Yes","Not on stock sheet"))</f>
        <v/>
      </c>
    </row>
    <row r="997" customFormat="false" ht="14.25" hidden="false" customHeight="true" outlineLevel="0" collapsed="false">
      <c r="E997" s="17"/>
      <c r="H997" s="17" t="str">
        <f aca="false">IF(TRIM(C997)="","",IFERROR(INDEX('Code Aliases'!$B:$B,MATCH(TRIM(C997),'Code Aliases'!$A:$A,0)),TRIM(C997)))</f>
        <v/>
      </c>
      <c r="I997" s="17" t="str">
        <f aca="false">IF(TRIM(B997)="","",UPPER(TRIM(B997)))</f>
        <v/>
      </c>
      <c r="J997" s="17" t="str">
        <f aca="false">IF(H997="","",IF(COUNTIF('Master Stock'!$A$5:$A$206,H997)&gt;0,"Yes","Not on stock sheet"))</f>
        <v/>
      </c>
    </row>
    <row r="998" customFormat="false" ht="14.25" hidden="false" customHeight="true" outlineLevel="0" collapsed="false">
      <c r="E998" s="17"/>
      <c r="H998" s="17" t="str">
        <f aca="false">IF(TRIM(C998)="","",IFERROR(INDEX('Code Aliases'!$B:$B,MATCH(TRIM(C998),'Code Aliases'!$A:$A,0)),TRIM(C998)))</f>
        <v/>
      </c>
      <c r="I998" s="17" t="str">
        <f aca="false">IF(TRIM(B998)="","",UPPER(TRIM(B998)))</f>
        <v/>
      </c>
      <c r="J998" s="17" t="str">
        <f aca="false">IF(H998="","",IF(COUNTIF('Master Stock'!$A$5:$A$206,H998)&gt;0,"Yes","Not on stock sheet"))</f>
        <v/>
      </c>
    </row>
    <row r="999" customFormat="false" ht="14.25" hidden="false" customHeight="true" outlineLevel="0" collapsed="false">
      <c r="E999" s="17"/>
      <c r="H999" s="17" t="str">
        <f aca="false">IF(TRIM(C999)="","",IFERROR(INDEX('Code Aliases'!$B:$B,MATCH(TRIM(C999),'Code Aliases'!$A:$A,0)),TRIM(C999)))</f>
        <v/>
      </c>
      <c r="I999" s="17" t="str">
        <f aca="false">IF(TRIM(B999)="","",UPPER(TRIM(B999)))</f>
        <v/>
      </c>
      <c r="J999" s="17" t="str">
        <f aca="false">IF(H999="","",IF(COUNTIF('Master Stock'!$A$5:$A$206,H999)&gt;0,"Yes","Not on stock sheet"))</f>
        <v/>
      </c>
    </row>
    <row r="1000" customFormat="false" ht="14.25" hidden="false" customHeight="true" outlineLevel="0" collapsed="false">
      <c r="E1000" s="17"/>
      <c r="H1000" s="17" t="str">
        <f aca="false">IF(TRIM(C1000)="","",IFERROR(INDEX('Code Aliases'!$B:$B,MATCH(TRIM(C1000),'Code Aliases'!$A:$A,0)),TRIM(C1000)))</f>
        <v/>
      </c>
      <c r="I1000" s="17" t="str">
        <f aca="false">IF(TRIM(B1000)="","",UPPER(TRIM(B1000)))</f>
        <v/>
      </c>
      <c r="J1000" s="17" t="str">
        <f aca="false">IF(H1000="","",IF(COUNTIF('Master Stock'!$A$5:$A$206,H1000)&gt;0,"Yes","Not on stock sheet"))</f>
        <v/>
      </c>
    </row>
    <row r="1001" customFormat="false" ht="14.25" hidden="false" customHeight="true" outlineLevel="0" collapsed="false">
      <c r="E1001" s="17"/>
      <c r="H1001" s="17" t="str">
        <f aca="false">IF(TRIM(C1001)="","",IFERROR(INDEX('Code Aliases'!$B:$B,MATCH(TRIM(C1001),'Code Aliases'!$A:$A,0)),TRIM(C1001)))</f>
        <v/>
      </c>
      <c r="I1001" s="17" t="str">
        <f aca="false">IF(TRIM(B1001)="","",UPPER(TRIM(B1001)))</f>
        <v/>
      </c>
      <c r="J1001" s="17" t="str">
        <f aca="false">IF(H1001="","",IF(COUNTIF('Master Stock'!$A$5:$A$206,H1001)&gt;0,"Yes","Not on stock sheet"))</f>
        <v/>
      </c>
    </row>
    <row r="1002" customFormat="false" ht="14.25" hidden="false" customHeight="true" outlineLevel="0" collapsed="false">
      <c r="E1002" s="17"/>
      <c r="H1002" s="17" t="str">
        <f aca="false">IF(TRIM(C1002)="","",IFERROR(INDEX('Code Aliases'!$B:$B,MATCH(TRIM(C1002),'Code Aliases'!$A:$A,0)),TRIM(C1002)))</f>
        <v/>
      </c>
      <c r="I1002" s="17" t="str">
        <f aca="false">IF(TRIM(B1002)="","",UPPER(TRIM(B1002)))</f>
        <v/>
      </c>
      <c r="J1002" s="17" t="str">
        <f aca="false">IF(H1002="","",IF(COUNTIF('Master Stock'!$A$5:$A$206,H1002)&gt;0,"Yes","Not on stock sheet"))</f>
        <v/>
      </c>
    </row>
    <row r="1003" customFormat="false" ht="14.25" hidden="false" customHeight="true" outlineLevel="0" collapsed="false">
      <c r="E1003" s="17"/>
      <c r="H1003" s="17" t="str">
        <f aca="false">IF(TRIM(C1003)="","",IFERROR(INDEX('Code Aliases'!$B:$B,MATCH(TRIM(C1003),'Code Aliases'!$A:$A,0)),TRIM(C1003)))</f>
        <v/>
      </c>
      <c r="I1003" s="17" t="str">
        <f aca="false">IF(TRIM(B1003)="","",UPPER(TRIM(B1003)))</f>
        <v/>
      </c>
      <c r="J1003" s="17" t="str">
        <f aca="false">IF(H1003="","",IF(COUNTIF('Master Stock'!$A$5:$A$206,H1003)&gt;0,"Yes","Not on stock sheet"))</f>
        <v/>
      </c>
    </row>
    <row r="1004" customFormat="false" ht="14.25" hidden="false" customHeight="true" outlineLevel="0" collapsed="false">
      <c r="E1004" s="17"/>
      <c r="H1004" s="17" t="str">
        <f aca="false">IF(TRIM(C1004)="","",IFERROR(INDEX('Code Aliases'!$B:$B,MATCH(TRIM(C1004),'Code Aliases'!$A:$A,0)),TRIM(C1004)))</f>
        <v/>
      </c>
      <c r="I1004" s="17" t="str">
        <f aca="false">IF(TRIM(B1004)="","",UPPER(TRIM(B1004)))</f>
        <v/>
      </c>
      <c r="J1004" s="17" t="str">
        <f aca="false">IF(H1004="","",IF(COUNTIF('Master Stock'!$A$5:$A$206,H1004)&gt;0,"Yes","Not on stock sheet"))</f>
        <v/>
      </c>
    </row>
    <row r="1005" customFormat="false" ht="14.25" hidden="false" customHeight="true" outlineLevel="0" collapsed="false">
      <c r="E1005" s="17"/>
      <c r="H1005" s="17" t="str">
        <f aca="false">IF(TRIM(C1005)="","",IFERROR(INDEX('Code Aliases'!$B:$B,MATCH(TRIM(C1005),'Code Aliases'!$A:$A,0)),TRIM(C1005)))</f>
        <v/>
      </c>
      <c r="I1005" s="17" t="str">
        <f aca="false">IF(TRIM(B1005)="","",UPPER(TRIM(B1005)))</f>
        <v/>
      </c>
      <c r="J1005" s="17" t="str">
        <f aca="false">IF(H1005="","",IF(COUNTIF('Master Stock'!$A$5:$A$206,H1005)&gt;0,"Yes","Not on stock sheet"))</f>
        <v/>
      </c>
    </row>
    <row r="1006" customFormat="false" ht="14.25" hidden="false" customHeight="true" outlineLevel="0" collapsed="false">
      <c r="E1006" s="17"/>
      <c r="H1006" s="17" t="str">
        <f aca="false">IF(TRIM(C1006)="","",IFERROR(INDEX('Code Aliases'!$B:$B,MATCH(TRIM(C1006),'Code Aliases'!$A:$A,0)),TRIM(C1006)))</f>
        <v/>
      </c>
      <c r="I1006" s="17" t="str">
        <f aca="false">IF(TRIM(B1006)="","",UPPER(TRIM(B1006)))</f>
        <v/>
      </c>
      <c r="J1006" s="17" t="str">
        <f aca="false">IF(H1006="","",IF(COUNTIF('Master Stock'!$A$5:$A$206,H1006)&gt;0,"Yes","Not on stock sheet"))</f>
        <v/>
      </c>
    </row>
    <row r="1007" customFormat="false" ht="14.25" hidden="false" customHeight="true" outlineLevel="0" collapsed="false">
      <c r="E1007" s="17"/>
      <c r="H1007" s="17" t="str">
        <f aca="false">IF(TRIM(C1007)="","",IFERROR(INDEX('Code Aliases'!$B:$B,MATCH(TRIM(C1007),'Code Aliases'!$A:$A,0)),TRIM(C1007)))</f>
        <v/>
      </c>
      <c r="I1007" s="17" t="str">
        <f aca="false">IF(TRIM(B1007)="","",UPPER(TRIM(B1007)))</f>
        <v/>
      </c>
      <c r="J1007" s="17" t="str">
        <f aca="false">IF(H1007="","",IF(COUNTIF('Master Stock'!$A$5:$A$206,H1007)&gt;0,"Yes","Not on stock sheet"))</f>
        <v/>
      </c>
    </row>
    <row r="1008" customFormat="false" ht="14.25" hidden="false" customHeight="true" outlineLevel="0" collapsed="false">
      <c r="E1008" s="17"/>
      <c r="H1008" s="17" t="str">
        <f aca="false">IF(TRIM(C1008)="","",IFERROR(INDEX('Code Aliases'!$B:$B,MATCH(TRIM(C1008),'Code Aliases'!$A:$A,0)),TRIM(C1008)))</f>
        <v/>
      </c>
      <c r="I1008" s="17" t="str">
        <f aca="false">IF(TRIM(B1008)="","",UPPER(TRIM(B1008)))</f>
        <v/>
      </c>
      <c r="J1008" s="17" t="str">
        <f aca="false">IF(H1008="","",IF(COUNTIF('Master Stock'!$A$5:$A$206,H1008)&gt;0,"Yes","Not on stock sheet"))</f>
        <v/>
      </c>
    </row>
    <row r="1009" customFormat="false" ht="14.25" hidden="false" customHeight="true" outlineLevel="0" collapsed="false">
      <c r="E1009" s="17"/>
      <c r="H1009" s="17" t="str">
        <f aca="false">IF(TRIM(C1009)="","",IFERROR(INDEX('Code Aliases'!$B:$B,MATCH(TRIM(C1009),'Code Aliases'!$A:$A,0)),TRIM(C1009)))</f>
        <v/>
      </c>
      <c r="I1009" s="17" t="str">
        <f aca="false">IF(TRIM(B1009)="","",UPPER(TRIM(B1009)))</f>
        <v/>
      </c>
      <c r="J1009" s="17" t="str">
        <f aca="false">IF(H1009="","",IF(COUNTIF('Master Stock'!$A$5:$A$206,H1009)&gt;0,"Yes","Not on stock sheet"))</f>
        <v/>
      </c>
    </row>
    <row r="1010" customFormat="false" ht="14.25" hidden="false" customHeight="true" outlineLevel="0" collapsed="false">
      <c r="E1010" s="17"/>
      <c r="H1010" s="17" t="str">
        <f aca="false">IF(TRIM(C1010)="","",IFERROR(INDEX('Code Aliases'!$B:$B,MATCH(TRIM(C1010),'Code Aliases'!$A:$A,0)),TRIM(C1010)))</f>
        <v/>
      </c>
      <c r="I1010" s="17" t="str">
        <f aca="false">IF(TRIM(B1010)="","",UPPER(TRIM(B1010)))</f>
        <v/>
      </c>
      <c r="J1010" s="17" t="str">
        <f aca="false">IF(H1010="","",IF(COUNTIF('Master Stock'!$A$5:$A$206,H1010)&gt;0,"Yes","Not on stock sheet"))</f>
        <v/>
      </c>
    </row>
    <row r="1011" customFormat="false" ht="14.25" hidden="false" customHeight="true" outlineLevel="0" collapsed="false">
      <c r="E1011" s="17"/>
      <c r="H1011" s="17" t="str">
        <f aca="false">IF(TRIM(C1011)="","",IFERROR(INDEX('Code Aliases'!$B:$B,MATCH(TRIM(C1011),'Code Aliases'!$A:$A,0)),TRIM(C1011)))</f>
        <v/>
      </c>
      <c r="I1011" s="17" t="str">
        <f aca="false">IF(TRIM(B1011)="","",UPPER(TRIM(B1011)))</f>
        <v/>
      </c>
      <c r="J1011" s="17" t="str">
        <f aca="false">IF(H1011="","",IF(COUNTIF('Master Stock'!$A$5:$A$206,H1011)&gt;0,"Yes","Not on stock sheet"))</f>
        <v/>
      </c>
    </row>
    <row r="1012" customFormat="false" ht="14.25" hidden="false" customHeight="true" outlineLevel="0" collapsed="false">
      <c r="E1012" s="17"/>
      <c r="H1012" s="17" t="str">
        <f aca="false">IF(TRIM(C1012)="","",IFERROR(INDEX('Code Aliases'!$B:$B,MATCH(TRIM(C1012),'Code Aliases'!$A:$A,0)),TRIM(C1012)))</f>
        <v/>
      </c>
      <c r="I1012" s="17" t="str">
        <f aca="false">IF(TRIM(B1012)="","",UPPER(TRIM(B1012)))</f>
        <v/>
      </c>
      <c r="J1012" s="17" t="str">
        <f aca="false">IF(H1012="","",IF(COUNTIF('Master Stock'!$A$5:$A$206,H1012)&gt;0,"Yes","Not on stock sheet"))</f>
        <v/>
      </c>
    </row>
    <row r="1013" customFormat="false" ht="14.25" hidden="false" customHeight="true" outlineLevel="0" collapsed="false">
      <c r="E1013" s="17"/>
      <c r="H1013" s="17" t="str">
        <f aca="false">IF(TRIM(C1013)="","",IFERROR(INDEX('Code Aliases'!$B:$B,MATCH(TRIM(C1013),'Code Aliases'!$A:$A,0)),TRIM(C1013)))</f>
        <v/>
      </c>
      <c r="I1013" s="17" t="str">
        <f aca="false">IF(TRIM(B1013)="","",UPPER(TRIM(B1013)))</f>
        <v/>
      </c>
      <c r="J1013" s="17" t="str">
        <f aca="false">IF(H1013="","",IF(COUNTIF('Master Stock'!$A$5:$A$206,H1013)&gt;0,"Yes","Not on stock sheet"))</f>
        <v/>
      </c>
    </row>
    <row r="1014" customFormat="false" ht="14.25" hidden="false" customHeight="true" outlineLevel="0" collapsed="false">
      <c r="E1014" s="17"/>
      <c r="H1014" s="17" t="str">
        <f aca="false">IF(TRIM(C1014)="","",IFERROR(INDEX('Code Aliases'!$B:$B,MATCH(TRIM(C1014),'Code Aliases'!$A:$A,0)),TRIM(C1014)))</f>
        <v/>
      </c>
      <c r="I1014" s="17" t="str">
        <f aca="false">IF(TRIM(B1014)="","",UPPER(TRIM(B1014)))</f>
        <v/>
      </c>
      <c r="J1014" s="17" t="str">
        <f aca="false">IF(H1014="","",IF(COUNTIF('Master Stock'!$A$5:$A$206,H1014)&gt;0,"Yes","Not on stock sheet"))</f>
        <v/>
      </c>
    </row>
    <row r="1015" customFormat="false" ht="14.25" hidden="false" customHeight="true" outlineLevel="0" collapsed="false">
      <c r="E1015" s="17"/>
      <c r="H1015" s="17" t="str">
        <f aca="false">IF(TRIM(C1015)="","",IFERROR(INDEX('Code Aliases'!$B:$B,MATCH(TRIM(C1015),'Code Aliases'!$A:$A,0)),TRIM(C1015)))</f>
        <v/>
      </c>
      <c r="I1015" s="17" t="str">
        <f aca="false">IF(TRIM(B1015)="","",UPPER(TRIM(B1015)))</f>
        <v/>
      </c>
      <c r="J1015" s="17" t="str">
        <f aca="false">IF(H1015="","",IF(COUNTIF('Master Stock'!$A$5:$A$206,H1015)&gt;0,"Yes","Not on stock sheet"))</f>
        <v/>
      </c>
    </row>
    <row r="1016" customFormat="false" ht="14.25" hidden="false" customHeight="true" outlineLevel="0" collapsed="false">
      <c r="E1016" s="17"/>
      <c r="H1016" s="17" t="str">
        <f aca="false">IF(TRIM(C1016)="","",IFERROR(INDEX('Code Aliases'!$B:$B,MATCH(TRIM(C1016),'Code Aliases'!$A:$A,0)),TRIM(C1016)))</f>
        <v/>
      </c>
      <c r="I1016" s="17" t="str">
        <f aca="false">IF(TRIM(B1016)="","",UPPER(TRIM(B1016)))</f>
        <v/>
      </c>
      <c r="J1016" s="17" t="str">
        <f aca="false">IF(H1016="","",IF(COUNTIF('Master Stock'!$A$5:$A$206,H1016)&gt;0,"Yes","Not on stock sheet"))</f>
        <v/>
      </c>
    </row>
    <row r="1017" customFormat="false" ht="14.25" hidden="false" customHeight="true" outlineLevel="0" collapsed="false">
      <c r="E1017" s="17"/>
      <c r="H1017" s="17" t="str">
        <f aca="false">IF(TRIM(C1017)="","",IFERROR(INDEX('Code Aliases'!$B:$B,MATCH(TRIM(C1017),'Code Aliases'!$A:$A,0)),TRIM(C1017)))</f>
        <v/>
      </c>
      <c r="I1017" s="17" t="str">
        <f aca="false">IF(TRIM(B1017)="","",UPPER(TRIM(B1017)))</f>
        <v/>
      </c>
      <c r="J1017" s="17" t="str">
        <f aca="false">IF(H1017="","",IF(COUNTIF('Master Stock'!$A$5:$A$206,H1017)&gt;0,"Yes","Not on stock sheet"))</f>
        <v/>
      </c>
    </row>
    <row r="1018" customFormat="false" ht="14.25" hidden="false" customHeight="true" outlineLevel="0" collapsed="false">
      <c r="E1018" s="17"/>
      <c r="H1018" s="17" t="str">
        <f aca="false">IF(TRIM(C1018)="","",IFERROR(INDEX('Code Aliases'!$B:$B,MATCH(TRIM(C1018),'Code Aliases'!$A:$A,0)),TRIM(C1018)))</f>
        <v/>
      </c>
      <c r="I1018" s="17" t="str">
        <f aca="false">IF(TRIM(B1018)="","",UPPER(TRIM(B1018)))</f>
        <v/>
      </c>
      <c r="J1018" s="17" t="str">
        <f aca="false">IF(H1018="","",IF(COUNTIF('Master Stock'!$A$5:$A$206,H1018)&gt;0,"Yes","Not on stock sheet"))</f>
        <v/>
      </c>
    </row>
    <row r="1019" customFormat="false" ht="14.25" hidden="false" customHeight="true" outlineLevel="0" collapsed="false">
      <c r="E1019" s="17"/>
      <c r="H1019" s="17" t="str">
        <f aca="false">IF(TRIM(C1019)="","",IFERROR(INDEX('Code Aliases'!$B:$B,MATCH(TRIM(C1019),'Code Aliases'!$A:$A,0)),TRIM(C1019)))</f>
        <v/>
      </c>
      <c r="I1019" s="17" t="str">
        <f aca="false">IF(TRIM(B1019)="","",UPPER(TRIM(B1019)))</f>
        <v/>
      </c>
      <c r="J1019" s="17" t="str">
        <f aca="false">IF(H1019="","",IF(COUNTIF('Master Stock'!$A$5:$A$206,H1019)&gt;0,"Yes","Not on stock sheet"))</f>
        <v/>
      </c>
    </row>
    <row r="1020" customFormat="false" ht="14.25" hidden="false" customHeight="true" outlineLevel="0" collapsed="false">
      <c r="E1020" s="17"/>
      <c r="H1020" s="17" t="str">
        <f aca="false">IF(TRIM(C1020)="","",IFERROR(INDEX('Code Aliases'!$B:$B,MATCH(TRIM(C1020),'Code Aliases'!$A:$A,0)),TRIM(C1020)))</f>
        <v/>
      </c>
      <c r="I1020" s="17" t="str">
        <f aca="false">IF(TRIM(B1020)="","",UPPER(TRIM(B1020)))</f>
        <v/>
      </c>
      <c r="J1020" s="17" t="str">
        <f aca="false">IF(H1020="","",IF(COUNTIF('Master Stock'!$A$5:$A$206,H1020)&gt;0,"Yes","Not on stock sheet"))</f>
        <v/>
      </c>
    </row>
    <row r="1021" customFormat="false" ht="14.25" hidden="false" customHeight="true" outlineLevel="0" collapsed="false">
      <c r="E1021" s="17"/>
      <c r="H1021" s="17" t="str">
        <f aca="false">IF(TRIM(C1021)="","",IFERROR(INDEX('Code Aliases'!$B:$B,MATCH(TRIM(C1021),'Code Aliases'!$A:$A,0)),TRIM(C1021)))</f>
        <v/>
      </c>
      <c r="I1021" s="17" t="str">
        <f aca="false">IF(TRIM(B1021)="","",UPPER(TRIM(B1021)))</f>
        <v/>
      </c>
      <c r="J1021" s="17" t="str">
        <f aca="false">IF(H1021="","",IF(COUNTIF('Master Stock'!$A$5:$A$206,H1021)&gt;0,"Yes","Not on stock sheet"))</f>
        <v/>
      </c>
    </row>
    <row r="1022" customFormat="false" ht="14.25" hidden="false" customHeight="true" outlineLevel="0" collapsed="false">
      <c r="E1022" s="17"/>
      <c r="H1022" s="17" t="str">
        <f aca="false">IF(TRIM(C1022)="","",IFERROR(INDEX('Code Aliases'!$B:$B,MATCH(TRIM(C1022),'Code Aliases'!$A:$A,0)),TRIM(C1022)))</f>
        <v/>
      </c>
      <c r="I1022" s="17" t="str">
        <f aca="false">IF(TRIM(B1022)="","",UPPER(TRIM(B1022)))</f>
        <v/>
      </c>
      <c r="J1022" s="17" t="str">
        <f aca="false">IF(H1022="","",IF(COUNTIF('Master Stock'!$A$5:$A$206,H1022)&gt;0,"Yes","Not on stock sheet"))</f>
        <v/>
      </c>
    </row>
    <row r="1023" customFormat="false" ht="14.25" hidden="false" customHeight="true" outlineLevel="0" collapsed="false">
      <c r="E1023" s="17"/>
      <c r="H1023" s="17" t="str">
        <f aca="false">IF(TRIM(C1023)="","",IFERROR(INDEX('Code Aliases'!$B:$B,MATCH(TRIM(C1023),'Code Aliases'!$A:$A,0)),TRIM(C1023)))</f>
        <v/>
      </c>
      <c r="I1023" s="17" t="str">
        <f aca="false">IF(TRIM(B1023)="","",UPPER(TRIM(B1023)))</f>
        <v/>
      </c>
      <c r="J1023" s="17" t="str">
        <f aca="false">IF(H1023="","",IF(COUNTIF('Master Stock'!$A$5:$A$206,H1023)&gt;0,"Yes","Not on stock sheet"))</f>
        <v/>
      </c>
    </row>
    <row r="1024" customFormat="false" ht="14.25" hidden="false" customHeight="true" outlineLevel="0" collapsed="false">
      <c r="E1024" s="17"/>
      <c r="H1024" s="17" t="str">
        <f aca="false">IF(TRIM(C1024)="","",IFERROR(INDEX('Code Aliases'!$B:$B,MATCH(TRIM(C1024),'Code Aliases'!$A:$A,0)),TRIM(C1024)))</f>
        <v/>
      </c>
      <c r="I1024" s="17" t="str">
        <f aca="false">IF(TRIM(B1024)="","",UPPER(TRIM(B1024)))</f>
        <v/>
      </c>
      <c r="J1024" s="17" t="str">
        <f aca="false">IF(H1024="","",IF(COUNTIF('Master Stock'!$A$5:$A$206,H1024)&gt;0,"Yes","Not on stock sheet"))</f>
        <v/>
      </c>
    </row>
    <row r="1025" customFormat="false" ht="14.25" hidden="false" customHeight="true" outlineLevel="0" collapsed="false">
      <c r="E1025" s="17"/>
      <c r="H1025" s="17" t="str">
        <f aca="false">IF(TRIM(C1025)="","",IFERROR(INDEX('Code Aliases'!$B:$B,MATCH(TRIM(C1025),'Code Aliases'!$A:$A,0)),TRIM(C1025)))</f>
        <v/>
      </c>
      <c r="I1025" s="17" t="str">
        <f aca="false">IF(TRIM(B1025)="","",UPPER(TRIM(B1025)))</f>
        <v/>
      </c>
      <c r="J1025" s="17" t="str">
        <f aca="false">IF(H1025="","",IF(COUNTIF('Master Stock'!$A$5:$A$206,H1025)&gt;0,"Yes","Not on stock sheet"))</f>
        <v/>
      </c>
    </row>
    <row r="1026" customFormat="false" ht="14.25" hidden="false" customHeight="true" outlineLevel="0" collapsed="false">
      <c r="E1026" s="17"/>
      <c r="H1026" s="17" t="str">
        <f aca="false">IF(TRIM(C1026)="","",IFERROR(INDEX('Code Aliases'!$B:$B,MATCH(TRIM(C1026),'Code Aliases'!$A:$A,0)),TRIM(C1026)))</f>
        <v/>
      </c>
      <c r="I1026" s="17" t="str">
        <f aca="false">IF(TRIM(B1026)="","",UPPER(TRIM(B1026)))</f>
        <v/>
      </c>
      <c r="J1026" s="17" t="str">
        <f aca="false">IF(H1026="","",IF(COUNTIF('Master Stock'!$A$5:$A$206,H1026)&gt;0,"Yes","Not on stock sheet"))</f>
        <v/>
      </c>
    </row>
    <row r="1027" customFormat="false" ht="14.25" hidden="false" customHeight="true" outlineLevel="0" collapsed="false">
      <c r="E1027" s="17"/>
      <c r="H1027" s="17" t="str">
        <f aca="false">IF(TRIM(C1027)="","",IFERROR(INDEX('Code Aliases'!$B:$B,MATCH(TRIM(C1027),'Code Aliases'!$A:$A,0)),TRIM(C1027)))</f>
        <v/>
      </c>
      <c r="I1027" s="17" t="str">
        <f aca="false">IF(TRIM(B1027)="","",UPPER(TRIM(B1027)))</f>
        <v/>
      </c>
      <c r="J1027" s="17" t="str">
        <f aca="false">IF(H1027="","",IF(COUNTIF('Master Stock'!$A$5:$A$206,H1027)&gt;0,"Yes","Not on stock sheet"))</f>
        <v/>
      </c>
    </row>
    <row r="1028" customFormat="false" ht="14.25" hidden="false" customHeight="true" outlineLevel="0" collapsed="false">
      <c r="E1028" s="17"/>
      <c r="H1028" s="17" t="str">
        <f aca="false">IF(TRIM(C1028)="","",IFERROR(INDEX('Code Aliases'!$B:$B,MATCH(TRIM(C1028),'Code Aliases'!$A:$A,0)),TRIM(C1028)))</f>
        <v/>
      </c>
      <c r="I1028" s="17" t="str">
        <f aca="false">IF(TRIM(B1028)="","",UPPER(TRIM(B1028)))</f>
        <v/>
      </c>
      <c r="J1028" s="17" t="str">
        <f aca="false">IF(H1028="","",IF(COUNTIF('Master Stock'!$A$5:$A$206,H1028)&gt;0,"Yes","Not on stock sheet"))</f>
        <v/>
      </c>
    </row>
    <row r="1029" customFormat="false" ht="14.25" hidden="false" customHeight="true" outlineLevel="0" collapsed="false">
      <c r="E1029" s="17"/>
      <c r="H1029" s="17" t="str">
        <f aca="false">IF(TRIM(C1029)="","",IFERROR(INDEX('Code Aliases'!$B:$B,MATCH(TRIM(C1029),'Code Aliases'!$A:$A,0)),TRIM(C1029)))</f>
        <v/>
      </c>
      <c r="I1029" s="17" t="str">
        <f aca="false">IF(TRIM(B1029)="","",UPPER(TRIM(B1029)))</f>
        <v/>
      </c>
      <c r="J1029" s="17" t="str">
        <f aca="false">IF(H1029="","",IF(COUNTIF('Master Stock'!$A$5:$A$206,H1029)&gt;0,"Yes","Not on stock sheet"))</f>
        <v/>
      </c>
    </row>
    <row r="1030" customFormat="false" ht="14.25" hidden="false" customHeight="true" outlineLevel="0" collapsed="false">
      <c r="E1030" s="17"/>
      <c r="H1030" s="17" t="str">
        <f aca="false">IF(TRIM(C1030)="","",IFERROR(INDEX('Code Aliases'!$B:$B,MATCH(TRIM(C1030),'Code Aliases'!$A:$A,0)),TRIM(C1030)))</f>
        <v/>
      </c>
      <c r="I1030" s="17" t="str">
        <f aca="false">IF(TRIM(B1030)="","",UPPER(TRIM(B1030)))</f>
        <v/>
      </c>
      <c r="J1030" s="17" t="str">
        <f aca="false">IF(H1030="","",IF(COUNTIF('Master Stock'!$A$5:$A$206,H1030)&gt;0,"Yes","Not on stock sheet"))</f>
        <v/>
      </c>
    </row>
    <row r="1031" customFormat="false" ht="14.25" hidden="false" customHeight="true" outlineLevel="0" collapsed="false">
      <c r="E1031" s="17"/>
      <c r="H1031" s="17" t="str">
        <f aca="false">IF(TRIM(C1031)="","",IFERROR(INDEX('Code Aliases'!$B:$B,MATCH(TRIM(C1031),'Code Aliases'!$A:$A,0)),TRIM(C1031)))</f>
        <v/>
      </c>
      <c r="I1031" s="17" t="str">
        <f aca="false">IF(TRIM(B1031)="","",UPPER(TRIM(B1031)))</f>
        <v/>
      </c>
      <c r="J1031" s="17" t="str">
        <f aca="false">IF(H1031="","",IF(COUNTIF('Master Stock'!$A$5:$A$206,H1031)&gt;0,"Yes","Not on stock sheet"))</f>
        <v/>
      </c>
    </row>
    <row r="1032" customFormat="false" ht="14.25" hidden="false" customHeight="true" outlineLevel="0" collapsed="false">
      <c r="E1032" s="17"/>
      <c r="H1032" s="17" t="str">
        <f aca="false">IF(TRIM(C1032)="","",IFERROR(INDEX('Code Aliases'!$B:$B,MATCH(TRIM(C1032),'Code Aliases'!$A:$A,0)),TRIM(C1032)))</f>
        <v/>
      </c>
      <c r="I1032" s="17" t="str">
        <f aca="false">IF(TRIM(B1032)="","",UPPER(TRIM(B1032)))</f>
        <v/>
      </c>
      <c r="J1032" s="17" t="str">
        <f aca="false">IF(H1032="","",IF(COUNTIF('Master Stock'!$A$5:$A$206,H1032)&gt;0,"Yes","Not on stock sheet"))</f>
        <v/>
      </c>
    </row>
    <row r="1033" customFormat="false" ht="14.25" hidden="false" customHeight="true" outlineLevel="0" collapsed="false">
      <c r="E1033" s="17"/>
      <c r="H1033" s="17" t="str">
        <f aca="false">IF(TRIM(C1033)="","",IFERROR(INDEX('Code Aliases'!$B:$B,MATCH(TRIM(C1033),'Code Aliases'!$A:$A,0)),TRIM(C1033)))</f>
        <v/>
      </c>
      <c r="I1033" s="17" t="str">
        <f aca="false">IF(TRIM(B1033)="","",UPPER(TRIM(B1033)))</f>
        <v/>
      </c>
      <c r="J1033" s="17" t="str">
        <f aca="false">IF(H1033="","",IF(COUNTIF('Master Stock'!$A$5:$A$206,H1033)&gt;0,"Yes","Not on stock sheet"))</f>
        <v/>
      </c>
    </row>
    <row r="1034" customFormat="false" ht="14.25" hidden="false" customHeight="true" outlineLevel="0" collapsed="false">
      <c r="E1034" s="17"/>
      <c r="H1034" s="17" t="str">
        <f aca="false">IF(TRIM(C1034)="","",IFERROR(INDEX('Code Aliases'!$B:$B,MATCH(TRIM(C1034),'Code Aliases'!$A:$A,0)),TRIM(C1034)))</f>
        <v/>
      </c>
      <c r="I1034" s="17" t="str">
        <f aca="false">IF(TRIM(B1034)="","",UPPER(TRIM(B1034)))</f>
        <v/>
      </c>
      <c r="J1034" s="17" t="str">
        <f aca="false">IF(H1034="","",IF(COUNTIF('Master Stock'!$A$5:$A$206,H1034)&gt;0,"Yes","Not on stock sheet"))</f>
        <v/>
      </c>
    </row>
    <row r="1035" customFormat="false" ht="14.25" hidden="false" customHeight="true" outlineLevel="0" collapsed="false">
      <c r="E1035" s="17"/>
      <c r="H1035" s="17" t="str">
        <f aca="false">IF(TRIM(C1035)="","",IFERROR(INDEX('Code Aliases'!$B:$B,MATCH(TRIM(C1035),'Code Aliases'!$A:$A,0)),TRIM(C1035)))</f>
        <v/>
      </c>
      <c r="I1035" s="17" t="str">
        <f aca="false">IF(TRIM(B1035)="","",UPPER(TRIM(B1035)))</f>
        <v/>
      </c>
      <c r="J1035" s="17" t="str">
        <f aca="false">IF(H1035="","",IF(COUNTIF('Master Stock'!$A$5:$A$206,H1035)&gt;0,"Yes","Not on stock sheet"))</f>
        <v/>
      </c>
    </row>
    <row r="1036" customFormat="false" ht="14.25" hidden="false" customHeight="true" outlineLevel="0" collapsed="false">
      <c r="E1036" s="17"/>
      <c r="H1036" s="17" t="str">
        <f aca="false">IF(TRIM(C1036)="","",IFERROR(INDEX('Code Aliases'!$B:$B,MATCH(TRIM(C1036),'Code Aliases'!$A:$A,0)),TRIM(C1036)))</f>
        <v/>
      </c>
      <c r="I1036" s="17" t="str">
        <f aca="false">IF(TRIM(B1036)="","",UPPER(TRIM(B1036)))</f>
        <v/>
      </c>
      <c r="J1036" s="17" t="str">
        <f aca="false">IF(H1036="","",IF(COUNTIF('Master Stock'!$A$5:$A$206,H1036)&gt;0,"Yes","Not on stock sheet"))</f>
        <v/>
      </c>
    </row>
    <row r="1037" customFormat="false" ht="14.25" hidden="false" customHeight="true" outlineLevel="0" collapsed="false">
      <c r="E1037" s="17"/>
      <c r="H1037" s="17" t="str">
        <f aca="false">IF(TRIM(C1037)="","",IFERROR(INDEX('Code Aliases'!$B:$B,MATCH(TRIM(C1037),'Code Aliases'!$A:$A,0)),TRIM(C1037)))</f>
        <v/>
      </c>
      <c r="I1037" s="17" t="str">
        <f aca="false">IF(TRIM(B1037)="","",UPPER(TRIM(B1037)))</f>
        <v/>
      </c>
      <c r="J1037" s="17" t="str">
        <f aca="false">IF(H1037="","",IF(COUNTIF('Master Stock'!$A$5:$A$206,H1037)&gt;0,"Yes","Not on stock sheet"))</f>
        <v/>
      </c>
    </row>
    <row r="1038" customFormat="false" ht="14.25" hidden="false" customHeight="true" outlineLevel="0" collapsed="false">
      <c r="E1038" s="17"/>
      <c r="H1038" s="17" t="str">
        <f aca="false">IF(TRIM(C1038)="","",IFERROR(INDEX('Code Aliases'!$B:$B,MATCH(TRIM(C1038),'Code Aliases'!$A:$A,0)),TRIM(C1038)))</f>
        <v/>
      </c>
      <c r="I1038" s="17" t="str">
        <f aca="false">IF(TRIM(B1038)="","",UPPER(TRIM(B1038)))</f>
        <v/>
      </c>
      <c r="J1038" s="17" t="str">
        <f aca="false">IF(H1038="","",IF(COUNTIF('Master Stock'!$A$5:$A$206,H1038)&gt;0,"Yes","Not on stock sheet"))</f>
        <v/>
      </c>
    </row>
    <row r="1039" customFormat="false" ht="14.25" hidden="false" customHeight="true" outlineLevel="0" collapsed="false">
      <c r="E1039" s="17"/>
      <c r="H1039" s="17" t="str">
        <f aca="false">IF(TRIM(C1039)="","",IFERROR(INDEX('Code Aliases'!$B:$B,MATCH(TRIM(C1039),'Code Aliases'!$A:$A,0)),TRIM(C1039)))</f>
        <v/>
      </c>
      <c r="I1039" s="17" t="str">
        <f aca="false">IF(TRIM(B1039)="","",UPPER(TRIM(B1039)))</f>
        <v/>
      </c>
      <c r="J1039" s="17" t="str">
        <f aca="false">IF(H1039="","",IF(COUNTIF('Master Stock'!$A$5:$A$206,H1039)&gt;0,"Yes","Not on stock sheet"))</f>
        <v/>
      </c>
    </row>
    <row r="1040" customFormat="false" ht="14.25" hidden="false" customHeight="true" outlineLevel="0" collapsed="false">
      <c r="E1040" s="17"/>
      <c r="H1040" s="17" t="str">
        <f aca="false">IF(TRIM(C1040)="","",IFERROR(INDEX('Code Aliases'!$B:$B,MATCH(TRIM(C1040),'Code Aliases'!$A:$A,0)),TRIM(C1040)))</f>
        <v/>
      </c>
      <c r="I1040" s="17" t="str">
        <f aca="false">IF(TRIM(B1040)="","",UPPER(TRIM(B1040)))</f>
        <v/>
      </c>
      <c r="J1040" s="17" t="str">
        <f aca="false">IF(H1040="","",IF(COUNTIF('Master Stock'!$A$5:$A$206,H1040)&gt;0,"Yes","Not on stock sheet"))</f>
        <v/>
      </c>
    </row>
    <row r="1041" customFormat="false" ht="14.25" hidden="false" customHeight="true" outlineLevel="0" collapsed="false">
      <c r="E1041" s="17"/>
      <c r="H1041" s="17" t="str">
        <f aca="false">IF(TRIM(C1041)="","",IFERROR(INDEX('Code Aliases'!$B:$B,MATCH(TRIM(C1041),'Code Aliases'!$A:$A,0)),TRIM(C1041)))</f>
        <v/>
      </c>
      <c r="I1041" s="17" t="str">
        <f aca="false">IF(TRIM(B1041)="","",UPPER(TRIM(B1041)))</f>
        <v/>
      </c>
      <c r="J1041" s="17" t="str">
        <f aca="false">IF(H1041="","",IF(COUNTIF('Master Stock'!$A$5:$A$206,H1041)&gt;0,"Yes","Not on stock sheet"))</f>
        <v/>
      </c>
    </row>
    <row r="1042" customFormat="false" ht="14.25" hidden="false" customHeight="true" outlineLevel="0" collapsed="false">
      <c r="E1042" s="17"/>
      <c r="H1042" s="17" t="str">
        <f aca="false">IF(TRIM(C1042)="","",IFERROR(INDEX('Code Aliases'!$B:$B,MATCH(TRIM(C1042),'Code Aliases'!$A:$A,0)),TRIM(C1042)))</f>
        <v/>
      </c>
      <c r="I1042" s="17" t="str">
        <f aca="false">IF(TRIM(B1042)="","",UPPER(TRIM(B1042)))</f>
        <v/>
      </c>
      <c r="J1042" s="17" t="str">
        <f aca="false">IF(H1042="","",IF(COUNTIF('Master Stock'!$A$5:$A$206,H1042)&gt;0,"Yes","Not on stock sheet"))</f>
        <v/>
      </c>
    </row>
    <row r="1043" customFormat="false" ht="14.25" hidden="false" customHeight="true" outlineLevel="0" collapsed="false">
      <c r="E1043" s="17"/>
      <c r="H1043" s="17" t="str">
        <f aca="false">IF(TRIM(C1043)="","",IFERROR(INDEX('Code Aliases'!$B:$B,MATCH(TRIM(C1043),'Code Aliases'!$A:$A,0)),TRIM(C1043)))</f>
        <v/>
      </c>
      <c r="I1043" s="17" t="str">
        <f aca="false">IF(TRIM(B1043)="","",UPPER(TRIM(B1043)))</f>
        <v/>
      </c>
      <c r="J1043" s="17" t="str">
        <f aca="false">IF(H1043="","",IF(COUNTIF('Master Stock'!$A$5:$A$206,H1043)&gt;0,"Yes","Not on stock sheet"))</f>
        <v/>
      </c>
    </row>
    <row r="1044" customFormat="false" ht="14.25" hidden="false" customHeight="true" outlineLevel="0" collapsed="false">
      <c r="E1044" s="17"/>
      <c r="H1044" s="17" t="str">
        <f aca="false">IF(TRIM(C1044)="","",IFERROR(INDEX('Code Aliases'!$B:$B,MATCH(TRIM(C1044),'Code Aliases'!$A:$A,0)),TRIM(C1044)))</f>
        <v/>
      </c>
      <c r="I1044" s="17" t="str">
        <f aca="false">IF(TRIM(B1044)="","",UPPER(TRIM(B1044)))</f>
        <v/>
      </c>
      <c r="J1044" s="17" t="str">
        <f aca="false">IF(H1044="","",IF(COUNTIF('Master Stock'!$A$5:$A$206,H1044)&gt;0,"Yes","Not on stock sheet"))</f>
        <v/>
      </c>
    </row>
    <row r="1045" customFormat="false" ht="14.25" hidden="false" customHeight="true" outlineLevel="0" collapsed="false">
      <c r="E1045" s="17"/>
      <c r="H1045" s="17" t="str">
        <f aca="false">IF(TRIM(C1045)="","",IFERROR(INDEX('Code Aliases'!$B:$B,MATCH(TRIM(C1045),'Code Aliases'!$A:$A,0)),TRIM(C1045)))</f>
        <v/>
      </c>
      <c r="I1045" s="17" t="str">
        <f aca="false">IF(TRIM(B1045)="","",UPPER(TRIM(B1045)))</f>
        <v/>
      </c>
      <c r="J1045" s="17" t="str">
        <f aca="false">IF(H1045="","",IF(COUNTIF('Master Stock'!$A$5:$A$206,H1045)&gt;0,"Yes","Not on stock sheet"))</f>
        <v/>
      </c>
    </row>
    <row r="1046" customFormat="false" ht="14.25" hidden="false" customHeight="true" outlineLevel="0" collapsed="false">
      <c r="E1046" s="17"/>
      <c r="H1046" s="17" t="str">
        <f aca="false">IF(TRIM(C1046)="","",IFERROR(INDEX('Code Aliases'!$B:$B,MATCH(TRIM(C1046),'Code Aliases'!$A:$A,0)),TRIM(C1046)))</f>
        <v/>
      </c>
      <c r="I1046" s="17" t="str">
        <f aca="false">IF(TRIM(B1046)="","",UPPER(TRIM(B1046)))</f>
        <v/>
      </c>
      <c r="J1046" s="17" t="str">
        <f aca="false">IF(H1046="","",IF(COUNTIF('Master Stock'!$A$5:$A$206,H1046)&gt;0,"Yes","Not on stock sheet"))</f>
        <v/>
      </c>
    </row>
    <row r="1047" customFormat="false" ht="14.25" hidden="false" customHeight="true" outlineLevel="0" collapsed="false">
      <c r="E1047" s="17"/>
      <c r="H1047" s="17" t="str">
        <f aca="false">IF(TRIM(C1047)="","",IFERROR(INDEX('Code Aliases'!$B:$B,MATCH(TRIM(C1047),'Code Aliases'!$A:$A,0)),TRIM(C1047)))</f>
        <v/>
      </c>
      <c r="I1047" s="17" t="str">
        <f aca="false">IF(TRIM(B1047)="","",UPPER(TRIM(B1047)))</f>
        <v/>
      </c>
      <c r="J1047" s="17" t="str">
        <f aca="false">IF(H1047="","",IF(COUNTIF('Master Stock'!$A$5:$A$206,H1047)&gt;0,"Yes","Not on stock sheet"))</f>
        <v/>
      </c>
    </row>
    <row r="1048" customFormat="false" ht="14.25" hidden="false" customHeight="true" outlineLevel="0" collapsed="false">
      <c r="E1048" s="17"/>
      <c r="H1048" s="17" t="str">
        <f aca="false">IF(TRIM(C1048)="","",IFERROR(INDEX('Code Aliases'!$B:$B,MATCH(TRIM(C1048),'Code Aliases'!$A:$A,0)),TRIM(C1048)))</f>
        <v/>
      </c>
      <c r="I1048" s="17" t="str">
        <f aca="false">IF(TRIM(B1048)="","",UPPER(TRIM(B1048)))</f>
        <v/>
      </c>
      <c r="J1048" s="17" t="str">
        <f aca="false">IF(H1048="","",IF(COUNTIF('Master Stock'!$A$5:$A$206,H1048)&gt;0,"Yes","Not on stock sheet"))</f>
        <v/>
      </c>
    </row>
    <row r="1049" customFormat="false" ht="14.25" hidden="false" customHeight="true" outlineLevel="0" collapsed="false">
      <c r="E1049" s="17"/>
      <c r="H1049" s="17" t="str">
        <f aca="false">IF(TRIM(C1049)="","",IFERROR(INDEX('Code Aliases'!$B:$B,MATCH(TRIM(C1049),'Code Aliases'!$A:$A,0)),TRIM(C1049)))</f>
        <v/>
      </c>
      <c r="I1049" s="17" t="str">
        <f aca="false">IF(TRIM(B1049)="","",UPPER(TRIM(B1049)))</f>
        <v/>
      </c>
      <c r="J1049" s="17" t="str">
        <f aca="false">IF(H1049="","",IF(COUNTIF('Master Stock'!$A$5:$A$206,H1049)&gt;0,"Yes","Not on stock sheet"))</f>
        <v/>
      </c>
    </row>
    <row r="1050" customFormat="false" ht="14.25" hidden="false" customHeight="true" outlineLevel="0" collapsed="false">
      <c r="E1050" s="17"/>
      <c r="H1050" s="17" t="str">
        <f aca="false">IF(TRIM(C1050)="","",IFERROR(INDEX('Code Aliases'!$B:$B,MATCH(TRIM(C1050),'Code Aliases'!$A:$A,0)),TRIM(C1050)))</f>
        <v/>
      </c>
      <c r="I1050" s="17" t="str">
        <f aca="false">IF(TRIM(B1050)="","",UPPER(TRIM(B1050)))</f>
        <v/>
      </c>
      <c r="J1050" s="17" t="str">
        <f aca="false">IF(H1050="","",IF(COUNTIF('Master Stock'!$A$5:$A$206,H1050)&gt;0,"Yes","Not on stock sheet"))</f>
        <v/>
      </c>
    </row>
    <row r="1051" customFormat="false" ht="14.25" hidden="false" customHeight="true" outlineLevel="0" collapsed="false">
      <c r="E1051" s="17"/>
      <c r="H1051" s="17" t="str">
        <f aca="false">IF(TRIM(C1051)="","",IFERROR(INDEX('Code Aliases'!$B:$B,MATCH(TRIM(C1051),'Code Aliases'!$A:$A,0)),TRIM(C1051)))</f>
        <v/>
      </c>
      <c r="I1051" s="17" t="str">
        <f aca="false">IF(TRIM(B1051)="","",UPPER(TRIM(B1051)))</f>
        <v/>
      </c>
      <c r="J1051" s="17" t="str">
        <f aca="false">IF(H1051="","",IF(COUNTIF('Master Stock'!$A$5:$A$206,H1051)&gt;0,"Yes","Not on stock sheet"))</f>
        <v/>
      </c>
    </row>
    <row r="1052" customFormat="false" ht="14.25" hidden="false" customHeight="true" outlineLevel="0" collapsed="false">
      <c r="E1052" s="17"/>
      <c r="H1052" s="17" t="str">
        <f aca="false">IF(TRIM(C1052)="","",IFERROR(INDEX('Code Aliases'!$B:$B,MATCH(TRIM(C1052),'Code Aliases'!$A:$A,0)),TRIM(C1052)))</f>
        <v/>
      </c>
      <c r="I1052" s="17" t="str">
        <f aca="false">IF(TRIM(B1052)="","",UPPER(TRIM(B1052)))</f>
        <v/>
      </c>
      <c r="J1052" s="17" t="str">
        <f aca="false">IF(H1052="","",IF(COUNTIF('Master Stock'!$A$5:$A$206,H1052)&gt;0,"Yes","Not on stock sheet"))</f>
        <v/>
      </c>
    </row>
    <row r="1053" customFormat="false" ht="14.25" hidden="false" customHeight="true" outlineLevel="0" collapsed="false">
      <c r="E1053" s="17"/>
      <c r="H1053" s="17" t="str">
        <f aca="false">IF(TRIM(C1053)="","",IFERROR(INDEX('Code Aliases'!$B:$B,MATCH(TRIM(C1053),'Code Aliases'!$A:$A,0)),TRIM(C1053)))</f>
        <v/>
      </c>
      <c r="I1053" s="17" t="str">
        <f aca="false">IF(TRIM(B1053)="","",UPPER(TRIM(B1053)))</f>
        <v/>
      </c>
      <c r="J1053" s="17" t="str">
        <f aca="false">IF(H1053="","",IF(COUNTIF('Master Stock'!$A$5:$A$206,H1053)&gt;0,"Yes","Not on stock sheet"))</f>
        <v/>
      </c>
    </row>
    <row r="1054" customFormat="false" ht="14.25" hidden="false" customHeight="true" outlineLevel="0" collapsed="false">
      <c r="E1054" s="17"/>
      <c r="H1054" s="17" t="str">
        <f aca="false">IF(TRIM(C1054)="","",IFERROR(INDEX('Code Aliases'!$B:$B,MATCH(TRIM(C1054),'Code Aliases'!$A:$A,0)),TRIM(C1054)))</f>
        <v/>
      </c>
      <c r="I1054" s="17" t="str">
        <f aca="false">IF(TRIM(B1054)="","",UPPER(TRIM(B1054)))</f>
        <v/>
      </c>
      <c r="J1054" s="17" t="str">
        <f aca="false">IF(H1054="","",IF(COUNTIF('Master Stock'!$A$5:$A$206,H1054)&gt;0,"Yes","Not on stock sheet"))</f>
        <v/>
      </c>
    </row>
    <row r="1055" customFormat="false" ht="14.25" hidden="false" customHeight="true" outlineLevel="0" collapsed="false">
      <c r="E1055" s="17"/>
      <c r="H1055" s="17" t="str">
        <f aca="false">IF(TRIM(C1055)="","",IFERROR(INDEX('Code Aliases'!$B:$B,MATCH(TRIM(C1055),'Code Aliases'!$A:$A,0)),TRIM(C1055)))</f>
        <v/>
      </c>
      <c r="I1055" s="17" t="str">
        <f aca="false">IF(TRIM(B1055)="","",UPPER(TRIM(B1055)))</f>
        <v/>
      </c>
      <c r="J1055" s="17" t="str">
        <f aca="false">IF(H1055="","",IF(COUNTIF('Master Stock'!$A$5:$A$206,H1055)&gt;0,"Yes","Not on stock sheet"))</f>
        <v/>
      </c>
    </row>
    <row r="1056" customFormat="false" ht="14.25" hidden="false" customHeight="true" outlineLevel="0" collapsed="false">
      <c r="E1056" s="17"/>
      <c r="H1056" s="17" t="str">
        <f aca="false">IF(TRIM(C1056)="","",IFERROR(INDEX('Code Aliases'!$B:$B,MATCH(TRIM(C1056),'Code Aliases'!$A:$A,0)),TRIM(C1056)))</f>
        <v/>
      </c>
      <c r="I1056" s="17" t="str">
        <f aca="false">IF(TRIM(B1056)="","",UPPER(TRIM(B1056)))</f>
        <v/>
      </c>
      <c r="J1056" s="17" t="str">
        <f aca="false">IF(H1056="","",IF(COUNTIF('Master Stock'!$A$5:$A$206,H1056)&gt;0,"Yes","Not on stock sheet"))</f>
        <v/>
      </c>
    </row>
    <row r="1057" customFormat="false" ht="14.25" hidden="false" customHeight="true" outlineLevel="0" collapsed="false">
      <c r="E1057" s="17"/>
      <c r="H1057" s="17" t="str">
        <f aca="false">IF(TRIM(C1057)="","",IFERROR(INDEX('Code Aliases'!$B:$B,MATCH(TRIM(C1057),'Code Aliases'!$A:$A,0)),TRIM(C1057)))</f>
        <v/>
      </c>
      <c r="I1057" s="17" t="str">
        <f aca="false">IF(TRIM(B1057)="","",UPPER(TRIM(B1057)))</f>
        <v/>
      </c>
      <c r="J1057" s="17" t="str">
        <f aca="false">IF(H1057="","",IF(COUNTIF('Master Stock'!$A$5:$A$206,H1057)&gt;0,"Yes","Not on stock sheet"))</f>
        <v/>
      </c>
    </row>
    <row r="1058" customFormat="false" ht="14.25" hidden="false" customHeight="true" outlineLevel="0" collapsed="false">
      <c r="E1058" s="17"/>
      <c r="H1058" s="17" t="str">
        <f aca="false">IF(TRIM(C1058)="","",IFERROR(INDEX('Code Aliases'!$B:$B,MATCH(TRIM(C1058),'Code Aliases'!$A:$A,0)),TRIM(C1058)))</f>
        <v/>
      </c>
      <c r="I1058" s="17" t="str">
        <f aca="false">IF(TRIM(B1058)="","",UPPER(TRIM(B1058)))</f>
        <v/>
      </c>
      <c r="J1058" s="17" t="str">
        <f aca="false">IF(H1058="","",IF(COUNTIF('Master Stock'!$A$5:$A$206,H1058)&gt;0,"Yes","Not on stock sheet"))</f>
        <v/>
      </c>
    </row>
    <row r="1059" customFormat="false" ht="14.25" hidden="false" customHeight="true" outlineLevel="0" collapsed="false">
      <c r="E1059" s="17"/>
      <c r="H1059" s="17" t="str">
        <f aca="false">IF(TRIM(C1059)="","",IFERROR(INDEX('Code Aliases'!$B:$B,MATCH(TRIM(C1059),'Code Aliases'!$A:$A,0)),TRIM(C1059)))</f>
        <v/>
      </c>
      <c r="I1059" s="17" t="str">
        <f aca="false">IF(TRIM(B1059)="","",UPPER(TRIM(B1059)))</f>
        <v/>
      </c>
      <c r="J1059" s="17" t="str">
        <f aca="false">IF(H1059="","",IF(COUNTIF('Master Stock'!$A$5:$A$206,H1059)&gt;0,"Yes","Not on stock sheet"))</f>
        <v/>
      </c>
    </row>
    <row r="1060" customFormat="false" ht="14.25" hidden="false" customHeight="true" outlineLevel="0" collapsed="false">
      <c r="E1060" s="17"/>
      <c r="H1060" s="17" t="str">
        <f aca="false">IF(TRIM(C1060)="","",IFERROR(INDEX('Code Aliases'!$B:$B,MATCH(TRIM(C1060),'Code Aliases'!$A:$A,0)),TRIM(C1060)))</f>
        <v/>
      </c>
      <c r="I1060" s="17" t="str">
        <f aca="false">IF(TRIM(B1060)="","",UPPER(TRIM(B1060)))</f>
        <v/>
      </c>
      <c r="J1060" s="17" t="str">
        <f aca="false">IF(H1060="","",IF(COUNTIF('Master Stock'!$A$5:$A$206,H1060)&gt;0,"Yes","Not on stock sheet"))</f>
        <v/>
      </c>
    </row>
    <row r="1061" customFormat="false" ht="14.25" hidden="false" customHeight="true" outlineLevel="0" collapsed="false">
      <c r="E1061" s="17"/>
      <c r="H1061" s="17" t="str">
        <f aca="false">IF(TRIM(C1061)="","",IFERROR(INDEX('Code Aliases'!$B:$B,MATCH(TRIM(C1061),'Code Aliases'!$A:$A,0)),TRIM(C1061)))</f>
        <v/>
      </c>
      <c r="I1061" s="17" t="str">
        <f aca="false">IF(TRIM(B1061)="","",UPPER(TRIM(B1061)))</f>
        <v/>
      </c>
      <c r="J1061" s="17" t="str">
        <f aca="false">IF(H1061="","",IF(COUNTIF('Master Stock'!$A$5:$A$206,H1061)&gt;0,"Yes","Not on stock sheet"))</f>
        <v/>
      </c>
    </row>
    <row r="1062" customFormat="false" ht="14.25" hidden="false" customHeight="true" outlineLevel="0" collapsed="false">
      <c r="E1062" s="17"/>
      <c r="H1062" s="17" t="str">
        <f aca="false">IF(TRIM(C1062)="","",IFERROR(INDEX('Code Aliases'!$B:$B,MATCH(TRIM(C1062),'Code Aliases'!$A:$A,0)),TRIM(C1062)))</f>
        <v/>
      </c>
      <c r="I1062" s="17" t="str">
        <f aca="false">IF(TRIM(B1062)="","",UPPER(TRIM(B1062)))</f>
        <v/>
      </c>
      <c r="J1062" s="17" t="str">
        <f aca="false">IF(H1062="","",IF(COUNTIF('Master Stock'!$A$5:$A$206,H1062)&gt;0,"Yes","Not on stock sheet"))</f>
        <v/>
      </c>
    </row>
    <row r="1063" customFormat="false" ht="14.25" hidden="false" customHeight="true" outlineLevel="0" collapsed="false">
      <c r="E1063" s="17"/>
      <c r="H1063" s="17" t="str">
        <f aca="false">IF(TRIM(C1063)="","",IFERROR(INDEX('Code Aliases'!$B:$B,MATCH(TRIM(C1063),'Code Aliases'!$A:$A,0)),TRIM(C1063)))</f>
        <v/>
      </c>
      <c r="I1063" s="17" t="str">
        <f aca="false">IF(TRIM(B1063)="","",UPPER(TRIM(B1063)))</f>
        <v/>
      </c>
      <c r="J1063" s="17" t="str">
        <f aca="false">IF(H1063="","",IF(COUNTIF('Master Stock'!$A$5:$A$206,H1063)&gt;0,"Yes","Not on stock sheet"))</f>
        <v/>
      </c>
    </row>
    <row r="1064" customFormat="false" ht="14.25" hidden="false" customHeight="true" outlineLevel="0" collapsed="false">
      <c r="E1064" s="17"/>
      <c r="H1064" s="17" t="str">
        <f aca="false">IF(TRIM(C1064)="","",IFERROR(INDEX('Code Aliases'!$B:$B,MATCH(TRIM(C1064),'Code Aliases'!$A:$A,0)),TRIM(C1064)))</f>
        <v/>
      </c>
      <c r="I1064" s="17" t="str">
        <f aca="false">IF(TRIM(B1064)="","",UPPER(TRIM(B1064)))</f>
        <v/>
      </c>
      <c r="J1064" s="17" t="str">
        <f aca="false">IF(H1064="","",IF(COUNTIF('Master Stock'!$A$5:$A$206,H1064)&gt;0,"Yes","Not on stock sheet"))</f>
        <v/>
      </c>
    </row>
    <row r="1065" customFormat="false" ht="14.25" hidden="false" customHeight="true" outlineLevel="0" collapsed="false">
      <c r="E1065" s="17"/>
      <c r="H1065" s="17" t="str">
        <f aca="false">IF(TRIM(C1065)="","",IFERROR(INDEX('Code Aliases'!$B:$B,MATCH(TRIM(C1065),'Code Aliases'!$A:$A,0)),TRIM(C1065)))</f>
        <v/>
      </c>
      <c r="I1065" s="17" t="str">
        <f aca="false">IF(TRIM(B1065)="","",UPPER(TRIM(B1065)))</f>
        <v/>
      </c>
      <c r="J1065" s="17" t="str">
        <f aca="false">IF(H1065="","",IF(COUNTIF('Master Stock'!$A$5:$A$206,H1065)&gt;0,"Yes","Not on stock sheet"))</f>
        <v/>
      </c>
    </row>
    <row r="1066" customFormat="false" ht="14.25" hidden="false" customHeight="true" outlineLevel="0" collapsed="false">
      <c r="E1066" s="17"/>
      <c r="H1066" s="17" t="str">
        <f aca="false">IF(TRIM(C1066)="","",IFERROR(INDEX('Code Aliases'!$B:$B,MATCH(TRIM(C1066),'Code Aliases'!$A:$A,0)),TRIM(C1066)))</f>
        <v/>
      </c>
      <c r="I1066" s="17" t="str">
        <f aca="false">IF(TRIM(B1066)="","",UPPER(TRIM(B1066)))</f>
        <v/>
      </c>
      <c r="J1066" s="17" t="str">
        <f aca="false">IF(H1066="","",IF(COUNTIF('Master Stock'!$A$5:$A$206,H1066)&gt;0,"Yes","Not on stock sheet"))</f>
        <v/>
      </c>
    </row>
    <row r="1067" customFormat="false" ht="14.25" hidden="false" customHeight="true" outlineLevel="0" collapsed="false">
      <c r="E1067" s="17"/>
      <c r="H1067" s="17" t="str">
        <f aca="false">IF(TRIM(C1067)="","",IFERROR(INDEX('Code Aliases'!$B:$B,MATCH(TRIM(C1067),'Code Aliases'!$A:$A,0)),TRIM(C1067)))</f>
        <v/>
      </c>
      <c r="I1067" s="17" t="str">
        <f aca="false">IF(TRIM(B1067)="","",UPPER(TRIM(B1067)))</f>
        <v/>
      </c>
      <c r="J1067" s="17" t="str">
        <f aca="false">IF(H1067="","",IF(COUNTIF('Master Stock'!$A$5:$A$206,H1067)&gt;0,"Yes","Not on stock sheet"))</f>
        <v/>
      </c>
    </row>
    <row r="1068" customFormat="false" ht="14.25" hidden="false" customHeight="true" outlineLevel="0" collapsed="false">
      <c r="E1068" s="17"/>
      <c r="H1068" s="17" t="str">
        <f aca="false">IF(TRIM(C1068)="","",IFERROR(INDEX('Code Aliases'!$B:$B,MATCH(TRIM(C1068),'Code Aliases'!$A:$A,0)),TRIM(C1068)))</f>
        <v/>
      </c>
      <c r="I1068" s="17" t="str">
        <f aca="false">IF(TRIM(B1068)="","",UPPER(TRIM(B1068)))</f>
        <v/>
      </c>
      <c r="J1068" s="17" t="str">
        <f aca="false">IF(H1068="","",IF(COUNTIF('Master Stock'!$A$5:$A$206,H1068)&gt;0,"Yes","Not on stock sheet"))</f>
        <v/>
      </c>
    </row>
    <row r="1069" customFormat="false" ht="14.25" hidden="false" customHeight="true" outlineLevel="0" collapsed="false">
      <c r="E1069" s="17"/>
      <c r="H1069" s="17" t="str">
        <f aca="false">IF(TRIM(C1069)="","",IFERROR(INDEX('Code Aliases'!$B:$B,MATCH(TRIM(C1069),'Code Aliases'!$A:$A,0)),TRIM(C1069)))</f>
        <v/>
      </c>
      <c r="I1069" s="17" t="str">
        <f aca="false">IF(TRIM(B1069)="","",UPPER(TRIM(B1069)))</f>
        <v/>
      </c>
      <c r="J1069" s="17" t="str">
        <f aca="false">IF(H1069="","",IF(COUNTIF('Master Stock'!$A$5:$A$206,H1069)&gt;0,"Yes","Not on stock sheet"))</f>
        <v/>
      </c>
    </row>
    <row r="1070" customFormat="false" ht="14.25" hidden="false" customHeight="true" outlineLevel="0" collapsed="false">
      <c r="E1070" s="17"/>
      <c r="H1070" s="17" t="str">
        <f aca="false">IF(TRIM(C1070)="","",IFERROR(INDEX('Code Aliases'!$B:$B,MATCH(TRIM(C1070),'Code Aliases'!$A:$A,0)),TRIM(C1070)))</f>
        <v/>
      </c>
      <c r="I1070" s="17" t="str">
        <f aca="false">IF(TRIM(B1070)="","",UPPER(TRIM(B1070)))</f>
        <v/>
      </c>
      <c r="J1070" s="17" t="str">
        <f aca="false">IF(H1070="","",IF(COUNTIF('Master Stock'!$A$5:$A$206,H1070)&gt;0,"Yes","Not on stock sheet"))</f>
        <v/>
      </c>
    </row>
    <row r="1071" customFormat="false" ht="14.25" hidden="false" customHeight="true" outlineLevel="0" collapsed="false">
      <c r="E1071" s="17"/>
      <c r="H1071" s="17" t="str">
        <f aca="false">IF(TRIM(C1071)="","",IFERROR(INDEX('Code Aliases'!$B:$B,MATCH(TRIM(C1071),'Code Aliases'!$A:$A,0)),TRIM(C1071)))</f>
        <v/>
      </c>
      <c r="I1071" s="17" t="str">
        <f aca="false">IF(TRIM(B1071)="","",UPPER(TRIM(B1071)))</f>
        <v/>
      </c>
      <c r="J1071" s="17" t="str">
        <f aca="false">IF(H1071="","",IF(COUNTIF('Master Stock'!$A$5:$A$206,H1071)&gt;0,"Yes","Not on stock sheet"))</f>
        <v/>
      </c>
    </row>
    <row r="1072" customFormat="false" ht="14.25" hidden="false" customHeight="true" outlineLevel="0" collapsed="false">
      <c r="E1072" s="17"/>
      <c r="H1072" s="17" t="str">
        <f aca="false">IF(TRIM(C1072)="","",IFERROR(INDEX('Code Aliases'!$B:$B,MATCH(TRIM(C1072),'Code Aliases'!$A:$A,0)),TRIM(C1072)))</f>
        <v/>
      </c>
      <c r="I1072" s="17" t="str">
        <f aca="false">IF(TRIM(B1072)="","",UPPER(TRIM(B1072)))</f>
        <v/>
      </c>
      <c r="J1072" s="17" t="str">
        <f aca="false">IF(H1072="","",IF(COUNTIF('Master Stock'!$A$5:$A$206,H1072)&gt;0,"Yes","Not on stock sheet"))</f>
        <v/>
      </c>
    </row>
    <row r="1073" customFormat="false" ht="14.25" hidden="false" customHeight="true" outlineLevel="0" collapsed="false">
      <c r="E1073" s="17"/>
      <c r="H1073" s="17" t="str">
        <f aca="false">IF(TRIM(C1073)="","",IFERROR(INDEX('Code Aliases'!$B:$B,MATCH(TRIM(C1073),'Code Aliases'!$A:$A,0)),TRIM(C1073)))</f>
        <v/>
      </c>
      <c r="I1073" s="17" t="str">
        <f aca="false">IF(TRIM(B1073)="","",UPPER(TRIM(B1073)))</f>
        <v/>
      </c>
      <c r="J1073" s="17" t="str">
        <f aca="false">IF(H1073="","",IF(COUNTIF('Master Stock'!$A$5:$A$206,H1073)&gt;0,"Yes","Not on stock sheet"))</f>
        <v/>
      </c>
    </row>
    <row r="1074" customFormat="false" ht="14.25" hidden="false" customHeight="true" outlineLevel="0" collapsed="false">
      <c r="E1074" s="17"/>
      <c r="H1074" s="17" t="str">
        <f aca="false">IF(TRIM(C1074)="","",IFERROR(INDEX('Code Aliases'!$B:$B,MATCH(TRIM(C1074),'Code Aliases'!$A:$A,0)),TRIM(C1074)))</f>
        <v/>
      </c>
      <c r="I1074" s="17" t="str">
        <f aca="false">IF(TRIM(B1074)="","",UPPER(TRIM(B1074)))</f>
        <v/>
      </c>
      <c r="J1074" s="17" t="str">
        <f aca="false">IF(H1074="","",IF(COUNTIF('Master Stock'!$A$5:$A$206,H1074)&gt;0,"Yes","Not on stock sheet"))</f>
        <v/>
      </c>
    </row>
    <row r="1075" customFormat="false" ht="14.25" hidden="false" customHeight="true" outlineLevel="0" collapsed="false">
      <c r="E1075" s="17"/>
      <c r="H1075" s="17" t="str">
        <f aca="false">IF(TRIM(C1075)="","",IFERROR(INDEX('Code Aliases'!$B:$B,MATCH(TRIM(C1075),'Code Aliases'!$A:$A,0)),TRIM(C1075)))</f>
        <v/>
      </c>
      <c r="I1075" s="17" t="str">
        <f aca="false">IF(TRIM(B1075)="","",UPPER(TRIM(B1075)))</f>
        <v/>
      </c>
      <c r="J1075" s="17" t="str">
        <f aca="false">IF(H1075="","",IF(COUNTIF('Master Stock'!$A$5:$A$206,H1075)&gt;0,"Yes","Not on stock sheet"))</f>
        <v/>
      </c>
    </row>
    <row r="1076" customFormat="false" ht="14.25" hidden="false" customHeight="true" outlineLevel="0" collapsed="false">
      <c r="E1076" s="17"/>
      <c r="H1076" s="17" t="str">
        <f aca="false">IF(TRIM(C1076)="","",IFERROR(INDEX('Code Aliases'!$B:$B,MATCH(TRIM(C1076),'Code Aliases'!$A:$A,0)),TRIM(C1076)))</f>
        <v/>
      </c>
      <c r="I1076" s="17" t="str">
        <f aca="false">IF(TRIM(B1076)="","",UPPER(TRIM(B1076)))</f>
        <v/>
      </c>
      <c r="J1076" s="17" t="str">
        <f aca="false">IF(H1076="","",IF(COUNTIF('Master Stock'!$A$5:$A$206,H1076)&gt;0,"Yes","Not on stock sheet"))</f>
        <v/>
      </c>
    </row>
    <row r="1077" customFormat="false" ht="14.25" hidden="false" customHeight="true" outlineLevel="0" collapsed="false">
      <c r="E1077" s="17"/>
      <c r="H1077" s="17" t="str">
        <f aca="false">IF(TRIM(C1077)="","",IFERROR(INDEX('Code Aliases'!$B:$B,MATCH(TRIM(C1077),'Code Aliases'!$A:$A,0)),TRIM(C1077)))</f>
        <v/>
      </c>
      <c r="I1077" s="17" t="str">
        <f aca="false">IF(TRIM(B1077)="","",UPPER(TRIM(B1077)))</f>
        <v/>
      </c>
      <c r="J1077" s="17" t="str">
        <f aca="false">IF(H1077="","",IF(COUNTIF('Master Stock'!$A$5:$A$206,H1077)&gt;0,"Yes","Not on stock sheet"))</f>
        <v/>
      </c>
    </row>
    <row r="1078" customFormat="false" ht="14.25" hidden="false" customHeight="true" outlineLevel="0" collapsed="false">
      <c r="E1078" s="17"/>
      <c r="H1078" s="17" t="str">
        <f aca="false">IF(TRIM(C1078)="","",IFERROR(INDEX('Code Aliases'!$B:$B,MATCH(TRIM(C1078),'Code Aliases'!$A:$A,0)),TRIM(C1078)))</f>
        <v/>
      </c>
      <c r="I1078" s="17" t="str">
        <f aca="false">IF(TRIM(B1078)="","",UPPER(TRIM(B1078)))</f>
        <v/>
      </c>
      <c r="J1078" s="17" t="str">
        <f aca="false">IF(H1078="","",IF(COUNTIF('Master Stock'!$A$5:$A$206,H1078)&gt;0,"Yes","Not on stock sheet"))</f>
        <v/>
      </c>
    </row>
    <row r="1079" customFormat="false" ht="14.25" hidden="false" customHeight="true" outlineLevel="0" collapsed="false">
      <c r="E1079" s="17"/>
      <c r="H1079" s="17" t="str">
        <f aca="false">IF(TRIM(C1079)="","",IFERROR(INDEX('Code Aliases'!$B:$B,MATCH(TRIM(C1079),'Code Aliases'!$A:$A,0)),TRIM(C1079)))</f>
        <v/>
      </c>
      <c r="I1079" s="17" t="str">
        <f aca="false">IF(TRIM(B1079)="","",UPPER(TRIM(B1079)))</f>
        <v/>
      </c>
      <c r="J1079" s="17" t="str">
        <f aca="false">IF(H1079="","",IF(COUNTIF('Master Stock'!$A$5:$A$206,H1079)&gt;0,"Yes","Not on stock sheet"))</f>
        <v/>
      </c>
    </row>
    <row r="1080" customFormat="false" ht="14.25" hidden="false" customHeight="true" outlineLevel="0" collapsed="false">
      <c r="E1080" s="17"/>
      <c r="H1080" s="17" t="str">
        <f aca="false">IF(TRIM(C1080)="","",IFERROR(INDEX('Code Aliases'!$B:$B,MATCH(TRIM(C1080),'Code Aliases'!$A:$A,0)),TRIM(C1080)))</f>
        <v/>
      </c>
      <c r="I1080" s="17" t="str">
        <f aca="false">IF(TRIM(B1080)="","",UPPER(TRIM(B1080)))</f>
        <v/>
      </c>
      <c r="J1080" s="17" t="str">
        <f aca="false">IF(H1080="","",IF(COUNTIF('Master Stock'!$A$5:$A$206,H1080)&gt;0,"Yes","Not on stock sheet"))</f>
        <v/>
      </c>
    </row>
    <row r="1081" customFormat="false" ht="14.25" hidden="false" customHeight="true" outlineLevel="0" collapsed="false">
      <c r="E1081" s="17"/>
      <c r="H1081" s="17" t="str">
        <f aca="false">IF(TRIM(C1081)="","",IFERROR(INDEX('Code Aliases'!$B:$B,MATCH(TRIM(C1081),'Code Aliases'!$A:$A,0)),TRIM(C1081)))</f>
        <v/>
      </c>
      <c r="I1081" s="17" t="str">
        <f aca="false">IF(TRIM(B1081)="","",UPPER(TRIM(B1081)))</f>
        <v/>
      </c>
      <c r="J1081" s="17" t="str">
        <f aca="false">IF(H1081="","",IF(COUNTIF('Master Stock'!$A$5:$A$206,H1081)&gt;0,"Yes","Not on stock sheet"))</f>
        <v/>
      </c>
    </row>
    <row r="1082" customFormat="false" ht="14.25" hidden="false" customHeight="true" outlineLevel="0" collapsed="false">
      <c r="E1082" s="17"/>
      <c r="H1082" s="17" t="str">
        <f aca="false">IF(TRIM(C1082)="","",IFERROR(INDEX('Code Aliases'!$B:$B,MATCH(TRIM(C1082),'Code Aliases'!$A:$A,0)),TRIM(C1082)))</f>
        <v/>
      </c>
      <c r="I1082" s="17" t="str">
        <f aca="false">IF(TRIM(B1082)="","",UPPER(TRIM(B1082)))</f>
        <v/>
      </c>
      <c r="J1082" s="17" t="str">
        <f aca="false">IF(H1082="","",IF(COUNTIF('Master Stock'!$A$5:$A$206,H1082)&gt;0,"Yes","Not on stock sheet"))</f>
        <v/>
      </c>
    </row>
    <row r="1083" customFormat="false" ht="14.25" hidden="false" customHeight="true" outlineLevel="0" collapsed="false">
      <c r="E1083" s="17"/>
      <c r="H1083" s="17" t="str">
        <f aca="false">IF(TRIM(C1083)="","",IFERROR(INDEX('Code Aliases'!$B:$B,MATCH(TRIM(C1083),'Code Aliases'!$A:$A,0)),TRIM(C1083)))</f>
        <v/>
      </c>
      <c r="I1083" s="17" t="str">
        <f aca="false">IF(TRIM(B1083)="","",UPPER(TRIM(B1083)))</f>
        <v/>
      </c>
      <c r="J1083" s="17" t="str">
        <f aca="false">IF(H1083="","",IF(COUNTIF('Master Stock'!$A$5:$A$206,H1083)&gt;0,"Yes","Not on stock sheet"))</f>
        <v/>
      </c>
    </row>
    <row r="1084" customFormat="false" ht="14.25" hidden="false" customHeight="true" outlineLevel="0" collapsed="false">
      <c r="E1084" s="17"/>
      <c r="H1084" s="17" t="str">
        <f aca="false">IF(TRIM(C1084)="","",IFERROR(INDEX('Code Aliases'!$B:$B,MATCH(TRIM(C1084),'Code Aliases'!$A:$A,0)),TRIM(C1084)))</f>
        <v/>
      </c>
      <c r="I1084" s="17" t="str">
        <f aca="false">IF(TRIM(B1084)="","",UPPER(TRIM(B1084)))</f>
        <v/>
      </c>
      <c r="J1084" s="17" t="str">
        <f aca="false">IF(H1084="","",IF(COUNTIF('Master Stock'!$A$5:$A$206,H1084)&gt;0,"Yes","Not on stock sheet"))</f>
        <v/>
      </c>
    </row>
    <row r="1085" customFormat="false" ht="14.25" hidden="false" customHeight="true" outlineLevel="0" collapsed="false">
      <c r="E1085" s="17"/>
      <c r="H1085" s="17" t="str">
        <f aca="false">IF(TRIM(C1085)="","",IFERROR(INDEX('Code Aliases'!$B:$B,MATCH(TRIM(C1085),'Code Aliases'!$A:$A,0)),TRIM(C1085)))</f>
        <v/>
      </c>
      <c r="I1085" s="17" t="str">
        <f aca="false">IF(TRIM(B1085)="","",UPPER(TRIM(B1085)))</f>
        <v/>
      </c>
      <c r="J1085" s="17" t="str">
        <f aca="false">IF(H1085="","",IF(COUNTIF('Master Stock'!$A$5:$A$206,H1085)&gt;0,"Yes","Not on stock sheet"))</f>
        <v/>
      </c>
    </row>
    <row r="1086" customFormat="false" ht="14.25" hidden="false" customHeight="true" outlineLevel="0" collapsed="false">
      <c r="E1086" s="17"/>
      <c r="H1086" s="17" t="str">
        <f aca="false">IF(TRIM(C1086)="","",IFERROR(INDEX('Code Aliases'!$B:$B,MATCH(TRIM(C1086),'Code Aliases'!$A:$A,0)),TRIM(C1086)))</f>
        <v/>
      </c>
      <c r="I1086" s="17" t="str">
        <f aca="false">IF(TRIM(B1086)="","",UPPER(TRIM(B1086)))</f>
        <v/>
      </c>
      <c r="J1086" s="17" t="str">
        <f aca="false">IF(H1086="","",IF(COUNTIF('Master Stock'!$A$5:$A$206,H1086)&gt;0,"Yes","Not on stock sheet"))</f>
        <v/>
      </c>
    </row>
    <row r="1087" customFormat="false" ht="14.25" hidden="false" customHeight="true" outlineLevel="0" collapsed="false">
      <c r="E1087" s="17"/>
      <c r="H1087" s="17" t="str">
        <f aca="false">IF(TRIM(C1087)="","",IFERROR(INDEX('Code Aliases'!$B:$B,MATCH(TRIM(C1087),'Code Aliases'!$A:$A,0)),TRIM(C1087)))</f>
        <v/>
      </c>
      <c r="I1087" s="17" t="str">
        <f aca="false">IF(TRIM(B1087)="","",UPPER(TRIM(B1087)))</f>
        <v/>
      </c>
      <c r="J1087" s="17" t="str">
        <f aca="false">IF(H1087="","",IF(COUNTIF('Master Stock'!$A$5:$A$206,H1087)&gt;0,"Yes","Not on stock sheet"))</f>
        <v/>
      </c>
    </row>
    <row r="1088" customFormat="false" ht="14.25" hidden="false" customHeight="true" outlineLevel="0" collapsed="false">
      <c r="E1088" s="17"/>
      <c r="H1088" s="17" t="str">
        <f aca="false">IF(TRIM(C1088)="","",IFERROR(INDEX('Code Aliases'!$B:$B,MATCH(TRIM(C1088),'Code Aliases'!$A:$A,0)),TRIM(C1088)))</f>
        <v/>
      </c>
      <c r="I1088" s="17" t="str">
        <f aca="false">IF(TRIM(B1088)="","",UPPER(TRIM(B1088)))</f>
        <v/>
      </c>
      <c r="J1088" s="17" t="str">
        <f aca="false">IF(H1088="","",IF(COUNTIF('Master Stock'!$A$5:$A$206,H1088)&gt;0,"Yes","Not on stock sheet"))</f>
        <v/>
      </c>
    </row>
    <row r="1089" customFormat="false" ht="14.25" hidden="false" customHeight="true" outlineLevel="0" collapsed="false">
      <c r="E1089" s="17"/>
      <c r="H1089" s="17" t="str">
        <f aca="false">IF(TRIM(C1089)="","",IFERROR(INDEX('Code Aliases'!$B:$B,MATCH(TRIM(C1089),'Code Aliases'!$A:$A,0)),TRIM(C1089)))</f>
        <v/>
      </c>
      <c r="I1089" s="17" t="str">
        <f aca="false">IF(TRIM(B1089)="","",UPPER(TRIM(B1089)))</f>
        <v/>
      </c>
      <c r="J1089" s="17" t="str">
        <f aca="false">IF(H1089="","",IF(COUNTIF('Master Stock'!$A$5:$A$206,H1089)&gt;0,"Yes","Not on stock sheet"))</f>
        <v/>
      </c>
    </row>
    <row r="1090" customFormat="false" ht="14.25" hidden="false" customHeight="true" outlineLevel="0" collapsed="false">
      <c r="E1090" s="17"/>
      <c r="H1090" s="17" t="str">
        <f aca="false">IF(TRIM(C1090)="","",IFERROR(INDEX('Code Aliases'!$B:$B,MATCH(TRIM(C1090),'Code Aliases'!$A:$A,0)),TRIM(C1090)))</f>
        <v/>
      </c>
      <c r="I1090" s="17" t="str">
        <f aca="false">IF(TRIM(B1090)="","",UPPER(TRIM(B1090)))</f>
        <v/>
      </c>
      <c r="J1090" s="17" t="str">
        <f aca="false">IF(H1090="","",IF(COUNTIF('Master Stock'!$A$5:$A$206,H1090)&gt;0,"Yes","Not on stock sheet"))</f>
        <v/>
      </c>
    </row>
    <row r="1091" customFormat="false" ht="14.25" hidden="false" customHeight="true" outlineLevel="0" collapsed="false">
      <c r="E1091" s="17"/>
      <c r="H1091" s="17" t="str">
        <f aca="false">IF(TRIM(C1091)="","",IFERROR(INDEX('Code Aliases'!$B:$B,MATCH(TRIM(C1091),'Code Aliases'!$A:$A,0)),TRIM(C1091)))</f>
        <v/>
      </c>
      <c r="I1091" s="17" t="str">
        <f aca="false">IF(TRIM(B1091)="","",UPPER(TRIM(B1091)))</f>
        <v/>
      </c>
      <c r="J1091" s="17" t="str">
        <f aca="false">IF(H1091="","",IF(COUNTIF('Master Stock'!$A$5:$A$206,H1091)&gt;0,"Yes","Not on stock sheet"))</f>
        <v/>
      </c>
    </row>
    <row r="1092" customFormat="false" ht="14.25" hidden="false" customHeight="true" outlineLevel="0" collapsed="false">
      <c r="E1092" s="17"/>
      <c r="H1092" s="17" t="str">
        <f aca="false">IF(TRIM(C1092)="","",IFERROR(INDEX('Code Aliases'!$B:$B,MATCH(TRIM(C1092),'Code Aliases'!$A:$A,0)),TRIM(C1092)))</f>
        <v/>
      </c>
      <c r="I1092" s="17" t="str">
        <f aca="false">IF(TRIM(B1092)="","",UPPER(TRIM(B1092)))</f>
        <v/>
      </c>
      <c r="J1092" s="17" t="str">
        <f aca="false">IF(H1092="","",IF(COUNTIF('Master Stock'!$A$5:$A$206,H1092)&gt;0,"Yes","Not on stock sheet"))</f>
        <v/>
      </c>
    </row>
    <row r="1093" customFormat="false" ht="14.25" hidden="false" customHeight="true" outlineLevel="0" collapsed="false">
      <c r="E1093" s="17"/>
      <c r="H1093" s="17" t="str">
        <f aca="false">IF(TRIM(C1093)="","",IFERROR(INDEX('Code Aliases'!$B:$B,MATCH(TRIM(C1093),'Code Aliases'!$A:$A,0)),TRIM(C1093)))</f>
        <v/>
      </c>
      <c r="I1093" s="17" t="str">
        <f aca="false">IF(TRIM(B1093)="","",UPPER(TRIM(B1093)))</f>
        <v/>
      </c>
      <c r="J1093" s="17" t="str">
        <f aca="false">IF(H1093="","",IF(COUNTIF('Master Stock'!$A$5:$A$206,H1093)&gt;0,"Yes","Not on stock sheet"))</f>
        <v/>
      </c>
    </row>
    <row r="1094" customFormat="false" ht="14.25" hidden="false" customHeight="true" outlineLevel="0" collapsed="false">
      <c r="E1094" s="17"/>
      <c r="H1094" s="17" t="str">
        <f aca="false">IF(TRIM(C1094)="","",IFERROR(INDEX('Code Aliases'!$B:$B,MATCH(TRIM(C1094),'Code Aliases'!$A:$A,0)),TRIM(C1094)))</f>
        <v/>
      </c>
      <c r="I1094" s="17" t="str">
        <f aca="false">IF(TRIM(B1094)="","",UPPER(TRIM(B1094)))</f>
        <v/>
      </c>
      <c r="J1094" s="17" t="str">
        <f aca="false">IF(H1094="","",IF(COUNTIF('Master Stock'!$A$5:$A$206,H1094)&gt;0,"Yes","Not on stock sheet"))</f>
        <v/>
      </c>
    </row>
    <row r="1095" customFormat="false" ht="14.25" hidden="false" customHeight="true" outlineLevel="0" collapsed="false">
      <c r="E1095" s="17"/>
      <c r="H1095" s="17" t="str">
        <f aca="false">IF(TRIM(C1095)="","",IFERROR(INDEX('Code Aliases'!$B:$B,MATCH(TRIM(C1095),'Code Aliases'!$A:$A,0)),TRIM(C1095)))</f>
        <v/>
      </c>
      <c r="I1095" s="17" t="str">
        <f aca="false">IF(TRIM(B1095)="","",UPPER(TRIM(B1095)))</f>
        <v/>
      </c>
      <c r="J1095" s="17" t="str">
        <f aca="false">IF(H1095="","",IF(COUNTIF('Master Stock'!$A$5:$A$206,H1095)&gt;0,"Yes","Not on stock sheet"))</f>
        <v/>
      </c>
    </row>
    <row r="1096" customFormat="false" ht="14.25" hidden="false" customHeight="true" outlineLevel="0" collapsed="false">
      <c r="E1096" s="17"/>
      <c r="H1096" s="17" t="str">
        <f aca="false">IF(TRIM(C1096)="","",IFERROR(INDEX('Code Aliases'!$B:$B,MATCH(TRIM(C1096),'Code Aliases'!$A:$A,0)),TRIM(C1096)))</f>
        <v/>
      </c>
      <c r="I1096" s="17" t="str">
        <f aca="false">IF(TRIM(B1096)="","",UPPER(TRIM(B1096)))</f>
        <v/>
      </c>
      <c r="J1096" s="17" t="str">
        <f aca="false">IF(H1096="","",IF(COUNTIF('Master Stock'!$A$5:$A$206,H1096)&gt;0,"Yes","Not on stock sheet"))</f>
        <v/>
      </c>
    </row>
    <row r="1097" customFormat="false" ht="14.25" hidden="false" customHeight="true" outlineLevel="0" collapsed="false">
      <c r="E1097" s="17"/>
      <c r="H1097" s="17" t="str">
        <f aca="false">IF(TRIM(C1097)="","",IFERROR(INDEX('Code Aliases'!$B:$B,MATCH(TRIM(C1097),'Code Aliases'!$A:$A,0)),TRIM(C1097)))</f>
        <v/>
      </c>
      <c r="I1097" s="17" t="str">
        <f aca="false">IF(TRIM(B1097)="","",UPPER(TRIM(B1097)))</f>
        <v/>
      </c>
      <c r="J1097" s="17" t="str">
        <f aca="false">IF(H1097="","",IF(COUNTIF('Master Stock'!$A$5:$A$206,H1097)&gt;0,"Yes","Not on stock sheet"))</f>
        <v/>
      </c>
    </row>
    <row r="1098" customFormat="false" ht="14.25" hidden="false" customHeight="true" outlineLevel="0" collapsed="false">
      <c r="E1098" s="17"/>
      <c r="H1098" s="17" t="str">
        <f aca="false">IF(TRIM(C1098)="","",IFERROR(INDEX('Code Aliases'!$B:$B,MATCH(TRIM(C1098),'Code Aliases'!$A:$A,0)),TRIM(C1098)))</f>
        <v/>
      </c>
      <c r="I1098" s="17" t="str">
        <f aca="false">IF(TRIM(B1098)="","",UPPER(TRIM(B1098)))</f>
        <v/>
      </c>
      <c r="J1098" s="17" t="str">
        <f aca="false">IF(H1098="","",IF(COUNTIF('Master Stock'!$A$5:$A$206,H1098)&gt;0,"Yes","Not on stock sheet"))</f>
        <v/>
      </c>
    </row>
    <row r="1099" customFormat="false" ht="14.25" hidden="false" customHeight="true" outlineLevel="0" collapsed="false">
      <c r="E1099" s="17"/>
      <c r="H1099" s="17" t="str">
        <f aca="false">IF(TRIM(C1099)="","",IFERROR(INDEX('Code Aliases'!$B:$B,MATCH(TRIM(C1099),'Code Aliases'!$A:$A,0)),TRIM(C1099)))</f>
        <v/>
      </c>
      <c r="I1099" s="17" t="str">
        <f aca="false">IF(TRIM(B1099)="","",UPPER(TRIM(B1099)))</f>
        <v/>
      </c>
      <c r="J1099" s="17" t="str">
        <f aca="false">IF(H1099="","",IF(COUNTIF('Master Stock'!$A$5:$A$206,H1099)&gt;0,"Yes","Not on stock sheet"))</f>
        <v/>
      </c>
    </row>
    <row r="1100" customFormat="false" ht="14.25" hidden="false" customHeight="true" outlineLevel="0" collapsed="false">
      <c r="E1100" s="17"/>
      <c r="H1100" s="17" t="str">
        <f aca="false">IF(TRIM(C1100)="","",IFERROR(INDEX('Code Aliases'!$B:$B,MATCH(TRIM(C1100),'Code Aliases'!$A:$A,0)),TRIM(C1100)))</f>
        <v/>
      </c>
      <c r="I1100" s="17" t="str">
        <f aca="false">IF(TRIM(B1100)="","",UPPER(TRIM(B1100)))</f>
        <v/>
      </c>
      <c r="J1100" s="17" t="str">
        <f aca="false">IF(H1100="","",IF(COUNTIF('Master Stock'!$A$5:$A$206,H1100)&gt;0,"Yes","Not on stock sheet"))</f>
        <v/>
      </c>
    </row>
    <row r="1101" customFormat="false" ht="14.25" hidden="false" customHeight="true" outlineLevel="0" collapsed="false">
      <c r="E1101" s="17"/>
      <c r="H1101" s="17" t="str">
        <f aca="false">IF(TRIM(C1101)="","",IFERROR(INDEX('Code Aliases'!$B:$B,MATCH(TRIM(C1101),'Code Aliases'!$A:$A,0)),TRIM(C1101)))</f>
        <v/>
      </c>
      <c r="I1101" s="17" t="str">
        <f aca="false">IF(TRIM(B1101)="","",UPPER(TRIM(B1101)))</f>
        <v/>
      </c>
      <c r="J1101" s="17" t="str">
        <f aca="false">IF(H1101="","",IF(COUNTIF('Master Stock'!$A$5:$A$206,H1101)&gt;0,"Yes","Not on stock sheet"))</f>
        <v/>
      </c>
    </row>
    <row r="1102" customFormat="false" ht="14.25" hidden="false" customHeight="true" outlineLevel="0" collapsed="false">
      <c r="E1102" s="17"/>
      <c r="H1102" s="17" t="str">
        <f aca="false">IF(TRIM(C1102)="","",IFERROR(INDEX('Code Aliases'!$B:$B,MATCH(TRIM(C1102),'Code Aliases'!$A:$A,0)),TRIM(C1102)))</f>
        <v/>
      </c>
      <c r="I1102" s="17" t="str">
        <f aca="false">IF(TRIM(B1102)="","",UPPER(TRIM(B1102)))</f>
        <v/>
      </c>
      <c r="J1102" s="17" t="str">
        <f aca="false">IF(H1102="","",IF(COUNTIF('Master Stock'!$A$5:$A$206,H1102)&gt;0,"Yes","Not on stock sheet"))</f>
        <v/>
      </c>
    </row>
    <row r="1103" customFormat="false" ht="14.25" hidden="false" customHeight="true" outlineLevel="0" collapsed="false">
      <c r="E1103" s="17"/>
      <c r="H1103" s="17" t="str">
        <f aca="false">IF(TRIM(C1103)="","",IFERROR(INDEX('Code Aliases'!$B:$B,MATCH(TRIM(C1103),'Code Aliases'!$A:$A,0)),TRIM(C1103)))</f>
        <v/>
      </c>
      <c r="I1103" s="17" t="str">
        <f aca="false">IF(TRIM(B1103)="","",UPPER(TRIM(B1103)))</f>
        <v/>
      </c>
      <c r="J1103" s="17" t="str">
        <f aca="false">IF(H1103="","",IF(COUNTIF('Master Stock'!$A$5:$A$206,H1103)&gt;0,"Yes","Not on stock sheet"))</f>
        <v/>
      </c>
    </row>
    <row r="1104" customFormat="false" ht="14.25" hidden="false" customHeight="true" outlineLevel="0" collapsed="false">
      <c r="E1104" s="17"/>
      <c r="H1104" s="17" t="str">
        <f aca="false">IF(TRIM(C1104)="","",IFERROR(INDEX('Code Aliases'!$B:$B,MATCH(TRIM(C1104),'Code Aliases'!$A:$A,0)),TRIM(C1104)))</f>
        <v/>
      </c>
      <c r="I1104" s="17" t="str">
        <f aca="false">IF(TRIM(B1104)="","",UPPER(TRIM(B1104)))</f>
        <v/>
      </c>
      <c r="J1104" s="17" t="str">
        <f aca="false">IF(H1104="","",IF(COUNTIF('Master Stock'!$A$5:$A$206,H1104)&gt;0,"Yes","Not on stock sheet"))</f>
        <v/>
      </c>
    </row>
    <row r="1105" customFormat="false" ht="14.25" hidden="false" customHeight="true" outlineLevel="0" collapsed="false">
      <c r="E1105" s="17"/>
      <c r="H1105" s="17" t="str">
        <f aca="false">IF(TRIM(C1105)="","",IFERROR(INDEX('Code Aliases'!$B:$B,MATCH(TRIM(C1105),'Code Aliases'!$A:$A,0)),TRIM(C1105)))</f>
        <v/>
      </c>
      <c r="I1105" s="17" t="str">
        <f aca="false">IF(TRIM(B1105)="","",UPPER(TRIM(B1105)))</f>
        <v/>
      </c>
      <c r="J1105" s="17" t="str">
        <f aca="false">IF(H1105="","",IF(COUNTIF('Master Stock'!$A$5:$A$206,H1105)&gt;0,"Yes","Not on stock sheet"))</f>
        <v/>
      </c>
    </row>
    <row r="1106" customFormat="false" ht="14.25" hidden="false" customHeight="true" outlineLevel="0" collapsed="false">
      <c r="E1106" s="17"/>
      <c r="H1106" s="17" t="str">
        <f aca="false">IF(TRIM(C1106)="","",IFERROR(INDEX('Code Aliases'!$B:$B,MATCH(TRIM(C1106),'Code Aliases'!$A:$A,0)),TRIM(C1106)))</f>
        <v/>
      </c>
      <c r="I1106" s="17" t="str">
        <f aca="false">IF(TRIM(B1106)="","",UPPER(TRIM(B1106)))</f>
        <v/>
      </c>
      <c r="J1106" s="17" t="str">
        <f aca="false">IF(H1106="","",IF(COUNTIF('Master Stock'!$A$5:$A$206,H1106)&gt;0,"Yes","Not on stock sheet"))</f>
        <v/>
      </c>
    </row>
    <row r="1107" customFormat="false" ht="14.25" hidden="false" customHeight="true" outlineLevel="0" collapsed="false">
      <c r="E1107" s="17"/>
      <c r="H1107" s="17" t="str">
        <f aca="false">IF(TRIM(C1107)="","",IFERROR(INDEX('Code Aliases'!$B:$B,MATCH(TRIM(C1107),'Code Aliases'!$A:$A,0)),TRIM(C1107)))</f>
        <v/>
      </c>
      <c r="I1107" s="17" t="str">
        <f aca="false">IF(TRIM(B1107)="","",UPPER(TRIM(B1107)))</f>
        <v/>
      </c>
      <c r="J1107" s="17" t="str">
        <f aca="false">IF(H1107="","",IF(COUNTIF('Master Stock'!$A$5:$A$206,H1107)&gt;0,"Yes","Not on stock sheet"))</f>
        <v/>
      </c>
    </row>
    <row r="1108" customFormat="false" ht="14.25" hidden="false" customHeight="true" outlineLevel="0" collapsed="false">
      <c r="E1108" s="17"/>
      <c r="H1108" s="17" t="str">
        <f aca="false">IF(TRIM(C1108)="","",IFERROR(INDEX('Code Aliases'!$B:$B,MATCH(TRIM(C1108),'Code Aliases'!$A:$A,0)),TRIM(C1108)))</f>
        <v/>
      </c>
      <c r="I1108" s="17" t="str">
        <f aca="false">IF(TRIM(B1108)="","",UPPER(TRIM(B1108)))</f>
        <v/>
      </c>
      <c r="J1108" s="17" t="str">
        <f aca="false">IF(H1108="","",IF(COUNTIF('Master Stock'!$A$5:$A$206,H1108)&gt;0,"Yes","Not on stock sheet"))</f>
        <v/>
      </c>
    </row>
    <row r="1109" customFormat="false" ht="14.25" hidden="false" customHeight="true" outlineLevel="0" collapsed="false">
      <c r="E1109" s="17"/>
      <c r="H1109" s="17" t="str">
        <f aca="false">IF(TRIM(C1109)="","",IFERROR(INDEX('Code Aliases'!$B:$B,MATCH(TRIM(C1109),'Code Aliases'!$A:$A,0)),TRIM(C1109)))</f>
        <v/>
      </c>
      <c r="I1109" s="17" t="str">
        <f aca="false">IF(TRIM(B1109)="","",UPPER(TRIM(B1109)))</f>
        <v/>
      </c>
      <c r="J1109" s="17" t="str">
        <f aca="false">IF(H1109="","",IF(COUNTIF('Master Stock'!$A$5:$A$206,H1109)&gt;0,"Yes","Not on stock sheet"))</f>
        <v/>
      </c>
    </row>
    <row r="1110" customFormat="false" ht="14.25" hidden="false" customHeight="true" outlineLevel="0" collapsed="false">
      <c r="E1110" s="17"/>
      <c r="H1110" s="17" t="str">
        <f aca="false">IF(TRIM(C1110)="","",IFERROR(INDEX('Code Aliases'!$B:$B,MATCH(TRIM(C1110),'Code Aliases'!$A:$A,0)),TRIM(C1110)))</f>
        <v/>
      </c>
      <c r="I1110" s="17" t="str">
        <f aca="false">IF(TRIM(B1110)="","",UPPER(TRIM(B1110)))</f>
        <v/>
      </c>
      <c r="J1110" s="17" t="str">
        <f aca="false">IF(H1110="","",IF(COUNTIF('Master Stock'!$A$5:$A$206,H1110)&gt;0,"Yes","Not on stock sheet"))</f>
        <v/>
      </c>
    </row>
    <row r="1111" customFormat="false" ht="14.25" hidden="false" customHeight="true" outlineLevel="0" collapsed="false">
      <c r="E1111" s="17"/>
      <c r="H1111" s="17" t="str">
        <f aca="false">IF(TRIM(C1111)="","",IFERROR(INDEX('Code Aliases'!$B:$B,MATCH(TRIM(C1111),'Code Aliases'!$A:$A,0)),TRIM(C1111)))</f>
        <v/>
      </c>
      <c r="I1111" s="17" t="str">
        <f aca="false">IF(TRIM(B1111)="","",UPPER(TRIM(B1111)))</f>
        <v/>
      </c>
      <c r="J1111" s="17" t="str">
        <f aca="false">IF(H1111="","",IF(COUNTIF('Master Stock'!$A$5:$A$206,H1111)&gt;0,"Yes","Not on stock sheet"))</f>
        <v/>
      </c>
    </row>
    <row r="1112" customFormat="false" ht="14.25" hidden="false" customHeight="true" outlineLevel="0" collapsed="false">
      <c r="E1112" s="17"/>
      <c r="H1112" s="17" t="str">
        <f aca="false">IF(TRIM(C1112)="","",IFERROR(INDEX('Code Aliases'!$B:$B,MATCH(TRIM(C1112),'Code Aliases'!$A:$A,0)),TRIM(C1112)))</f>
        <v/>
      </c>
      <c r="I1112" s="17" t="str">
        <f aca="false">IF(TRIM(B1112)="","",UPPER(TRIM(B1112)))</f>
        <v/>
      </c>
      <c r="J1112" s="17" t="str">
        <f aca="false">IF(H1112="","",IF(COUNTIF('Master Stock'!$A$5:$A$206,H1112)&gt;0,"Yes","Not on stock sheet"))</f>
        <v/>
      </c>
    </row>
    <row r="1113" customFormat="false" ht="14.25" hidden="false" customHeight="true" outlineLevel="0" collapsed="false">
      <c r="E1113" s="17"/>
      <c r="H1113" s="17" t="str">
        <f aca="false">IF(TRIM(C1113)="","",IFERROR(INDEX('Code Aliases'!$B:$B,MATCH(TRIM(C1113),'Code Aliases'!$A:$A,0)),TRIM(C1113)))</f>
        <v/>
      </c>
      <c r="I1113" s="17" t="str">
        <f aca="false">IF(TRIM(B1113)="","",UPPER(TRIM(B1113)))</f>
        <v/>
      </c>
      <c r="J1113" s="17" t="str">
        <f aca="false">IF(H1113="","",IF(COUNTIF('Master Stock'!$A$5:$A$206,H1113)&gt;0,"Yes","Not on stock sheet"))</f>
        <v/>
      </c>
    </row>
    <row r="1114" customFormat="false" ht="14.25" hidden="false" customHeight="true" outlineLevel="0" collapsed="false">
      <c r="E1114" s="17"/>
      <c r="H1114" s="17" t="str">
        <f aca="false">IF(TRIM(C1114)="","",IFERROR(INDEX('Code Aliases'!$B:$B,MATCH(TRIM(C1114),'Code Aliases'!$A:$A,0)),TRIM(C1114)))</f>
        <v/>
      </c>
      <c r="I1114" s="17" t="str">
        <f aca="false">IF(TRIM(B1114)="","",UPPER(TRIM(B1114)))</f>
        <v/>
      </c>
      <c r="J1114" s="17" t="str">
        <f aca="false">IF(H1114="","",IF(COUNTIF('Master Stock'!$A$5:$A$206,H1114)&gt;0,"Yes","Not on stock sheet"))</f>
        <v/>
      </c>
    </row>
    <row r="1115" customFormat="false" ht="14.25" hidden="false" customHeight="true" outlineLevel="0" collapsed="false">
      <c r="E1115" s="17"/>
      <c r="H1115" s="17" t="str">
        <f aca="false">IF(TRIM(C1115)="","",IFERROR(INDEX('Code Aliases'!$B:$B,MATCH(TRIM(C1115),'Code Aliases'!$A:$A,0)),TRIM(C1115)))</f>
        <v/>
      </c>
      <c r="I1115" s="17" t="str">
        <f aca="false">IF(TRIM(B1115)="","",UPPER(TRIM(B1115)))</f>
        <v/>
      </c>
      <c r="J1115" s="17" t="str">
        <f aca="false">IF(H1115="","",IF(COUNTIF('Master Stock'!$A$5:$A$206,H1115)&gt;0,"Yes","Not on stock sheet"))</f>
        <v/>
      </c>
    </row>
    <row r="1116" customFormat="false" ht="14.25" hidden="false" customHeight="true" outlineLevel="0" collapsed="false">
      <c r="E1116" s="17"/>
      <c r="H1116" s="17" t="str">
        <f aca="false">IF(TRIM(C1116)="","",IFERROR(INDEX('Code Aliases'!$B:$B,MATCH(TRIM(C1116),'Code Aliases'!$A:$A,0)),TRIM(C1116)))</f>
        <v/>
      </c>
      <c r="I1116" s="17" t="str">
        <f aca="false">IF(TRIM(B1116)="","",UPPER(TRIM(B1116)))</f>
        <v/>
      </c>
      <c r="J1116" s="17" t="str">
        <f aca="false">IF(H1116="","",IF(COUNTIF('Master Stock'!$A$5:$A$206,H1116)&gt;0,"Yes","Not on stock sheet"))</f>
        <v/>
      </c>
    </row>
    <row r="1117" customFormat="false" ht="14.25" hidden="false" customHeight="true" outlineLevel="0" collapsed="false">
      <c r="E1117" s="17"/>
      <c r="H1117" s="17" t="str">
        <f aca="false">IF(TRIM(C1117)="","",IFERROR(INDEX('Code Aliases'!$B:$B,MATCH(TRIM(C1117),'Code Aliases'!$A:$A,0)),TRIM(C1117)))</f>
        <v/>
      </c>
      <c r="I1117" s="17" t="str">
        <f aca="false">IF(TRIM(B1117)="","",UPPER(TRIM(B1117)))</f>
        <v/>
      </c>
      <c r="J1117" s="17" t="str">
        <f aca="false">IF(H1117="","",IF(COUNTIF('Master Stock'!$A$5:$A$206,H1117)&gt;0,"Yes","Not on stock sheet"))</f>
        <v/>
      </c>
    </row>
    <row r="1118" customFormat="false" ht="14.25" hidden="false" customHeight="true" outlineLevel="0" collapsed="false">
      <c r="E1118" s="17"/>
      <c r="H1118" s="17" t="str">
        <f aca="false">IF(TRIM(C1118)="","",IFERROR(INDEX('Code Aliases'!$B:$B,MATCH(TRIM(C1118),'Code Aliases'!$A:$A,0)),TRIM(C1118)))</f>
        <v/>
      </c>
      <c r="I1118" s="17" t="str">
        <f aca="false">IF(TRIM(B1118)="","",UPPER(TRIM(B1118)))</f>
        <v/>
      </c>
      <c r="J1118" s="17" t="str">
        <f aca="false">IF(H1118="","",IF(COUNTIF('Master Stock'!$A$5:$A$206,H1118)&gt;0,"Yes","Not on stock sheet"))</f>
        <v/>
      </c>
    </row>
    <row r="1119" customFormat="false" ht="14.25" hidden="false" customHeight="true" outlineLevel="0" collapsed="false">
      <c r="E1119" s="17"/>
      <c r="H1119" s="17" t="str">
        <f aca="false">IF(TRIM(C1119)="","",IFERROR(INDEX('Code Aliases'!$B:$B,MATCH(TRIM(C1119),'Code Aliases'!$A:$A,0)),TRIM(C1119)))</f>
        <v/>
      </c>
      <c r="I1119" s="17" t="str">
        <f aca="false">IF(TRIM(B1119)="","",UPPER(TRIM(B1119)))</f>
        <v/>
      </c>
      <c r="J1119" s="17" t="str">
        <f aca="false">IF(H1119="","",IF(COUNTIF('Master Stock'!$A$5:$A$206,H1119)&gt;0,"Yes","Not on stock sheet"))</f>
        <v/>
      </c>
    </row>
    <row r="1120" customFormat="false" ht="14.25" hidden="false" customHeight="true" outlineLevel="0" collapsed="false">
      <c r="E1120" s="17"/>
      <c r="H1120" s="17" t="str">
        <f aca="false">IF(TRIM(C1120)="","",IFERROR(INDEX('Code Aliases'!$B:$B,MATCH(TRIM(C1120),'Code Aliases'!$A:$A,0)),TRIM(C1120)))</f>
        <v/>
      </c>
      <c r="I1120" s="17" t="str">
        <f aca="false">IF(TRIM(B1120)="","",UPPER(TRIM(B1120)))</f>
        <v/>
      </c>
      <c r="J1120" s="17" t="str">
        <f aca="false">IF(H1120="","",IF(COUNTIF('Master Stock'!$A$5:$A$206,H1120)&gt;0,"Yes","Not on stock sheet"))</f>
        <v/>
      </c>
    </row>
    <row r="1121" customFormat="false" ht="14.25" hidden="false" customHeight="true" outlineLevel="0" collapsed="false">
      <c r="E1121" s="17"/>
      <c r="H1121" s="17" t="str">
        <f aca="false">IF(TRIM(C1121)="","",IFERROR(INDEX('Code Aliases'!$B:$B,MATCH(TRIM(C1121),'Code Aliases'!$A:$A,0)),TRIM(C1121)))</f>
        <v/>
      </c>
      <c r="I1121" s="17" t="str">
        <f aca="false">IF(TRIM(B1121)="","",UPPER(TRIM(B1121)))</f>
        <v/>
      </c>
      <c r="J1121" s="17" t="str">
        <f aca="false">IF(H1121="","",IF(COUNTIF('Master Stock'!$A$5:$A$206,H1121)&gt;0,"Yes","Not on stock sheet"))</f>
        <v/>
      </c>
    </row>
    <row r="1122" customFormat="false" ht="14.25" hidden="false" customHeight="true" outlineLevel="0" collapsed="false">
      <c r="E1122" s="17"/>
      <c r="H1122" s="17" t="str">
        <f aca="false">IF(TRIM(C1122)="","",IFERROR(INDEX('Code Aliases'!$B:$B,MATCH(TRIM(C1122),'Code Aliases'!$A:$A,0)),TRIM(C1122)))</f>
        <v/>
      </c>
      <c r="I1122" s="17" t="str">
        <f aca="false">IF(TRIM(B1122)="","",UPPER(TRIM(B1122)))</f>
        <v/>
      </c>
      <c r="J1122" s="17" t="str">
        <f aca="false">IF(H1122="","",IF(COUNTIF('Master Stock'!$A$5:$A$206,H1122)&gt;0,"Yes","Not on stock sheet"))</f>
        <v/>
      </c>
    </row>
    <row r="1123" customFormat="false" ht="14.25" hidden="false" customHeight="true" outlineLevel="0" collapsed="false">
      <c r="E1123" s="17"/>
      <c r="H1123" s="17" t="str">
        <f aca="false">IF(TRIM(C1123)="","",IFERROR(INDEX('Code Aliases'!$B:$B,MATCH(TRIM(C1123),'Code Aliases'!$A:$A,0)),TRIM(C1123)))</f>
        <v/>
      </c>
      <c r="I1123" s="17" t="str">
        <f aca="false">IF(TRIM(B1123)="","",UPPER(TRIM(B1123)))</f>
        <v/>
      </c>
      <c r="J1123" s="17" t="str">
        <f aca="false">IF(H1123="","",IF(COUNTIF('Master Stock'!$A$5:$A$206,H1123)&gt;0,"Yes","Not on stock sheet"))</f>
        <v/>
      </c>
    </row>
    <row r="1124" customFormat="false" ht="14.25" hidden="false" customHeight="true" outlineLevel="0" collapsed="false">
      <c r="E1124" s="17"/>
      <c r="H1124" s="17" t="str">
        <f aca="false">IF(TRIM(C1124)="","",IFERROR(INDEX('Code Aliases'!$B:$B,MATCH(TRIM(C1124),'Code Aliases'!$A:$A,0)),TRIM(C1124)))</f>
        <v/>
      </c>
      <c r="I1124" s="17" t="str">
        <f aca="false">IF(TRIM(B1124)="","",UPPER(TRIM(B1124)))</f>
        <v/>
      </c>
      <c r="J1124" s="17" t="str">
        <f aca="false">IF(H1124="","",IF(COUNTIF('Master Stock'!$A$5:$A$206,H1124)&gt;0,"Yes","Not on stock sheet"))</f>
        <v/>
      </c>
    </row>
    <row r="1125" customFormat="false" ht="14.25" hidden="false" customHeight="true" outlineLevel="0" collapsed="false">
      <c r="E1125" s="17"/>
      <c r="H1125" s="17" t="str">
        <f aca="false">IF(TRIM(C1125)="","",IFERROR(INDEX('Code Aliases'!$B:$B,MATCH(TRIM(C1125),'Code Aliases'!$A:$A,0)),TRIM(C1125)))</f>
        <v/>
      </c>
      <c r="I1125" s="17" t="str">
        <f aca="false">IF(TRIM(B1125)="","",UPPER(TRIM(B1125)))</f>
        <v/>
      </c>
      <c r="J1125" s="17" t="str">
        <f aca="false">IF(H1125="","",IF(COUNTIF('Master Stock'!$A$5:$A$206,H1125)&gt;0,"Yes","Not on stock sheet"))</f>
        <v/>
      </c>
    </row>
    <row r="1126" customFormat="false" ht="14.25" hidden="false" customHeight="true" outlineLevel="0" collapsed="false">
      <c r="E1126" s="17"/>
      <c r="H1126" s="17" t="str">
        <f aca="false">IF(TRIM(C1126)="","",IFERROR(INDEX('Code Aliases'!$B:$B,MATCH(TRIM(C1126),'Code Aliases'!$A:$A,0)),TRIM(C1126)))</f>
        <v/>
      </c>
      <c r="I1126" s="17" t="str">
        <f aca="false">IF(TRIM(B1126)="","",UPPER(TRIM(B1126)))</f>
        <v/>
      </c>
      <c r="J1126" s="17" t="str">
        <f aca="false">IF(H1126="","",IF(COUNTIF('Master Stock'!$A$5:$A$206,H1126)&gt;0,"Yes","Not on stock sheet"))</f>
        <v/>
      </c>
    </row>
    <row r="1127" customFormat="false" ht="14.25" hidden="false" customHeight="true" outlineLevel="0" collapsed="false">
      <c r="E1127" s="17"/>
      <c r="H1127" s="17" t="str">
        <f aca="false">IF(TRIM(C1127)="","",IFERROR(INDEX('Code Aliases'!$B:$B,MATCH(TRIM(C1127),'Code Aliases'!$A:$A,0)),TRIM(C1127)))</f>
        <v/>
      </c>
      <c r="I1127" s="17" t="str">
        <f aca="false">IF(TRIM(B1127)="","",UPPER(TRIM(B1127)))</f>
        <v/>
      </c>
      <c r="J1127" s="17" t="str">
        <f aca="false">IF(H1127="","",IF(COUNTIF('Master Stock'!$A$5:$A$206,H1127)&gt;0,"Yes","Not on stock sheet"))</f>
        <v/>
      </c>
    </row>
    <row r="1128" customFormat="false" ht="14.25" hidden="false" customHeight="true" outlineLevel="0" collapsed="false">
      <c r="E1128" s="17"/>
      <c r="H1128" s="17" t="str">
        <f aca="false">IF(TRIM(C1128)="","",IFERROR(INDEX('Code Aliases'!$B:$B,MATCH(TRIM(C1128),'Code Aliases'!$A:$A,0)),TRIM(C1128)))</f>
        <v/>
      </c>
      <c r="I1128" s="17" t="str">
        <f aca="false">IF(TRIM(B1128)="","",UPPER(TRIM(B1128)))</f>
        <v/>
      </c>
      <c r="J1128" s="17" t="str">
        <f aca="false">IF(H1128="","",IF(COUNTIF('Master Stock'!$A$5:$A$206,H1128)&gt;0,"Yes","Not on stock sheet"))</f>
        <v/>
      </c>
    </row>
    <row r="1129" customFormat="false" ht="14.25" hidden="false" customHeight="true" outlineLevel="0" collapsed="false">
      <c r="E1129" s="17"/>
      <c r="H1129" s="17" t="str">
        <f aca="false">IF(TRIM(C1129)="","",IFERROR(INDEX('Code Aliases'!$B:$B,MATCH(TRIM(C1129),'Code Aliases'!$A:$A,0)),TRIM(C1129)))</f>
        <v/>
      </c>
      <c r="I1129" s="17" t="str">
        <f aca="false">IF(TRIM(B1129)="","",UPPER(TRIM(B1129)))</f>
        <v/>
      </c>
      <c r="J1129" s="17" t="str">
        <f aca="false">IF(H1129="","",IF(COUNTIF('Master Stock'!$A$5:$A$206,H1129)&gt;0,"Yes","Not on stock sheet"))</f>
        <v/>
      </c>
    </row>
    <row r="1130" customFormat="false" ht="14.25" hidden="false" customHeight="true" outlineLevel="0" collapsed="false">
      <c r="E1130" s="17"/>
      <c r="H1130" s="17" t="str">
        <f aca="false">IF(TRIM(C1130)="","",IFERROR(INDEX('Code Aliases'!$B:$B,MATCH(TRIM(C1130),'Code Aliases'!$A:$A,0)),TRIM(C1130)))</f>
        <v/>
      </c>
      <c r="I1130" s="17" t="str">
        <f aca="false">IF(TRIM(B1130)="","",UPPER(TRIM(B1130)))</f>
        <v/>
      </c>
      <c r="J1130" s="17" t="str">
        <f aca="false">IF(H1130="","",IF(COUNTIF('Master Stock'!$A$5:$A$206,H1130)&gt;0,"Yes","Not on stock sheet"))</f>
        <v/>
      </c>
    </row>
    <row r="1131" customFormat="false" ht="14.25" hidden="false" customHeight="true" outlineLevel="0" collapsed="false">
      <c r="E1131" s="17"/>
      <c r="H1131" s="17" t="str">
        <f aca="false">IF(TRIM(C1131)="","",IFERROR(INDEX('Code Aliases'!$B:$B,MATCH(TRIM(C1131),'Code Aliases'!$A:$A,0)),TRIM(C1131)))</f>
        <v/>
      </c>
      <c r="I1131" s="17" t="str">
        <f aca="false">IF(TRIM(B1131)="","",UPPER(TRIM(B1131)))</f>
        <v/>
      </c>
      <c r="J1131" s="17" t="str">
        <f aca="false">IF(H1131="","",IF(COUNTIF('Master Stock'!$A$5:$A$206,H1131)&gt;0,"Yes","Not on stock sheet"))</f>
        <v/>
      </c>
    </row>
    <row r="1132" customFormat="false" ht="14.25" hidden="false" customHeight="true" outlineLevel="0" collapsed="false">
      <c r="E1132" s="17"/>
      <c r="H1132" s="17" t="str">
        <f aca="false">IF(TRIM(C1132)="","",IFERROR(INDEX('Code Aliases'!$B:$B,MATCH(TRIM(C1132),'Code Aliases'!$A:$A,0)),TRIM(C1132)))</f>
        <v/>
      </c>
      <c r="I1132" s="17" t="str">
        <f aca="false">IF(TRIM(B1132)="","",UPPER(TRIM(B1132)))</f>
        <v/>
      </c>
      <c r="J1132" s="17" t="str">
        <f aca="false">IF(H1132="","",IF(COUNTIF('Master Stock'!$A$5:$A$206,H1132)&gt;0,"Yes","Not on stock sheet"))</f>
        <v/>
      </c>
    </row>
    <row r="1133" customFormat="false" ht="14.25" hidden="false" customHeight="true" outlineLevel="0" collapsed="false">
      <c r="E1133" s="17"/>
      <c r="H1133" s="17" t="str">
        <f aca="false">IF(TRIM(C1133)="","",IFERROR(INDEX('Code Aliases'!$B:$B,MATCH(TRIM(C1133),'Code Aliases'!$A:$A,0)),TRIM(C1133)))</f>
        <v/>
      </c>
      <c r="I1133" s="17" t="str">
        <f aca="false">IF(TRIM(B1133)="","",UPPER(TRIM(B1133)))</f>
        <v/>
      </c>
      <c r="J1133" s="17" t="str">
        <f aca="false">IF(H1133="","",IF(COUNTIF('Master Stock'!$A$5:$A$206,H1133)&gt;0,"Yes","Not on stock sheet"))</f>
        <v/>
      </c>
    </row>
    <row r="1134" customFormat="false" ht="14.25" hidden="false" customHeight="true" outlineLevel="0" collapsed="false">
      <c r="E1134" s="17"/>
      <c r="H1134" s="17" t="str">
        <f aca="false">IF(TRIM(C1134)="","",IFERROR(INDEX('Code Aliases'!$B:$B,MATCH(TRIM(C1134),'Code Aliases'!$A:$A,0)),TRIM(C1134)))</f>
        <v/>
      </c>
      <c r="I1134" s="17" t="str">
        <f aca="false">IF(TRIM(B1134)="","",UPPER(TRIM(B1134)))</f>
        <v/>
      </c>
      <c r="J1134" s="17" t="str">
        <f aca="false">IF(H1134="","",IF(COUNTIF('Master Stock'!$A$5:$A$206,H1134)&gt;0,"Yes","Not on stock sheet"))</f>
        <v/>
      </c>
    </row>
    <row r="1135" customFormat="false" ht="14.25" hidden="false" customHeight="true" outlineLevel="0" collapsed="false">
      <c r="E1135" s="17"/>
      <c r="H1135" s="17" t="str">
        <f aca="false">IF(TRIM(C1135)="","",IFERROR(INDEX('Code Aliases'!$B:$B,MATCH(TRIM(C1135),'Code Aliases'!$A:$A,0)),TRIM(C1135)))</f>
        <v/>
      </c>
      <c r="I1135" s="17" t="str">
        <f aca="false">IF(TRIM(B1135)="","",UPPER(TRIM(B1135)))</f>
        <v/>
      </c>
      <c r="J1135" s="17" t="str">
        <f aca="false">IF(H1135="","",IF(COUNTIF('Master Stock'!$A$5:$A$206,H1135)&gt;0,"Yes","Not on stock sheet"))</f>
        <v/>
      </c>
    </row>
    <row r="1136" customFormat="false" ht="14.25" hidden="false" customHeight="true" outlineLevel="0" collapsed="false">
      <c r="E1136" s="17"/>
      <c r="H1136" s="17" t="str">
        <f aca="false">IF(TRIM(C1136)="","",IFERROR(INDEX('Code Aliases'!$B:$B,MATCH(TRIM(C1136),'Code Aliases'!$A:$A,0)),TRIM(C1136)))</f>
        <v/>
      </c>
      <c r="I1136" s="17" t="str">
        <f aca="false">IF(TRIM(B1136)="","",UPPER(TRIM(B1136)))</f>
        <v/>
      </c>
      <c r="J1136" s="17" t="str">
        <f aca="false">IF(H1136="","",IF(COUNTIF('Master Stock'!$A$5:$A$206,H1136)&gt;0,"Yes","Not on stock sheet"))</f>
        <v/>
      </c>
    </row>
    <row r="1137" customFormat="false" ht="14.25" hidden="false" customHeight="true" outlineLevel="0" collapsed="false">
      <c r="E1137" s="17"/>
      <c r="H1137" s="17" t="str">
        <f aca="false">IF(TRIM(C1137)="","",IFERROR(INDEX('Code Aliases'!$B:$B,MATCH(TRIM(C1137),'Code Aliases'!$A:$A,0)),TRIM(C1137)))</f>
        <v/>
      </c>
      <c r="I1137" s="17" t="str">
        <f aca="false">IF(TRIM(B1137)="","",UPPER(TRIM(B1137)))</f>
        <v/>
      </c>
      <c r="J1137" s="17" t="str">
        <f aca="false">IF(H1137="","",IF(COUNTIF('Master Stock'!$A$5:$A$206,H1137)&gt;0,"Yes","Not on stock sheet"))</f>
        <v/>
      </c>
    </row>
    <row r="1138" customFormat="false" ht="14.25" hidden="false" customHeight="true" outlineLevel="0" collapsed="false">
      <c r="E1138" s="17"/>
      <c r="H1138" s="17" t="str">
        <f aca="false">IF(TRIM(C1138)="","",IFERROR(INDEX('Code Aliases'!$B:$B,MATCH(TRIM(C1138),'Code Aliases'!$A:$A,0)),TRIM(C1138)))</f>
        <v/>
      </c>
      <c r="I1138" s="17" t="str">
        <f aca="false">IF(TRIM(B1138)="","",UPPER(TRIM(B1138)))</f>
        <v/>
      </c>
      <c r="J1138" s="17" t="str">
        <f aca="false">IF(H1138="","",IF(COUNTIF('Master Stock'!$A$5:$A$206,H1138)&gt;0,"Yes","Not on stock sheet"))</f>
        <v/>
      </c>
    </row>
    <row r="1139" customFormat="false" ht="14.25" hidden="false" customHeight="true" outlineLevel="0" collapsed="false">
      <c r="E1139" s="17"/>
      <c r="H1139" s="17" t="str">
        <f aca="false">IF(TRIM(C1139)="","",IFERROR(INDEX('Code Aliases'!$B:$B,MATCH(TRIM(C1139),'Code Aliases'!$A:$A,0)),TRIM(C1139)))</f>
        <v/>
      </c>
      <c r="I1139" s="17" t="str">
        <f aca="false">IF(TRIM(B1139)="","",UPPER(TRIM(B1139)))</f>
        <v/>
      </c>
      <c r="J1139" s="17" t="str">
        <f aca="false">IF(H1139="","",IF(COUNTIF('Master Stock'!$A$5:$A$206,H1139)&gt;0,"Yes","Not on stock sheet"))</f>
        <v/>
      </c>
    </row>
    <row r="1140" customFormat="false" ht="14.25" hidden="false" customHeight="true" outlineLevel="0" collapsed="false">
      <c r="E1140" s="17"/>
      <c r="H1140" s="17" t="str">
        <f aca="false">IF(TRIM(C1140)="","",IFERROR(INDEX('Code Aliases'!$B:$B,MATCH(TRIM(C1140),'Code Aliases'!$A:$A,0)),TRIM(C1140)))</f>
        <v/>
      </c>
      <c r="I1140" s="17" t="str">
        <f aca="false">IF(TRIM(B1140)="","",UPPER(TRIM(B1140)))</f>
        <v/>
      </c>
      <c r="J1140" s="17" t="str">
        <f aca="false">IF(H1140="","",IF(COUNTIF('Master Stock'!$A$5:$A$206,H1140)&gt;0,"Yes","Not on stock sheet"))</f>
        <v/>
      </c>
    </row>
    <row r="1141" customFormat="false" ht="14.25" hidden="false" customHeight="true" outlineLevel="0" collapsed="false">
      <c r="E1141" s="17"/>
      <c r="H1141" s="17" t="str">
        <f aca="false">IF(TRIM(C1141)="","",IFERROR(INDEX('Code Aliases'!$B:$B,MATCH(TRIM(C1141),'Code Aliases'!$A:$A,0)),TRIM(C1141)))</f>
        <v/>
      </c>
      <c r="I1141" s="17" t="str">
        <f aca="false">IF(TRIM(B1141)="","",UPPER(TRIM(B1141)))</f>
        <v/>
      </c>
      <c r="J1141" s="17" t="str">
        <f aca="false">IF(H1141="","",IF(COUNTIF('Master Stock'!$A$5:$A$206,H1141)&gt;0,"Yes","Not on stock sheet"))</f>
        <v/>
      </c>
    </row>
    <row r="1142" customFormat="false" ht="14.25" hidden="false" customHeight="true" outlineLevel="0" collapsed="false">
      <c r="E1142" s="17"/>
      <c r="H1142" s="17" t="str">
        <f aca="false">IF(TRIM(C1142)="","",IFERROR(INDEX('Code Aliases'!$B:$B,MATCH(TRIM(C1142),'Code Aliases'!$A:$A,0)),TRIM(C1142)))</f>
        <v/>
      </c>
      <c r="I1142" s="17" t="str">
        <f aca="false">IF(TRIM(B1142)="","",UPPER(TRIM(B1142)))</f>
        <v/>
      </c>
      <c r="J1142" s="17" t="str">
        <f aca="false">IF(H1142="","",IF(COUNTIF('Master Stock'!$A$5:$A$206,H1142)&gt;0,"Yes","Not on stock sheet"))</f>
        <v/>
      </c>
    </row>
    <row r="1143" customFormat="false" ht="14.25" hidden="false" customHeight="true" outlineLevel="0" collapsed="false">
      <c r="E1143" s="17"/>
      <c r="H1143" s="17" t="str">
        <f aca="false">IF(TRIM(C1143)="","",IFERROR(INDEX('Code Aliases'!$B:$B,MATCH(TRIM(C1143),'Code Aliases'!$A:$A,0)),TRIM(C1143)))</f>
        <v/>
      </c>
      <c r="I1143" s="17" t="str">
        <f aca="false">IF(TRIM(B1143)="","",UPPER(TRIM(B1143)))</f>
        <v/>
      </c>
      <c r="J1143" s="17" t="str">
        <f aca="false">IF(H1143="","",IF(COUNTIF('Master Stock'!$A$5:$A$206,H1143)&gt;0,"Yes","Not on stock sheet"))</f>
        <v/>
      </c>
    </row>
    <row r="1144" customFormat="false" ht="14.25" hidden="false" customHeight="true" outlineLevel="0" collapsed="false">
      <c r="E1144" s="17"/>
      <c r="H1144" s="17" t="str">
        <f aca="false">IF(TRIM(C1144)="","",IFERROR(INDEX('Code Aliases'!$B:$B,MATCH(TRIM(C1144),'Code Aliases'!$A:$A,0)),TRIM(C1144)))</f>
        <v/>
      </c>
      <c r="I1144" s="17" t="str">
        <f aca="false">IF(TRIM(B1144)="","",UPPER(TRIM(B1144)))</f>
        <v/>
      </c>
      <c r="J1144" s="17" t="str">
        <f aca="false">IF(H1144="","",IF(COUNTIF('Master Stock'!$A$5:$A$206,H1144)&gt;0,"Yes","Not on stock sheet"))</f>
        <v/>
      </c>
    </row>
    <row r="1145" customFormat="false" ht="14.25" hidden="false" customHeight="true" outlineLevel="0" collapsed="false">
      <c r="E1145" s="17"/>
      <c r="H1145" s="17" t="str">
        <f aca="false">IF(TRIM(C1145)="","",IFERROR(INDEX('Code Aliases'!$B:$B,MATCH(TRIM(C1145),'Code Aliases'!$A:$A,0)),TRIM(C1145)))</f>
        <v/>
      </c>
      <c r="I1145" s="17" t="str">
        <f aca="false">IF(TRIM(B1145)="","",UPPER(TRIM(B1145)))</f>
        <v/>
      </c>
      <c r="J1145" s="17" t="str">
        <f aca="false">IF(H1145="","",IF(COUNTIF('Master Stock'!$A$5:$A$206,H1145)&gt;0,"Yes","Not on stock sheet"))</f>
        <v/>
      </c>
    </row>
    <row r="1146" customFormat="false" ht="14.25" hidden="false" customHeight="true" outlineLevel="0" collapsed="false">
      <c r="E1146" s="17"/>
      <c r="H1146" s="17" t="str">
        <f aca="false">IF(TRIM(C1146)="","",IFERROR(INDEX('Code Aliases'!$B:$B,MATCH(TRIM(C1146),'Code Aliases'!$A:$A,0)),TRIM(C1146)))</f>
        <v/>
      </c>
      <c r="I1146" s="17" t="str">
        <f aca="false">IF(TRIM(B1146)="","",UPPER(TRIM(B1146)))</f>
        <v/>
      </c>
      <c r="J1146" s="17" t="str">
        <f aca="false">IF(H1146="","",IF(COUNTIF('Master Stock'!$A$5:$A$206,H1146)&gt;0,"Yes","Not on stock sheet"))</f>
        <v/>
      </c>
    </row>
    <row r="1147" customFormat="false" ht="14.25" hidden="false" customHeight="true" outlineLevel="0" collapsed="false">
      <c r="E1147" s="17"/>
      <c r="H1147" s="17" t="str">
        <f aca="false">IF(TRIM(C1147)="","",IFERROR(INDEX('Code Aliases'!$B:$B,MATCH(TRIM(C1147),'Code Aliases'!$A:$A,0)),TRIM(C1147)))</f>
        <v/>
      </c>
      <c r="I1147" s="17" t="str">
        <f aca="false">IF(TRIM(B1147)="","",UPPER(TRIM(B1147)))</f>
        <v/>
      </c>
      <c r="J1147" s="17" t="str">
        <f aca="false">IF(H1147="","",IF(COUNTIF('Master Stock'!$A$5:$A$206,H1147)&gt;0,"Yes","Not on stock sheet"))</f>
        <v/>
      </c>
    </row>
    <row r="1148" customFormat="false" ht="14.25" hidden="false" customHeight="true" outlineLevel="0" collapsed="false">
      <c r="E1148" s="17"/>
      <c r="H1148" s="17" t="str">
        <f aca="false">IF(TRIM(C1148)="","",IFERROR(INDEX('Code Aliases'!$B:$B,MATCH(TRIM(C1148),'Code Aliases'!$A:$A,0)),TRIM(C1148)))</f>
        <v/>
      </c>
      <c r="I1148" s="17" t="str">
        <f aca="false">IF(TRIM(B1148)="","",UPPER(TRIM(B1148)))</f>
        <v/>
      </c>
      <c r="J1148" s="17" t="str">
        <f aca="false">IF(H1148="","",IF(COUNTIF('Master Stock'!$A$5:$A$206,H1148)&gt;0,"Yes","Not on stock sheet"))</f>
        <v/>
      </c>
    </row>
    <row r="1149" customFormat="false" ht="14.25" hidden="false" customHeight="true" outlineLevel="0" collapsed="false">
      <c r="E1149" s="17"/>
      <c r="H1149" s="17" t="str">
        <f aca="false">IF(TRIM(C1149)="","",IFERROR(INDEX('Code Aliases'!$B:$B,MATCH(TRIM(C1149),'Code Aliases'!$A:$A,0)),TRIM(C1149)))</f>
        <v/>
      </c>
      <c r="I1149" s="17" t="str">
        <f aca="false">IF(TRIM(B1149)="","",UPPER(TRIM(B1149)))</f>
        <v/>
      </c>
      <c r="J1149" s="17" t="str">
        <f aca="false">IF(H1149="","",IF(COUNTIF('Master Stock'!$A$5:$A$206,H1149)&gt;0,"Yes","Not on stock sheet"))</f>
        <v/>
      </c>
    </row>
    <row r="1150" customFormat="false" ht="14.25" hidden="false" customHeight="true" outlineLevel="0" collapsed="false">
      <c r="E1150" s="17"/>
      <c r="H1150" s="17" t="str">
        <f aca="false">IF(TRIM(C1150)="","",IFERROR(INDEX('Code Aliases'!$B:$B,MATCH(TRIM(C1150),'Code Aliases'!$A:$A,0)),TRIM(C1150)))</f>
        <v/>
      </c>
      <c r="I1150" s="17" t="str">
        <f aca="false">IF(TRIM(B1150)="","",UPPER(TRIM(B1150)))</f>
        <v/>
      </c>
      <c r="J1150" s="17" t="str">
        <f aca="false">IF(H1150="","",IF(COUNTIF('Master Stock'!$A$5:$A$206,H1150)&gt;0,"Yes","Not on stock sheet"))</f>
        <v/>
      </c>
    </row>
    <row r="1151" customFormat="false" ht="14.25" hidden="false" customHeight="true" outlineLevel="0" collapsed="false">
      <c r="E1151" s="17"/>
      <c r="H1151" s="17" t="str">
        <f aca="false">IF(TRIM(C1151)="","",IFERROR(INDEX('Code Aliases'!$B:$B,MATCH(TRIM(C1151),'Code Aliases'!$A:$A,0)),TRIM(C1151)))</f>
        <v/>
      </c>
      <c r="I1151" s="17" t="str">
        <f aca="false">IF(TRIM(B1151)="","",UPPER(TRIM(B1151)))</f>
        <v/>
      </c>
      <c r="J1151" s="17" t="str">
        <f aca="false">IF(H1151="","",IF(COUNTIF('Master Stock'!$A$5:$A$206,H1151)&gt;0,"Yes","Not on stock sheet"))</f>
        <v/>
      </c>
    </row>
    <row r="1152" customFormat="false" ht="14.25" hidden="false" customHeight="true" outlineLevel="0" collapsed="false">
      <c r="E1152" s="17"/>
      <c r="H1152" s="17" t="str">
        <f aca="false">IF(TRIM(C1152)="","",IFERROR(INDEX('Code Aliases'!$B:$B,MATCH(TRIM(C1152),'Code Aliases'!$A:$A,0)),TRIM(C1152)))</f>
        <v/>
      </c>
      <c r="I1152" s="17" t="str">
        <f aca="false">IF(TRIM(B1152)="","",UPPER(TRIM(B1152)))</f>
        <v/>
      </c>
      <c r="J1152" s="17" t="str">
        <f aca="false">IF(H1152="","",IF(COUNTIF('Master Stock'!$A$5:$A$206,H1152)&gt;0,"Yes","Not on stock sheet"))</f>
        <v/>
      </c>
    </row>
    <row r="1153" customFormat="false" ht="14.25" hidden="false" customHeight="true" outlineLevel="0" collapsed="false">
      <c r="E1153" s="17"/>
      <c r="H1153" s="17" t="str">
        <f aca="false">IF(TRIM(C1153)="","",IFERROR(INDEX('Code Aliases'!$B:$B,MATCH(TRIM(C1153),'Code Aliases'!$A:$A,0)),TRIM(C1153)))</f>
        <v/>
      </c>
      <c r="I1153" s="17" t="str">
        <f aca="false">IF(TRIM(B1153)="","",UPPER(TRIM(B1153)))</f>
        <v/>
      </c>
      <c r="J1153" s="17" t="str">
        <f aca="false">IF(H1153="","",IF(COUNTIF('Master Stock'!$A$5:$A$206,H1153)&gt;0,"Yes","Not on stock sheet"))</f>
        <v/>
      </c>
    </row>
    <row r="1154" customFormat="false" ht="14.25" hidden="false" customHeight="true" outlineLevel="0" collapsed="false">
      <c r="E1154" s="17"/>
      <c r="H1154" s="17" t="str">
        <f aca="false">IF(TRIM(C1154)="","",IFERROR(INDEX('Code Aliases'!$B:$B,MATCH(TRIM(C1154),'Code Aliases'!$A:$A,0)),TRIM(C1154)))</f>
        <v/>
      </c>
      <c r="I1154" s="17" t="str">
        <f aca="false">IF(TRIM(B1154)="","",UPPER(TRIM(B1154)))</f>
        <v/>
      </c>
      <c r="J1154" s="17" t="str">
        <f aca="false">IF(H1154="","",IF(COUNTIF('Master Stock'!$A$5:$A$206,H1154)&gt;0,"Yes","Not on stock sheet"))</f>
        <v/>
      </c>
    </row>
    <row r="1155" customFormat="false" ht="14.25" hidden="false" customHeight="true" outlineLevel="0" collapsed="false">
      <c r="E1155" s="17"/>
      <c r="H1155" s="17" t="str">
        <f aca="false">IF(TRIM(C1155)="","",IFERROR(INDEX('Code Aliases'!$B:$B,MATCH(TRIM(C1155),'Code Aliases'!$A:$A,0)),TRIM(C1155)))</f>
        <v/>
      </c>
      <c r="I1155" s="17" t="str">
        <f aca="false">IF(TRIM(B1155)="","",UPPER(TRIM(B1155)))</f>
        <v/>
      </c>
      <c r="J1155" s="17" t="str">
        <f aca="false">IF(H1155="","",IF(COUNTIF('Master Stock'!$A$5:$A$206,H1155)&gt;0,"Yes","Not on stock sheet"))</f>
        <v/>
      </c>
    </row>
    <row r="1156" customFormat="false" ht="14.25" hidden="false" customHeight="true" outlineLevel="0" collapsed="false">
      <c r="E1156" s="17"/>
      <c r="H1156" s="17" t="str">
        <f aca="false">IF(TRIM(C1156)="","",IFERROR(INDEX('Code Aliases'!$B:$B,MATCH(TRIM(C1156),'Code Aliases'!$A:$A,0)),TRIM(C1156)))</f>
        <v/>
      </c>
      <c r="I1156" s="17" t="str">
        <f aca="false">IF(TRIM(B1156)="","",UPPER(TRIM(B1156)))</f>
        <v/>
      </c>
      <c r="J1156" s="17" t="str">
        <f aca="false">IF(H1156="","",IF(COUNTIF('Master Stock'!$A$5:$A$206,H1156)&gt;0,"Yes","Not on stock sheet"))</f>
        <v/>
      </c>
    </row>
    <row r="1157" customFormat="false" ht="14.25" hidden="false" customHeight="true" outlineLevel="0" collapsed="false">
      <c r="E1157" s="17"/>
      <c r="H1157" s="17" t="str">
        <f aca="false">IF(TRIM(C1157)="","",IFERROR(INDEX('Code Aliases'!$B:$B,MATCH(TRIM(C1157),'Code Aliases'!$A:$A,0)),TRIM(C1157)))</f>
        <v/>
      </c>
      <c r="I1157" s="17" t="str">
        <f aca="false">IF(TRIM(B1157)="","",UPPER(TRIM(B1157)))</f>
        <v/>
      </c>
      <c r="J1157" s="17" t="str">
        <f aca="false">IF(H1157="","",IF(COUNTIF('Master Stock'!$A$5:$A$206,H1157)&gt;0,"Yes","Not on stock sheet"))</f>
        <v/>
      </c>
    </row>
    <row r="1158" customFormat="false" ht="14.25" hidden="false" customHeight="true" outlineLevel="0" collapsed="false">
      <c r="E1158" s="17"/>
      <c r="H1158" s="17" t="str">
        <f aca="false">IF(TRIM(C1158)="","",IFERROR(INDEX('Code Aliases'!$B:$B,MATCH(TRIM(C1158),'Code Aliases'!$A:$A,0)),TRIM(C1158)))</f>
        <v/>
      </c>
      <c r="I1158" s="17" t="str">
        <f aca="false">IF(TRIM(B1158)="","",UPPER(TRIM(B1158)))</f>
        <v/>
      </c>
      <c r="J1158" s="17" t="str">
        <f aca="false">IF(H1158="","",IF(COUNTIF('Master Stock'!$A$5:$A$206,H1158)&gt;0,"Yes","Not on stock sheet"))</f>
        <v/>
      </c>
    </row>
    <row r="1159" customFormat="false" ht="14.25" hidden="false" customHeight="true" outlineLevel="0" collapsed="false">
      <c r="E1159" s="17"/>
      <c r="H1159" s="17" t="str">
        <f aca="false">IF(TRIM(C1159)="","",IFERROR(INDEX('Code Aliases'!$B:$B,MATCH(TRIM(C1159),'Code Aliases'!$A:$A,0)),TRIM(C1159)))</f>
        <v/>
      </c>
      <c r="I1159" s="17" t="str">
        <f aca="false">IF(TRIM(B1159)="","",UPPER(TRIM(B1159)))</f>
        <v/>
      </c>
      <c r="J1159" s="17" t="str">
        <f aca="false">IF(H1159="","",IF(COUNTIF('Master Stock'!$A$5:$A$206,H1159)&gt;0,"Yes","Not on stock sheet"))</f>
        <v/>
      </c>
    </row>
    <row r="1160" customFormat="false" ht="14.25" hidden="false" customHeight="true" outlineLevel="0" collapsed="false">
      <c r="E1160" s="17"/>
      <c r="H1160" s="17" t="str">
        <f aca="false">IF(TRIM(C1160)="","",IFERROR(INDEX('Code Aliases'!$B:$B,MATCH(TRIM(C1160),'Code Aliases'!$A:$A,0)),TRIM(C1160)))</f>
        <v/>
      </c>
      <c r="I1160" s="17" t="str">
        <f aca="false">IF(TRIM(B1160)="","",UPPER(TRIM(B1160)))</f>
        <v/>
      </c>
      <c r="J1160" s="17" t="str">
        <f aca="false">IF(H1160="","",IF(COUNTIF('Master Stock'!$A$5:$A$206,H1160)&gt;0,"Yes","Not on stock sheet"))</f>
        <v/>
      </c>
    </row>
    <row r="1161" customFormat="false" ht="14.25" hidden="false" customHeight="true" outlineLevel="0" collapsed="false">
      <c r="E1161" s="17"/>
      <c r="H1161" s="17" t="str">
        <f aca="false">IF(TRIM(C1161)="","",IFERROR(INDEX('Code Aliases'!$B:$B,MATCH(TRIM(C1161),'Code Aliases'!$A:$A,0)),TRIM(C1161)))</f>
        <v/>
      </c>
      <c r="I1161" s="17" t="str">
        <f aca="false">IF(TRIM(B1161)="","",UPPER(TRIM(B1161)))</f>
        <v/>
      </c>
      <c r="J1161" s="17" t="str">
        <f aca="false">IF(H1161="","",IF(COUNTIF('Master Stock'!$A$5:$A$206,H1161)&gt;0,"Yes","Not on stock sheet"))</f>
        <v/>
      </c>
    </row>
    <row r="1162" customFormat="false" ht="14.25" hidden="false" customHeight="true" outlineLevel="0" collapsed="false">
      <c r="E1162" s="17"/>
      <c r="H1162" s="17" t="str">
        <f aca="false">IF(TRIM(C1162)="","",IFERROR(INDEX('Code Aliases'!$B:$B,MATCH(TRIM(C1162),'Code Aliases'!$A:$A,0)),TRIM(C1162)))</f>
        <v/>
      </c>
      <c r="I1162" s="17" t="str">
        <f aca="false">IF(TRIM(B1162)="","",UPPER(TRIM(B1162)))</f>
        <v/>
      </c>
      <c r="J1162" s="17" t="str">
        <f aca="false">IF(H1162="","",IF(COUNTIF('Master Stock'!$A$5:$A$206,H1162)&gt;0,"Yes","Not on stock sheet"))</f>
        <v/>
      </c>
    </row>
    <row r="1163" customFormat="false" ht="14.25" hidden="false" customHeight="true" outlineLevel="0" collapsed="false">
      <c r="E1163" s="17"/>
      <c r="H1163" s="17" t="str">
        <f aca="false">IF(TRIM(C1163)="","",IFERROR(INDEX('Code Aliases'!$B:$B,MATCH(TRIM(C1163),'Code Aliases'!$A:$A,0)),TRIM(C1163)))</f>
        <v/>
      </c>
      <c r="I1163" s="17" t="str">
        <f aca="false">IF(TRIM(B1163)="","",UPPER(TRIM(B1163)))</f>
        <v/>
      </c>
      <c r="J1163" s="17" t="str">
        <f aca="false">IF(H1163="","",IF(COUNTIF('Master Stock'!$A$5:$A$206,H1163)&gt;0,"Yes","Not on stock sheet"))</f>
        <v/>
      </c>
    </row>
    <row r="1164" customFormat="false" ht="14.25" hidden="false" customHeight="true" outlineLevel="0" collapsed="false">
      <c r="E1164" s="17"/>
      <c r="H1164" s="17" t="str">
        <f aca="false">IF(TRIM(C1164)="","",IFERROR(INDEX('Code Aliases'!$B:$B,MATCH(TRIM(C1164),'Code Aliases'!$A:$A,0)),TRIM(C1164)))</f>
        <v/>
      </c>
      <c r="I1164" s="17" t="str">
        <f aca="false">IF(TRIM(B1164)="","",UPPER(TRIM(B1164)))</f>
        <v/>
      </c>
      <c r="J1164" s="17" t="str">
        <f aca="false">IF(H1164="","",IF(COUNTIF('Master Stock'!$A$5:$A$206,H1164)&gt;0,"Yes","Not on stock sheet"))</f>
        <v/>
      </c>
    </row>
    <row r="1165" customFormat="false" ht="14.25" hidden="false" customHeight="true" outlineLevel="0" collapsed="false">
      <c r="E1165" s="17"/>
      <c r="H1165" s="17" t="str">
        <f aca="false">IF(TRIM(C1165)="","",IFERROR(INDEX('Code Aliases'!$B:$B,MATCH(TRIM(C1165),'Code Aliases'!$A:$A,0)),TRIM(C1165)))</f>
        <v/>
      </c>
      <c r="I1165" s="17" t="str">
        <f aca="false">IF(TRIM(B1165)="","",UPPER(TRIM(B1165)))</f>
        <v/>
      </c>
      <c r="J1165" s="17" t="str">
        <f aca="false">IF(H1165="","",IF(COUNTIF('Master Stock'!$A$5:$A$206,H1165)&gt;0,"Yes","Not on stock sheet"))</f>
        <v/>
      </c>
    </row>
    <row r="1166" customFormat="false" ht="14.25" hidden="false" customHeight="true" outlineLevel="0" collapsed="false">
      <c r="E1166" s="17"/>
      <c r="H1166" s="17" t="str">
        <f aca="false">IF(TRIM(C1166)="","",IFERROR(INDEX('Code Aliases'!$B:$B,MATCH(TRIM(C1166),'Code Aliases'!$A:$A,0)),TRIM(C1166)))</f>
        <v/>
      </c>
      <c r="I1166" s="17" t="str">
        <f aca="false">IF(TRIM(B1166)="","",UPPER(TRIM(B1166)))</f>
        <v/>
      </c>
      <c r="J1166" s="17" t="str">
        <f aca="false">IF(H1166="","",IF(COUNTIF('Master Stock'!$A$5:$A$206,H1166)&gt;0,"Yes","Not on stock sheet"))</f>
        <v/>
      </c>
    </row>
    <row r="1167" customFormat="false" ht="14.25" hidden="false" customHeight="true" outlineLevel="0" collapsed="false">
      <c r="E1167" s="17"/>
      <c r="H1167" s="17" t="str">
        <f aca="false">IF(TRIM(C1167)="","",IFERROR(INDEX('Code Aliases'!$B:$B,MATCH(TRIM(C1167),'Code Aliases'!$A:$A,0)),TRIM(C1167)))</f>
        <v/>
      </c>
      <c r="I1167" s="17" t="str">
        <f aca="false">IF(TRIM(B1167)="","",UPPER(TRIM(B1167)))</f>
        <v/>
      </c>
      <c r="J1167" s="17" t="str">
        <f aca="false">IF(H1167="","",IF(COUNTIF('Master Stock'!$A$5:$A$206,H1167)&gt;0,"Yes","Not on stock sheet"))</f>
        <v/>
      </c>
    </row>
    <row r="1168" customFormat="false" ht="14.25" hidden="false" customHeight="true" outlineLevel="0" collapsed="false">
      <c r="E1168" s="17"/>
      <c r="H1168" s="17" t="str">
        <f aca="false">IF(TRIM(C1168)="","",IFERROR(INDEX('Code Aliases'!$B:$B,MATCH(TRIM(C1168),'Code Aliases'!$A:$A,0)),TRIM(C1168)))</f>
        <v/>
      </c>
      <c r="I1168" s="17" t="str">
        <f aca="false">IF(TRIM(B1168)="","",UPPER(TRIM(B1168)))</f>
        <v/>
      </c>
      <c r="J1168" s="17" t="str">
        <f aca="false">IF(H1168="","",IF(COUNTIF('Master Stock'!$A$5:$A$206,H1168)&gt;0,"Yes","Not on stock sheet"))</f>
        <v/>
      </c>
    </row>
    <row r="1169" customFormat="false" ht="14.25" hidden="false" customHeight="true" outlineLevel="0" collapsed="false">
      <c r="E1169" s="17"/>
      <c r="H1169" s="17" t="str">
        <f aca="false">IF(TRIM(C1169)="","",IFERROR(INDEX('Code Aliases'!$B:$B,MATCH(TRIM(C1169),'Code Aliases'!$A:$A,0)),TRIM(C1169)))</f>
        <v/>
      </c>
      <c r="I1169" s="17" t="str">
        <f aca="false">IF(TRIM(B1169)="","",UPPER(TRIM(B1169)))</f>
        <v/>
      </c>
      <c r="J1169" s="17" t="str">
        <f aca="false">IF(H1169="","",IF(COUNTIF('Master Stock'!$A$5:$A$206,H1169)&gt;0,"Yes","Not on stock sheet"))</f>
        <v/>
      </c>
    </row>
    <row r="1170" customFormat="false" ht="14.25" hidden="false" customHeight="true" outlineLevel="0" collapsed="false">
      <c r="E1170" s="17"/>
      <c r="H1170" s="17" t="str">
        <f aca="false">IF(TRIM(C1170)="","",IFERROR(INDEX('Code Aliases'!$B:$B,MATCH(TRIM(C1170),'Code Aliases'!$A:$A,0)),TRIM(C1170)))</f>
        <v/>
      </c>
      <c r="I1170" s="17" t="str">
        <f aca="false">IF(TRIM(B1170)="","",UPPER(TRIM(B1170)))</f>
        <v/>
      </c>
      <c r="J1170" s="17" t="str">
        <f aca="false">IF(H1170="","",IF(COUNTIF('Master Stock'!$A$5:$A$206,H1170)&gt;0,"Yes","Not on stock sheet"))</f>
        <v/>
      </c>
    </row>
    <row r="1171" customFormat="false" ht="14.25" hidden="false" customHeight="true" outlineLevel="0" collapsed="false">
      <c r="E1171" s="17"/>
      <c r="H1171" s="17" t="str">
        <f aca="false">IF(TRIM(C1171)="","",IFERROR(INDEX('Code Aliases'!$B:$B,MATCH(TRIM(C1171),'Code Aliases'!$A:$A,0)),TRIM(C1171)))</f>
        <v/>
      </c>
      <c r="I1171" s="17" t="str">
        <f aca="false">IF(TRIM(B1171)="","",UPPER(TRIM(B1171)))</f>
        <v/>
      </c>
      <c r="J1171" s="17" t="str">
        <f aca="false">IF(H1171="","",IF(COUNTIF('Master Stock'!$A$5:$A$206,H1171)&gt;0,"Yes","Not on stock sheet"))</f>
        <v/>
      </c>
    </row>
    <row r="1172" customFormat="false" ht="14.25" hidden="false" customHeight="true" outlineLevel="0" collapsed="false">
      <c r="E1172" s="17"/>
      <c r="H1172" s="17" t="str">
        <f aca="false">IF(TRIM(C1172)="","",IFERROR(INDEX('Code Aliases'!$B:$B,MATCH(TRIM(C1172),'Code Aliases'!$A:$A,0)),TRIM(C1172)))</f>
        <v/>
      </c>
      <c r="I1172" s="17" t="str">
        <f aca="false">IF(TRIM(B1172)="","",UPPER(TRIM(B1172)))</f>
        <v/>
      </c>
      <c r="J1172" s="17" t="str">
        <f aca="false">IF(H1172="","",IF(COUNTIF('Master Stock'!$A$5:$A$206,H1172)&gt;0,"Yes","Not on stock sheet"))</f>
        <v/>
      </c>
    </row>
    <row r="1173" customFormat="false" ht="14.25" hidden="false" customHeight="true" outlineLevel="0" collapsed="false">
      <c r="E1173" s="17"/>
      <c r="H1173" s="17" t="str">
        <f aca="false">IF(TRIM(C1173)="","",IFERROR(INDEX('Code Aliases'!$B:$B,MATCH(TRIM(C1173),'Code Aliases'!$A:$A,0)),TRIM(C1173)))</f>
        <v/>
      </c>
      <c r="I1173" s="17" t="str">
        <f aca="false">IF(TRIM(B1173)="","",UPPER(TRIM(B1173)))</f>
        <v/>
      </c>
      <c r="J1173" s="17" t="str">
        <f aca="false">IF(H1173="","",IF(COUNTIF('Master Stock'!$A$5:$A$206,H1173)&gt;0,"Yes","Not on stock sheet"))</f>
        <v/>
      </c>
    </row>
    <row r="1174" customFormat="false" ht="14.25" hidden="false" customHeight="true" outlineLevel="0" collapsed="false">
      <c r="E1174" s="17"/>
      <c r="H1174" s="17" t="str">
        <f aca="false">IF(TRIM(C1174)="","",IFERROR(INDEX('Code Aliases'!$B:$B,MATCH(TRIM(C1174),'Code Aliases'!$A:$A,0)),TRIM(C1174)))</f>
        <v/>
      </c>
      <c r="I1174" s="17" t="str">
        <f aca="false">IF(TRIM(B1174)="","",UPPER(TRIM(B1174)))</f>
        <v/>
      </c>
      <c r="J1174" s="17" t="str">
        <f aca="false">IF(H1174="","",IF(COUNTIF('Master Stock'!$A$5:$A$206,H1174)&gt;0,"Yes","Not on stock sheet"))</f>
        <v/>
      </c>
    </row>
    <row r="1175" customFormat="false" ht="14.25" hidden="false" customHeight="true" outlineLevel="0" collapsed="false">
      <c r="E1175" s="17"/>
      <c r="H1175" s="17" t="str">
        <f aca="false">IF(TRIM(C1175)="","",IFERROR(INDEX('Code Aliases'!$B:$B,MATCH(TRIM(C1175),'Code Aliases'!$A:$A,0)),TRIM(C1175)))</f>
        <v/>
      </c>
      <c r="I1175" s="17" t="str">
        <f aca="false">IF(TRIM(B1175)="","",UPPER(TRIM(B1175)))</f>
        <v/>
      </c>
      <c r="J1175" s="17" t="str">
        <f aca="false">IF(H1175="","",IF(COUNTIF('Master Stock'!$A$5:$A$206,H1175)&gt;0,"Yes","Not on stock sheet"))</f>
        <v/>
      </c>
    </row>
    <row r="1176" customFormat="false" ht="14.25" hidden="false" customHeight="true" outlineLevel="0" collapsed="false">
      <c r="E1176" s="17"/>
      <c r="H1176" s="17" t="str">
        <f aca="false">IF(TRIM(C1176)="","",IFERROR(INDEX('Code Aliases'!$B:$B,MATCH(TRIM(C1176),'Code Aliases'!$A:$A,0)),TRIM(C1176)))</f>
        <v/>
      </c>
      <c r="I1176" s="17" t="str">
        <f aca="false">IF(TRIM(B1176)="","",UPPER(TRIM(B1176)))</f>
        <v/>
      </c>
      <c r="J1176" s="17" t="str">
        <f aca="false">IF(H1176="","",IF(COUNTIF('Master Stock'!$A$5:$A$206,H1176)&gt;0,"Yes","Not on stock sheet"))</f>
        <v/>
      </c>
    </row>
    <row r="1177" customFormat="false" ht="14.25" hidden="false" customHeight="true" outlineLevel="0" collapsed="false">
      <c r="E1177" s="17"/>
      <c r="H1177" s="17" t="str">
        <f aca="false">IF(TRIM(C1177)="","",IFERROR(INDEX('Code Aliases'!$B:$B,MATCH(TRIM(C1177),'Code Aliases'!$A:$A,0)),TRIM(C1177)))</f>
        <v/>
      </c>
      <c r="I1177" s="17" t="str">
        <f aca="false">IF(TRIM(B1177)="","",UPPER(TRIM(B1177)))</f>
        <v/>
      </c>
      <c r="J1177" s="17" t="str">
        <f aca="false">IF(H1177="","",IF(COUNTIF('Master Stock'!$A$5:$A$206,H1177)&gt;0,"Yes","Not on stock sheet"))</f>
        <v/>
      </c>
    </row>
    <row r="1178" customFormat="false" ht="14.25" hidden="false" customHeight="true" outlineLevel="0" collapsed="false">
      <c r="E1178" s="17"/>
      <c r="H1178" s="17" t="str">
        <f aca="false">IF(TRIM(C1178)="","",IFERROR(INDEX('Code Aliases'!$B:$B,MATCH(TRIM(C1178),'Code Aliases'!$A:$A,0)),TRIM(C1178)))</f>
        <v/>
      </c>
      <c r="I1178" s="17" t="str">
        <f aca="false">IF(TRIM(B1178)="","",UPPER(TRIM(B1178)))</f>
        <v/>
      </c>
      <c r="J1178" s="17" t="str">
        <f aca="false">IF(H1178="","",IF(COUNTIF('Master Stock'!$A$5:$A$206,H1178)&gt;0,"Yes","Not on stock sheet"))</f>
        <v/>
      </c>
    </row>
    <row r="1179" customFormat="false" ht="14.25" hidden="false" customHeight="true" outlineLevel="0" collapsed="false">
      <c r="E1179" s="17"/>
      <c r="H1179" s="17" t="str">
        <f aca="false">IF(TRIM(C1179)="","",IFERROR(INDEX('Code Aliases'!$B:$B,MATCH(TRIM(C1179),'Code Aliases'!$A:$A,0)),TRIM(C1179)))</f>
        <v/>
      </c>
      <c r="I1179" s="17" t="str">
        <f aca="false">IF(TRIM(B1179)="","",UPPER(TRIM(B1179)))</f>
        <v/>
      </c>
      <c r="J1179" s="17" t="str">
        <f aca="false">IF(H1179="","",IF(COUNTIF('Master Stock'!$A$5:$A$206,H1179)&gt;0,"Yes","Not on stock sheet"))</f>
        <v/>
      </c>
    </row>
    <row r="1180" customFormat="false" ht="14.25" hidden="false" customHeight="true" outlineLevel="0" collapsed="false">
      <c r="E1180" s="17"/>
      <c r="H1180" s="17" t="str">
        <f aca="false">IF(TRIM(C1180)="","",IFERROR(INDEX('Code Aliases'!$B:$B,MATCH(TRIM(C1180),'Code Aliases'!$A:$A,0)),TRIM(C1180)))</f>
        <v/>
      </c>
      <c r="I1180" s="17" t="str">
        <f aca="false">IF(TRIM(B1180)="","",UPPER(TRIM(B1180)))</f>
        <v/>
      </c>
      <c r="J1180" s="17" t="str">
        <f aca="false">IF(H1180="","",IF(COUNTIF('Master Stock'!$A$5:$A$206,H1180)&gt;0,"Yes","Not on stock sheet"))</f>
        <v/>
      </c>
    </row>
    <row r="1181" customFormat="false" ht="14.25" hidden="false" customHeight="true" outlineLevel="0" collapsed="false">
      <c r="E1181" s="17"/>
      <c r="H1181" s="17" t="str">
        <f aca="false">IF(TRIM(C1181)="","",IFERROR(INDEX('Code Aliases'!$B:$B,MATCH(TRIM(C1181),'Code Aliases'!$A:$A,0)),TRIM(C1181)))</f>
        <v/>
      </c>
      <c r="I1181" s="17" t="str">
        <f aca="false">IF(TRIM(B1181)="","",UPPER(TRIM(B1181)))</f>
        <v/>
      </c>
      <c r="J1181" s="17" t="str">
        <f aca="false">IF(H1181="","",IF(COUNTIF('Master Stock'!$A$5:$A$206,H1181)&gt;0,"Yes","Not on stock sheet"))</f>
        <v/>
      </c>
    </row>
    <row r="1182" customFormat="false" ht="14.25" hidden="false" customHeight="true" outlineLevel="0" collapsed="false">
      <c r="E1182" s="17"/>
      <c r="H1182" s="17" t="str">
        <f aca="false">IF(TRIM(C1182)="","",IFERROR(INDEX('Code Aliases'!$B:$B,MATCH(TRIM(C1182),'Code Aliases'!$A:$A,0)),TRIM(C1182)))</f>
        <v/>
      </c>
      <c r="I1182" s="17" t="str">
        <f aca="false">IF(TRIM(B1182)="","",UPPER(TRIM(B1182)))</f>
        <v/>
      </c>
      <c r="J1182" s="17" t="str">
        <f aca="false">IF(H1182="","",IF(COUNTIF('Master Stock'!$A$5:$A$206,H1182)&gt;0,"Yes","Not on stock sheet"))</f>
        <v/>
      </c>
    </row>
    <row r="1183" customFormat="false" ht="14.25" hidden="false" customHeight="true" outlineLevel="0" collapsed="false">
      <c r="E1183" s="17"/>
      <c r="H1183" s="17" t="str">
        <f aca="false">IF(TRIM(C1183)="","",IFERROR(INDEX('Code Aliases'!$B:$B,MATCH(TRIM(C1183),'Code Aliases'!$A:$A,0)),TRIM(C1183)))</f>
        <v/>
      </c>
      <c r="I1183" s="17" t="str">
        <f aca="false">IF(TRIM(B1183)="","",UPPER(TRIM(B1183)))</f>
        <v/>
      </c>
      <c r="J1183" s="17" t="str">
        <f aca="false">IF(H1183="","",IF(COUNTIF('Master Stock'!$A$5:$A$206,H1183)&gt;0,"Yes","Not on stock sheet"))</f>
        <v/>
      </c>
    </row>
    <row r="1184" customFormat="false" ht="14.25" hidden="false" customHeight="true" outlineLevel="0" collapsed="false">
      <c r="E1184" s="17"/>
      <c r="H1184" s="17" t="str">
        <f aca="false">IF(TRIM(C1184)="","",IFERROR(INDEX('Code Aliases'!$B:$B,MATCH(TRIM(C1184),'Code Aliases'!$A:$A,0)),TRIM(C1184)))</f>
        <v/>
      </c>
      <c r="I1184" s="17" t="str">
        <f aca="false">IF(TRIM(B1184)="","",UPPER(TRIM(B1184)))</f>
        <v/>
      </c>
      <c r="J1184" s="17" t="str">
        <f aca="false">IF(H1184="","",IF(COUNTIF('Master Stock'!$A$5:$A$206,H1184)&gt;0,"Yes","Not on stock sheet"))</f>
        <v/>
      </c>
    </row>
    <row r="1185" customFormat="false" ht="14.25" hidden="false" customHeight="true" outlineLevel="0" collapsed="false">
      <c r="E1185" s="17"/>
      <c r="H1185" s="17" t="str">
        <f aca="false">IF(TRIM(C1185)="","",IFERROR(INDEX('Code Aliases'!$B:$B,MATCH(TRIM(C1185),'Code Aliases'!$A:$A,0)),TRIM(C1185)))</f>
        <v/>
      </c>
      <c r="I1185" s="17" t="str">
        <f aca="false">IF(TRIM(B1185)="","",UPPER(TRIM(B1185)))</f>
        <v/>
      </c>
      <c r="J1185" s="17" t="str">
        <f aca="false">IF(H1185="","",IF(COUNTIF('Master Stock'!$A$5:$A$206,H1185)&gt;0,"Yes","Not on stock sheet"))</f>
        <v/>
      </c>
    </row>
    <row r="1186" customFormat="false" ht="14.25" hidden="false" customHeight="true" outlineLevel="0" collapsed="false">
      <c r="E1186" s="17"/>
      <c r="H1186" s="17" t="str">
        <f aca="false">IF(TRIM(C1186)="","",IFERROR(INDEX('Code Aliases'!$B:$B,MATCH(TRIM(C1186),'Code Aliases'!$A:$A,0)),TRIM(C1186)))</f>
        <v/>
      </c>
      <c r="I1186" s="17" t="str">
        <f aca="false">IF(TRIM(B1186)="","",UPPER(TRIM(B1186)))</f>
        <v/>
      </c>
      <c r="J1186" s="17" t="str">
        <f aca="false">IF(H1186="","",IF(COUNTIF('Master Stock'!$A$5:$A$206,H1186)&gt;0,"Yes","Not on stock sheet"))</f>
        <v/>
      </c>
    </row>
    <row r="1187" customFormat="false" ht="14.25" hidden="false" customHeight="true" outlineLevel="0" collapsed="false">
      <c r="E1187" s="17"/>
      <c r="H1187" s="17" t="str">
        <f aca="false">IF(TRIM(C1187)="","",IFERROR(INDEX('Code Aliases'!$B:$B,MATCH(TRIM(C1187),'Code Aliases'!$A:$A,0)),TRIM(C1187)))</f>
        <v/>
      </c>
      <c r="I1187" s="17" t="str">
        <f aca="false">IF(TRIM(B1187)="","",UPPER(TRIM(B1187)))</f>
        <v/>
      </c>
      <c r="J1187" s="17" t="str">
        <f aca="false">IF(H1187="","",IF(COUNTIF('Master Stock'!$A$5:$A$206,H1187)&gt;0,"Yes","Not on stock sheet"))</f>
        <v/>
      </c>
    </row>
    <row r="1188" customFormat="false" ht="14.25" hidden="false" customHeight="true" outlineLevel="0" collapsed="false">
      <c r="E1188" s="17"/>
      <c r="H1188" s="17" t="str">
        <f aca="false">IF(TRIM(C1188)="","",IFERROR(INDEX('Code Aliases'!$B:$B,MATCH(TRIM(C1188),'Code Aliases'!$A:$A,0)),TRIM(C1188)))</f>
        <v/>
      </c>
      <c r="I1188" s="17" t="str">
        <f aca="false">IF(TRIM(B1188)="","",UPPER(TRIM(B1188)))</f>
        <v/>
      </c>
      <c r="J1188" s="17" t="str">
        <f aca="false">IF(H1188="","",IF(COUNTIF('Master Stock'!$A$5:$A$206,H1188)&gt;0,"Yes","Not on stock sheet"))</f>
        <v/>
      </c>
    </row>
    <row r="1189" customFormat="false" ht="14.25" hidden="false" customHeight="true" outlineLevel="0" collapsed="false">
      <c r="E1189" s="17"/>
      <c r="H1189" s="17" t="str">
        <f aca="false">IF(TRIM(C1189)="","",IFERROR(INDEX('Code Aliases'!$B:$B,MATCH(TRIM(C1189),'Code Aliases'!$A:$A,0)),TRIM(C1189)))</f>
        <v/>
      </c>
      <c r="I1189" s="17" t="str">
        <f aca="false">IF(TRIM(B1189)="","",UPPER(TRIM(B1189)))</f>
        <v/>
      </c>
      <c r="J1189" s="17" t="str">
        <f aca="false">IF(H1189="","",IF(COUNTIF('Master Stock'!$A$5:$A$206,H1189)&gt;0,"Yes","Not on stock sheet"))</f>
        <v/>
      </c>
    </row>
    <row r="1190" customFormat="false" ht="14.25" hidden="false" customHeight="true" outlineLevel="0" collapsed="false">
      <c r="E1190" s="17"/>
      <c r="H1190" s="17" t="str">
        <f aca="false">IF(TRIM(C1190)="","",IFERROR(INDEX('Code Aliases'!$B:$B,MATCH(TRIM(C1190),'Code Aliases'!$A:$A,0)),TRIM(C1190)))</f>
        <v/>
      </c>
      <c r="I1190" s="17" t="str">
        <f aca="false">IF(TRIM(B1190)="","",UPPER(TRIM(B1190)))</f>
        <v/>
      </c>
      <c r="J1190" s="17" t="str">
        <f aca="false">IF(H1190="","",IF(COUNTIF('Master Stock'!$A$5:$A$206,H1190)&gt;0,"Yes","Not on stock sheet"))</f>
        <v/>
      </c>
    </row>
    <row r="1191" customFormat="false" ht="14.25" hidden="false" customHeight="true" outlineLevel="0" collapsed="false">
      <c r="E1191" s="17"/>
      <c r="H1191" s="17" t="str">
        <f aca="false">IF(TRIM(C1191)="","",IFERROR(INDEX('Code Aliases'!$B:$B,MATCH(TRIM(C1191),'Code Aliases'!$A:$A,0)),TRIM(C1191)))</f>
        <v/>
      </c>
      <c r="I1191" s="17" t="str">
        <f aca="false">IF(TRIM(B1191)="","",UPPER(TRIM(B1191)))</f>
        <v/>
      </c>
      <c r="J1191" s="17" t="str">
        <f aca="false">IF(H1191="","",IF(COUNTIF('Master Stock'!$A$5:$A$206,H1191)&gt;0,"Yes","Not on stock sheet"))</f>
        <v/>
      </c>
    </row>
    <row r="1192" customFormat="false" ht="14.25" hidden="false" customHeight="true" outlineLevel="0" collapsed="false">
      <c r="E1192" s="17"/>
      <c r="H1192" s="17" t="str">
        <f aca="false">IF(TRIM(C1192)="","",IFERROR(INDEX('Code Aliases'!$B:$B,MATCH(TRIM(C1192),'Code Aliases'!$A:$A,0)),TRIM(C1192)))</f>
        <v/>
      </c>
      <c r="I1192" s="17" t="str">
        <f aca="false">IF(TRIM(B1192)="","",UPPER(TRIM(B1192)))</f>
        <v/>
      </c>
      <c r="J1192" s="17" t="str">
        <f aca="false">IF(H1192="","",IF(COUNTIF('Master Stock'!$A$5:$A$206,H1192)&gt;0,"Yes","Not on stock sheet"))</f>
        <v/>
      </c>
    </row>
    <row r="1193" customFormat="false" ht="14.25" hidden="false" customHeight="true" outlineLevel="0" collapsed="false">
      <c r="E1193" s="17"/>
      <c r="H1193" s="17" t="str">
        <f aca="false">IF(TRIM(C1193)="","",IFERROR(INDEX('Code Aliases'!$B:$B,MATCH(TRIM(C1193),'Code Aliases'!$A:$A,0)),TRIM(C1193)))</f>
        <v/>
      </c>
      <c r="I1193" s="17" t="str">
        <f aca="false">IF(TRIM(B1193)="","",UPPER(TRIM(B1193)))</f>
        <v/>
      </c>
      <c r="J1193" s="17" t="str">
        <f aca="false">IF(H1193="","",IF(COUNTIF('Master Stock'!$A$5:$A$206,H1193)&gt;0,"Yes","Not on stock sheet"))</f>
        <v/>
      </c>
    </row>
    <row r="1194" customFormat="false" ht="14.25" hidden="false" customHeight="true" outlineLevel="0" collapsed="false">
      <c r="E1194" s="17"/>
      <c r="H1194" s="17" t="str">
        <f aca="false">IF(TRIM(C1194)="","",IFERROR(INDEX('Code Aliases'!$B:$B,MATCH(TRIM(C1194),'Code Aliases'!$A:$A,0)),TRIM(C1194)))</f>
        <v/>
      </c>
      <c r="I1194" s="17" t="str">
        <f aca="false">IF(TRIM(B1194)="","",UPPER(TRIM(B1194)))</f>
        <v/>
      </c>
      <c r="J1194" s="17" t="str">
        <f aca="false">IF(H1194="","",IF(COUNTIF('Master Stock'!$A$5:$A$206,H1194)&gt;0,"Yes","Not on stock sheet"))</f>
        <v/>
      </c>
    </row>
    <row r="1195" customFormat="false" ht="14.25" hidden="false" customHeight="true" outlineLevel="0" collapsed="false">
      <c r="E1195" s="17"/>
      <c r="H1195" s="17" t="str">
        <f aca="false">IF(TRIM(C1195)="","",IFERROR(INDEX('Code Aliases'!$B:$B,MATCH(TRIM(C1195),'Code Aliases'!$A:$A,0)),TRIM(C1195)))</f>
        <v/>
      </c>
      <c r="I1195" s="17" t="str">
        <f aca="false">IF(TRIM(B1195)="","",UPPER(TRIM(B1195)))</f>
        <v/>
      </c>
      <c r="J1195" s="17" t="str">
        <f aca="false">IF(H1195="","",IF(COUNTIF('Master Stock'!$A$5:$A$206,H1195)&gt;0,"Yes","Not on stock sheet"))</f>
        <v/>
      </c>
    </row>
    <row r="1196" customFormat="false" ht="14.25" hidden="false" customHeight="true" outlineLevel="0" collapsed="false">
      <c r="E1196" s="17"/>
      <c r="H1196" s="17" t="str">
        <f aca="false">IF(TRIM(C1196)="","",IFERROR(INDEX('Code Aliases'!$B:$B,MATCH(TRIM(C1196),'Code Aliases'!$A:$A,0)),TRIM(C1196)))</f>
        <v/>
      </c>
      <c r="I1196" s="17" t="str">
        <f aca="false">IF(TRIM(B1196)="","",UPPER(TRIM(B1196)))</f>
        <v/>
      </c>
      <c r="J1196" s="17" t="str">
        <f aca="false">IF(H1196="","",IF(COUNTIF('Master Stock'!$A$5:$A$206,H1196)&gt;0,"Yes","Not on stock sheet"))</f>
        <v/>
      </c>
    </row>
    <row r="1197" customFormat="false" ht="14.25" hidden="false" customHeight="true" outlineLevel="0" collapsed="false">
      <c r="E1197" s="17"/>
      <c r="H1197" s="17" t="str">
        <f aca="false">IF(TRIM(C1197)="","",IFERROR(INDEX('Code Aliases'!$B:$B,MATCH(TRIM(C1197),'Code Aliases'!$A:$A,0)),TRIM(C1197)))</f>
        <v/>
      </c>
      <c r="I1197" s="17" t="str">
        <f aca="false">IF(TRIM(B1197)="","",UPPER(TRIM(B1197)))</f>
        <v/>
      </c>
      <c r="J1197" s="17" t="str">
        <f aca="false">IF(H1197="","",IF(COUNTIF('Master Stock'!$A$5:$A$206,H1197)&gt;0,"Yes","Not on stock sheet"))</f>
        <v/>
      </c>
    </row>
    <row r="1198" customFormat="false" ht="14.25" hidden="false" customHeight="true" outlineLevel="0" collapsed="false">
      <c r="E1198" s="17"/>
      <c r="H1198" s="17" t="str">
        <f aca="false">IF(TRIM(C1198)="","",IFERROR(INDEX('Code Aliases'!$B:$B,MATCH(TRIM(C1198),'Code Aliases'!$A:$A,0)),TRIM(C1198)))</f>
        <v/>
      </c>
      <c r="I1198" s="17" t="str">
        <f aca="false">IF(TRIM(B1198)="","",UPPER(TRIM(B1198)))</f>
        <v/>
      </c>
      <c r="J1198" s="17" t="str">
        <f aca="false">IF(H1198="","",IF(COUNTIF('Master Stock'!$A$5:$A$206,H1198)&gt;0,"Yes","Not on stock sheet"))</f>
        <v/>
      </c>
    </row>
    <row r="1199" customFormat="false" ht="14.25" hidden="false" customHeight="true" outlineLevel="0" collapsed="false">
      <c r="E1199" s="17"/>
      <c r="H1199" s="17" t="str">
        <f aca="false">IF(TRIM(C1199)="","",IFERROR(INDEX('Code Aliases'!$B:$B,MATCH(TRIM(C1199),'Code Aliases'!$A:$A,0)),TRIM(C1199)))</f>
        <v/>
      </c>
      <c r="I1199" s="17" t="str">
        <f aca="false">IF(TRIM(B1199)="","",UPPER(TRIM(B1199)))</f>
        <v/>
      </c>
      <c r="J1199" s="17" t="str">
        <f aca="false">IF(H1199="","",IF(COUNTIF('Master Stock'!$A$5:$A$206,H1199)&gt;0,"Yes","Not on stock sheet"))</f>
        <v/>
      </c>
    </row>
    <row r="1200" customFormat="false" ht="14.25" hidden="false" customHeight="true" outlineLevel="0" collapsed="false">
      <c r="E1200" s="17"/>
      <c r="H1200" s="17" t="str">
        <f aca="false">IF(TRIM(C1200)="","",IFERROR(INDEX('Code Aliases'!$B:$B,MATCH(TRIM(C1200),'Code Aliases'!$A:$A,0)),TRIM(C1200)))</f>
        <v/>
      </c>
      <c r="I1200" s="17" t="str">
        <f aca="false">IF(TRIM(B1200)="","",UPPER(TRIM(B1200)))</f>
        <v/>
      </c>
      <c r="J1200" s="17" t="str">
        <f aca="false">IF(H1200="","",IF(COUNTIF('Master Stock'!$A$5:$A$206,H1200)&gt;0,"Yes","Not on stock sheet"))</f>
        <v/>
      </c>
    </row>
    <row r="1201" customFormat="false" ht="14.25" hidden="false" customHeight="true" outlineLevel="0" collapsed="false">
      <c r="E1201" s="17"/>
      <c r="H1201" s="17" t="str">
        <f aca="false">IF(TRIM(C1201)="","",IFERROR(INDEX('Code Aliases'!$B:$B,MATCH(TRIM(C1201),'Code Aliases'!$A:$A,0)),TRIM(C1201)))</f>
        <v/>
      </c>
      <c r="I1201" s="17" t="str">
        <f aca="false">IF(TRIM(B1201)="","",UPPER(TRIM(B1201)))</f>
        <v/>
      </c>
      <c r="J1201" s="17" t="str">
        <f aca="false">IF(H1201="","",IF(COUNTIF('Master Stock'!$A$5:$A$206,H1201)&gt;0,"Yes","Not on stock sheet"))</f>
        <v/>
      </c>
    </row>
    <row r="1202" customFormat="false" ht="14.25" hidden="false" customHeight="true" outlineLevel="0" collapsed="false">
      <c r="E1202" s="17"/>
      <c r="H1202" s="17" t="str">
        <f aca="false">IF(TRIM(C1202)="","",IFERROR(INDEX('Code Aliases'!$B:$B,MATCH(TRIM(C1202),'Code Aliases'!$A:$A,0)),TRIM(C1202)))</f>
        <v/>
      </c>
      <c r="I1202" s="17" t="str">
        <f aca="false">IF(TRIM(B1202)="","",UPPER(TRIM(B1202)))</f>
        <v/>
      </c>
      <c r="J1202" s="17" t="str">
        <f aca="false">IF(H1202="","",IF(COUNTIF('Master Stock'!$A$5:$A$206,H1202)&gt;0,"Yes","Not on stock sheet"))</f>
        <v/>
      </c>
    </row>
    <row r="1203" customFormat="false" ht="14.25" hidden="false" customHeight="true" outlineLevel="0" collapsed="false">
      <c r="E1203" s="17"/>
      <c r="H1203" s="17" t="str">
        <f aca="false">IF(TRIM(C1203)="","",IFERROR(INDEX('Code Aliases'!$B:$B,MATCH(TRIM(C1203),'Code Aliases'!$A:$A,0)),TRIM(C1203)))</f>
        <v/>
      </c>
      <c r="I1203" s="17" t="str">
        <f aca="false">IF(TRIM(B1203)="","",UPPER(TRIM(B1203)))</f>
        <v/>
      </c>
      <c r="J1203" s="17" t="str">
        <f aca="false">IF(H1203="","",IF(COUNTIF('Master Stock'!$A$5:$A$206,H1203)&gt;0,"Yes","Not on stock sheet"))</f>
        <v/>
      </c>
    </row>
    <row r="1204" customFormat="false" ht="14.25" hidden="false" customHeight="true" outlineLevel="0" collapsed="false">
      <c r="E1204" s="17"/>
      <c r="H1204" s="17" t="str">
        <f aca="false">IF(TRIM(C1204)="","",IFERROR(INDEX('Code Aliases'!$B:$B,MATCH(TRIM(C1204),'Code Aliases'!$A:$A,0)),TRIM(C1204)))</f>
        <v/>
      </c>
      <c r="I1204" s="17" t="str">
        <f aca="false">IF(TRIM(B1204)="","",UPPER(TRIM(B1204)))</f>
        <v/>
      </c>
      <c r="J1204" s="17" t="str">
        <f aca="false">IF(H1204="","",IF(COUNTIF('Master Stock'!$A$5:$A$206,H1204)&gt;0,"Yes","Not on stock sheet"))</f>
        <v/>
      </c>
    </row>
    <row r="1205" customFormat="false" ht="14.25" hidden="false" customHeight="true" outlineLevel="0" collapsed="false">
      <c r="E1205" s="17"/>
      <c r="H1205" s="17" t="str">
        <f aca="false">IF(TRIM(C1205)="","",IFERROR(INDEX('Code Aliases'!$B:$B,MATCH(TRIM(C1205),'Code Aliases'!$A:$A,0)),TRIM(C1205)))</f>
        <v/>
      </c>
      <c r="I1205" s="17" t="str">
        <f aca="false">IF(TRIM(B1205)="","",UPPER(TRIM(B1205)))</f>
        <v/>
      </c>
      <c r="J1205" s="17" t="str">
        <f aca="false">IF(H1205="","",IF(COUNTIF('Master Stock'!$A$5:$A$206,H1205)&gt;0,"Yes","Not on stock sheet"))</f>
        <v/>
      </c>
    </row>
    <row r="1206" customFormat="false" ht="14.25" hidden="false" customHeight="true" outlineLevel="0" collapsed="false">
      <c r="E1206" s="17"/>
      <c r="H1206" s="17" t="str">
        <f aca="false">IF(TRIM(C1206)="","",IFERROR(INDEX('Code Aliases'!$B:$B,MATCH(TRIM(C1206),'Code Aliases'!$A:$A,0)),TRIM(C1206)))</f>
        <v/>
      </c>
      <c r="I1206" s="17" t="str">
        <f aca="false">IF(TRIM(B1206)="","",UPPER(TRIM(B1206)))</f>
        <v/>
      </c>
      <c r="J1206" s="17" t="str">
        <f aca="false">IF(H1206="","",IF(COUNTIF('Master Stock'!$A$5:$A$206,H1206)&gt;0,"Yes","Not on stock sheet"))</f>
        <v/>
      </c>
    </row>
    <row r="1207" customFormat="false" ht="14.25" hidden="false" customHeight="true" outlineLevel="0" collapsed="false">
      <c r="E1207" s="17"/>
      <c r="H1207" s="17" t="str">
        <f aca="false">IF(TRIM(C1207)="","",IFERROR(INDEX('Code Aliases'!$B:$B,MATCH(TRIM(C1207),'Code Aliases'!$A:$A,0)),TRIM(C1207)))</f>
        <v/>
      </c>
      <c r="I1207" s="17" t="str">
        <f aca="false">IF(TRIM(B1207)="","",UPPER(TRIM(B1207)))</f>
        <v/>
      </c>
      <c r="J1207" s="17" t="str">
        <f aca="false">IF(H1207="","",IF(COUNTIF('Master Stock'!$A$5:$A$206,H1207)&gt;0,"Yes","Not on stock sheet"))</f>
        <v/>
      </c>
    </row>
    <row r="1208" customFormat="false" ht="14.25" hidden="false" customHeight="true" outlineLevel="0" collapsed="false">
      <c r="E1208" s="17"/>
      <c r="H1208" s="17" t="str">
        <f aca="false">IF(TRIM(C1208)="","",IFERROR(INDEX('Code Aliases'!$B:$B,MATCH(TRIM(C1208),'Code Aliases'!$A:$A,0)),TRIM(C1208)))</f>
        <v/>
      </c>
      <c r="I1208" s="17" t="str">
        <f aca="false">IF(TRIM(B1208)="","",UPPER(TRIM(B1208)))</f>
        <v/>
      </c>
      <c r="J1208" s="17" t="str">
        <f aca="false">IF(H1208="","",IF(COUNTIF('Master Stock'!$A$5:$A$206,H1208)&gt;0,"Yes","Not on stock sheet"))</f>
        <v/>
      </c>
    </row>
    <row r="1209" customFormat="false" ht="14.25" hidden="false" customHeight="true" outlineLevel="0" collapsed="false">
      <c r="E1209" s="17"/>
      <c r="H1209" s="17" t="str">
        <f aca="false">IF(TRIM(C1209)="","",IFERROR(INDEX('Code Aliases'!$B:$B,MATCH(TRIM(C1209),'Code Aliases'!$A:$A,0)),TRIM(C1209)))</f>
        <v/>
      </c>
      <c r="I1209" s="17" t="str">
        <f aca="false">IF(TRIM(B1209)="","",UPPER(TRIM(B1209)))</f>
        <v/>
      </c>
      <c r="J1209" s="17" t="str">
        <f aca="false">IF(H1209="","",IF(COUNTIF('Master Stock'!$A$5:$A$206,H1209)&gt;0,"Yes","Not on stock sheet"))</f>
        <v/>
      </c>
    </row>
    <row r="1210" customFormat="false" ht="14.25" hidden="false" customHeight="true" outlineLevel="0" collapsed="false">
      <c r="E1210" s="17"/>
      <c r="H1210" s="17" t="str">
        <f aca="false">IF(TRIM(C1210)="","",IFERROR(INDEX('Code Aliases'!$B:$B,MATCH(TRIM(C1210),'Code Aliases'!$A:$A,0)),TRIM(C1210)))</f>
        <v/>
      </c>
      <c r="I1210" s="17" t="str">
        <f aca="false">IF(TRIM(B1210)="","",UPPER(TRIM(B1210)))</f>
        <v/>
      </c>
      <c r="J1210" s="17" t="str">
        <f aca="false">IF(H1210="","",IF(COUNTIF('Master Stock'!$A$5:$A$206,H1210)&gt;0,"Yes","Not on stock sheet"))</f>
        <v/>
      </c>
    </row>
    <row r="1211" customFormat="false" ht="14.25" hidden="false" customHeight="true" outlineLevel="0" collapsed="false">
      <c r="E1211" s="17"/>
      <c r="H1211" s="17" t="str">
        <f aca="false">IF(TRIM(C1211)="","",IFERROR(INDEX('Code Aliases'!$B:$B,MATCH(TRIM(C1211),'Code Aliases'!$A:$A,0)),TRIM(C1211)))</f>
        <v/>
      </c>
      <c r="I1211" s="17" t="str">
        <f aca="false">IF(TRIM(B1211)="","",UPPER(TRIM(B1211)))</f>
        <v/>
      </c>
      <c r="J1211" s="17" t="str">
        <f aca="false">IF(H1211="","",IF(COUNTIF('Master Stock'!$A$5:$A$206,H1211)&gt;0,"Yes","Not on stock sheet"))</f>
        <v/>
      </c>
    </row>
    <row r="1212" customFormat="false" ht="14.25" hidden="false" customHeight="true" outlineLevel="0" collapsed="false">
      <c r="E1212" s="17"/>
      <c r="H1212" s="17" t="str">
        <f aca="false">IF(TRIM(C1212)="","",IFERROR(INDEX('Code Aliases'!$B:$B,MATCH(TRIM(C1212),'Code Aliases'!$A:$A,0)),TRIM(C1212)))</f>
        <v/>
      </c>
      <c r="I1212" s="17" t="str">
        <f aca="false">IF(TRIM(B1212)="","",UPPER(TRIM(B1212)))</f>
        <v/>
      </c>
      <c r="J1212" s="17" t="str">
        <f aca="false">IF(H1212="","",IF(COUNTIF('Master Stock'!$A$5:$A$206,H1212)&gt;0,"Yes","Not on stock sheet"))</f>
        <v/>
      </c>
    </row>
    <row r="1213" customFormat="false" ht="14.25" hidden="false" customHeight="true" outlineLevel="0" collapsed="false">
      <c r="E1213" s="17"/>
      <c r="H1213" s="17" t="str">
        <f aca="false">IF(TRIM(C1213)="","",IFERROR(INDEX('Code Aliases'!$B:$B,MATCH(TRIM(C1213),'Code Aliases'!$A:$A,0)),TRIM(C1213)))</f>
        <v/>
      </c>
      <c r="I1213" s="17" t="str">
        <f aca="false">IF(TRIM(B1213)="","",UPPER(TRIM(B1213)))</f>
        <v/>
      </c>
      <c r="J1213" s="17" t="str">
        <f aca="false">IF(H1213="","",IF(COUNTIF('Master Stock'!$A$5:$A$206,H1213)&gt;0,"Yes","Not on stock sheet"))</f>
        <v/>
      </c>
    </row>
    <row r="1214" customFormat="false" ht="14.25" hidden="false" customHeight="true" outlineLevel="0" collapsed="false">
      <c r="E1214" s="17"/>
      <c r="H1214" s="17" t="str">
        <f aca="false">IF(TRIM(C1214)="","",IFERROR(INDEX('Code Aliases'!$B:$B,MATCH(TRIM(C1214),'Code Aliases'!$A:$A,0)),TRIM(C1214)))</f>
        <v/>
      </c>
      <c r="I1214" s="17" t="str">
        <f aca="false">IF(TRIM(B1214)="","",UPPER(TRIM(B1214)))</f>
        <v/>
      </c>
      <c r="J1214" s="17" t="str">
        <f aca="false">IF(H1214="","",IF(COUNTIF('Master Stock'!$A$5:$A$206,H1214)&gt;0,"Yes","Not on stock sheet"))</f>
        <v/>
      </c>
    </row>
    <row r="1215" customFormat="false" ht="14.25" hidden="false" customHeight="true" outlineLevel="0" collapsed="false">
      <c r="E1215" s="17"/>
      <c r="H1215" s="17" t="str">
        <f aca="false">IF(TRIM(C1215)="","",IFERROR(INDEX('Code Aliases'!$B:$B,MATCH(TRIM(C1215),'Code Aliases'!$A:$A,0)),TRIM(C1215)))</f>
        <v/>
      </c>
      <c r="I1215" s="17" t="str">
        <f aca="false">IF(TRIM(B1215)="","",UPPER(TRIM(B1215)))</f>
        <v/>
      </c>
      <c r="J1215" s="17" t="str">
        <f aca="false">IF(H1215="","",IF(COUNTIF('Master Stock'!$A$5:$A$206,H1215)&gt;0,"Yes","Not on stock sheet"))</f>
        <v/>
      </c>
    </row>
    <row r="1216" customFormat="false" ht="14.25" hidden="false" customHeight="true" outlineLevel="0" collapsed="false">
      <c r="E1216" s="17"/>
      <c r="H1216" s="17" t="str">
        <f aca="false">IF(TRIM(C1216)="","",IFERROR(INDEX('Code Aliases'!$B:$B,MATCH(TRIM(C1216),'Code Aliases'!$A:$A,0)),TRIM(C1216)))</f>
        <v/>
      </c>
      <c r="I1216" s="17" t="str">
        <f aca="false">IF(TRIM(B1216)="","",UPPER(TRIM(B1216)))</f>
        <v/>
      </c>
      <c r="J1216" s="17" t="str">
        <f aca="false">IF(H1216="","",IF(COUNTIF('Master Stock'!$A$5:$A$206,H1216)&gt;0,"Yes","Not on stock sheet"))</f>
        <v/>
      </c>
    </row>
    <row r="1217" customFormat="false" ht="14.25" hidden="false" customHeight="true" outlineLevel="0" collapsed="false">
      <c r="E1217" s="17"/>
      <c r="H1217" s="17" t="str">
        <f aca="false">IF(TRIM(C1217)="","",IFERROR(INDEX('Code Aliases'!$B:$B,MATCH(TRIM(C1217),'Code Aliases'!$A:$A,0)),TRIM(C1217)))</f>
        <v/>
      </c>
      <c r="I1217" s="17" t="str">
        <f aca="false">IF(TRIM(B1217)="","",UPPER(TRIM(B1217)))</f>
        <v/>
      </c>
      <c r="J1217" s="17" t="str">
        <f aca="false">IF(H1217="","",IF(COUNTIF('Master Stock'!$A$5:$A$206,H1217)&gt;0,"Yes","Not on stock sheet"))</f>
        <v/>
      </c>
    </row>
    <row r="1218" customFormat="false" ht="14.25" hidden="false" customHeight="true" outlineLevel="0" collapsed="false">
      <c r="E1218" s="17"/>
      <c r="H1218" s="17" t="str">
        <f aca="false">IF(TRIM(C1218)="","",IFERROR(INDEX('Code Aliases'!$B:$B,MATCH(TRIM(C1218),'Code Aliases'!$A:$A,0)),TRIM(C1218)))</f>
        <v/>
      </c>
      <c r="I1218" s="17" t="str">
        <f aca="false">IF(TRIM(B1218)="","",UPPER(TRIM(B1218)))</f>
        <v/>
      </c>
      <c r="J1218" s="17" t="str">
        <f aca="false">IF(H1218="","",IF(COUNTIF('Master Stock'!$A$5:$A$206,H1218)&gt;0,"Yes","Not on stock sheet"))</f>
        <v/>
      </c>
    </row>
    <row r="1219" customFormat="false" ht="14.25" hidden="false" customHeight="true" outlineLevel="0" collapsed="false">
      <c r="E1219" s="17"/>
      <c r="H1219" s="17" t="str">
        <f aca="false">IF(TRIM(C1219)="","",IFERROR(INDEX('Code Aliases'!$B:$B,MATCH(TRIM(C1219),'Code Aliases'!$A:$A,0)),TRIM(C1219)))</f>
        <v/>
      </c>
      <c r="I1219" s="17" t="str">
        <f aca="false">IF(TRIM(B1219)="","",UPPER(TRIM(B1219)))</f>
        <v/>
      </c>
      <c r="J1219" s="17" t="str">
        <f aca="false">IF(H1219="","",IF(COUNTIF('Master Stock'!$A$5:$A$206,H1219)&gt;0,"Yes","Not on stock sheet"))</f>
        <v/>
      </c>
    </row>
    <row r="1220" customFormat="false" ht="14.25" hidden="false" customHeight="true" outlineLevel="0" collapsed="false">
      <c r="E1220" s="17"/>
      <c r="H1220" s="17" t="str">
        <f aca="false">IF(TRIM(C1220)="","",IFERROR(INDEX('Code Aliases'!$B:$B,MATCH(TRIM(C1220),'Code Aliases'!$A:$A,0)),TRIM(C1220)))</f>
        <v/>
      </c>
      <c r="I1220" s="17" t="str">
        <f aca="false">IF(TRIM(B1220)="","",UPPER(TRIM(B1220)))</f>
        <v/>
      </c>
      <c r="J1220" s="17" t="str">
        <f aca="false">IF(H1220="","",IF(COUNTIF('Master Stock'!$A$5:$A$206,H1220)&gt;0,"Yes","Not on stock sheet"))</f>
        <v/>
      </c>
    </row>
    <row r="1221" customFormat="false" ht="14.25" hidden="false" customHeight="true" outlineLevel="0" collapsed="false">
      <c r="E1221" s="17"/>
      <c r="H1221" s="17" t="str">
        <f aca="false">IF(TRIM(C1221)="","",IFERROR(INDEX('Code Aliases'!$B:$B,MATCH(TRIM(C1221),'Code Aliases'!$A:$A,0)),TRIM(C1221)))</f>
        <v/>
      </c>
      <c r="I1221" s="17" t="str">
        <f aca="false">IF(TRIM(B1221)="","",UPPER(TRIM(B1221)))</f>
        <v/>
      </c>
      <c r="J1221" s="17" t="str">
        <f aca="false">IF(H1221="","",IF(COUNTIF('Master Stock'!$A$5:$A$206,H1221)&gt;0,"Yes","Not on stock sheet"))</f>
        <v/>
      </c>
    </row>
    <row r="1222" customFormat="false" ht="14.25" hidden="false" customHeight="true" outlineLevel="0" collapsed="false">
      <c r="E1222" s="17"/>
      <c r="H1222" s="17" t="str">
        <f aca="false">IF(TRIM(C1222)="","",IFERROR(INDEX('Code Aliases'!$B:$B,MATCH(TRIM(C1222),'Code Aliases'!$A:$A,0)),TRIM(C1222)))</f>
        <v/>
      </c>
      <c r="I1222" s="17" t="str">
        <f aca="false">IF(TRIM(B1222)="","",UPPER(TRIM(B1222)))</f>
        <v/>
      </c>
      <c r="J1222" s="17" t="str">
        <f aca="false">IF(H1222="","",IF(COUNTIF('Master Stock'!$A$5:$A$206,H1222)&gt;0,"Yes","Not on stock sheet"))</f>
        <v/>
      </c>
    </row>
    <row r="1223" customFormat="false" ht="14.25" hidden="false" customHeight="true" outlineLevel="0" collapsed="false">
      <c r="E1223" s="17"/>
      <c r="H1223" s="17" t="str">
        <f aca="false">IF(TRIM(C1223)="","",IFERROR(INDEX('Code Aliases'!$B:$B,MATCH(TRIM(C1223),'Code Aliases'!$A:$A,0)),TRIM(C1223)))</f>
        <v/>
      </c>
      <c r="I1223" s="17" t="str">
        <f aca="false">IF(TRIM(B1223)="","",UPPER(TRIM(B1223)))</f>
        <v/>
      </c>
      <c r="J1223" s="17" t="str">
        <f aca="false">IF(H1223="","",IF(COUNTIF('Master Stock'!$A$5:$A$206,H1223)&gt;0,"Yes","Not on stock sheet"))</f>
        <v/>
      </c>
    </row>
    <row r="1224" customFormat="false" ht="14.25" hidden="false" customHeight="true" outlineLevel="0" collapsed="false">
      <c r="E1224" s="17"/>
      <c r="H1224" s="17" t="str">
        <f aca="false">IF(TRIM(C1224)="","",IFERROR(INDEX('Code Aliases'!$B:$B,MATCH(TRIM(C1224),'Code Aliases'!$A:$A,0)),TRIM(C1224)))</f>
        <v/>
      </c>
      <c r="I1224" s="17" t="str">
        <f aca="false">IF(TRIM(B1224)="","",UPPER(TRIM(B1224)))</f>
        <v/>
      </c>
      <c r="J1224" s="17" t="str">
        <f aca="false">IF(H1224="","",IF(COUNTIF('Master Stock'!$A$5:$A$206,H1224)&gt;0,"Yes","Not on stock sheet"))</f>
        <v/>
      </c>
    </row>
    <row r="1225" customFormat="false" ht="14.25" hidden="false" customHeight="true" outlineLevel="0" collapsed="false">
      <c r="E1225" s="17"/>
      <c r="H1225" s="17" t="str">
        <f aca="false">IF(TRIM(C1225)="","",IFERROR(INDEX('Code Aliases'!$B:$B,MATCH(TRIM(C1225),'Code Aliases'!$A:$A,0)),TRIM(C1225)))</f>
        <v/>
      </c>
      <c r="I1225" s="17" t="str">
        <f aca="false">IF(TRIM(B1225)="","",UPPER(TRIM(B1225)))</f>
        <v/>
      </c>
      <c r="J1225" s="17" t="str">
        <f aca="false">IF(H1225="","",IF(COUNTIF('Master Stock'!$A$5:$A$206,H1225)&gt;0,"Yes","Not on stock sheet"))</f>
        <v/>
      </c>
    </row>
    <row r="1226" customFormat="false" ht="14.25" hidden="false" customHeight="true" outlineLevel="0" collapsed="false">
      <c r="E1226" s="17"/>
      <c r="H1226" s="17" t="str">
        <f aca="false">IF(TRIM(C1226)="","",IFERROR(INDEX('Code Aliases'!$B:$B,MATCH(TRIM(C1226),'Code Aliases'!$A:$A,0)),TRIM(C1226)))</f>
        <v/>
      </c>
      <c r="I1226" s="17" t="str">
        <f aca="false">IF(TRIM(B1226)="","",UPPER(TRIM(B1226)))</f>
        <v/>
      </c>
      <c r="J1226" s="17" t="str">
        <f aca="false">IF(H1226="","",IF(COUNTIF('Master Stock'!$A$5:$A$206,H1226)&gt;0,"Yes","Not on stock sheet"))</f>
        <v/>
      </c>
    </row>
    <row r="1227" customFormat="false" ht="14.25" hidden="false" customHeight="true" outlineLevel="0" collapsed="false">
      <c r="E1227" s="17"/>
      <c r="H1227" s="17" t="str">
        <f aca="false">IF(TRIM(C1227)="","",IFERROR(INDEX('Code Aliases'!$B:$B,MATCH(TRIM(C1227),'Code Aliases'!$A:$A,0)),TRIM(C1227)))</f>
        <v/>
      </c>
      <c r="I1227" s="17" t="str">
        <f aca="false">IF(TRIM(B1227)="","",UPPER(TRIM(B1227)))</f>
        <v/>
      </c>
      <c r="J1227" s="17" t="str">
        <f aca="false">IF(H1227="","",IF(COUNTIF('Master Stock'!$A$5:$A$206,H1227)&gt;0,"Yes","Not on stock sheet"))</f>
        <v/>
      </c>
    </row>
    <row r="1228" customFormat="false" ht="14.25" hidden="false" customHeight="true" outlineLevel="0" collapsed="false">
      <c r="E1228" s="17"/>
      <c r="H1228" s="17" t="str">
        <f aca="false">IF(TRIM(C1228)="","",IFERROR(INDEX('Code Aliases'!$B:$B,MATCH(TRIM(C1228),'Code Aliases'!$A:$A,0)),TRIM(C1228)))</f>
        <v/>
      </c>
      <c r="I1228" s="17" t="str">
        <f aca="false">IF(TRIM(B1228)="","",UPPER(TRIM(B1228)))</f>
        <v/>
      </c>
      <c r="J1228" s="17" t="str">
        <f aca="false">IF(H1228="","",IF(COUNTIF('Master Stock'!$A$5:$A$206,H1228)&gt;0,"Yes","Not on stock sheet"))</f>
        <v/>
      </c>
    </row>
    <row r="1229" customFormat="false" ht="14.25" hidden="false" customHeight="true" outlineLevel="0" collapsed="false">
      <c r="E1229" s="17"/>
      <c r="H1229" s="17" t="str">
        <f aca="false">IF(TRIM(C1229)="","",IFERROR(INDEX('Code Aliases'!$B:$B,MATCH(TRIM(C1229),'Code Aliases'!$A:$A,0)),TRIM(C1229)))</f>
        <v/>
      </c>
      <c r="I1229" s="17" t="str">
        <f aca="false">IF(TRIM(B1229)="","",UPPER(TRIM(B1229)))</f>
        <v/>
      </c>
      <c r="J1229" s="17" t="str">
        <f aca="false">IF(H1229="","",IF(COUNTIF('Master Stock'!$A$5:$A$206,H1229)&gt;0,"Yes","Not on stock sheet"))</f>
        <v/>
      </c>
    </row>
    <row r="1230" customFormat="false" ht="14.25" hidden="false" customHeight="true" outlineLevel="0" collapsed="false">
      <c r="E1230" s="17"/>
      <c r="H1230" s="17" t="str">
        <f aca="false">IF(TRIM(C1230)="","",IFERROR(INDEX('Code Aliases'!$B:$B,MATCH(TRIM(C1230),'Code Aliases'!$A:$A,0)),TRIM(C1230)))</f>
        <v/>
      </c>
      <c r="I1230" s="17" t="str">
        <f aca="false">IF(TRIM(B1230)="","",UPPER(TRIM(B1230)))</f>
        <v/>
      </c>
      <c r="J1230" s="17" t="str">
        <f aca="false">IF(H1230="","",IF(COUNTIF('Master Stock'!$A$5:$A$206,H1230)&gt;0,"Yes","Not on stock sheet"))</f>
        <v/>
      </c>
    </row>
    <row r="1231" customFormat="false" ht="14.25" hidden="false" customHeight="true" outlineLevel="0" collapsed="false">
      <c r="E1231" s="17"/>
      <c r="H1231" s="17" t="str">
        <f aca="false">IF(TRIM(C1231)="","",IFERROR(INDEX('Code Aliases'!$B:$B,MATCH(TRIM(C1231),'Code Aliases'!$A:$A,0)),TRIM(C1231)))</f>
        <v/>
      </c>
      <c r="I1231" s="17" t="str">
        <f aca="false">IF(TRIM(B1231)="","",UPPER(TRIM(B1231)))</f>
        <v/>
      </c>
      <c r="J1231" s="17" t="str">
        <f aca="false">IF(H1231="","",IF(COUNTIF('Master Stock'!$A$5:$A$206,H1231)&gt;0,"Yes","Not on stock sheet"))</f>
        <v/>
      </c>
    </row>
    <row r="1232" customFormat="false" ht="14.25" hidden="false" customHeight="true" outlineLevel="0" collapsed="false">
      <c r="E1232" s="17"/>
      <c r="H1232" s="17" t="str">
        <f aca="false">IF(TRIM(C1232)="","",IFERROR(INDEX('Code Aliases'!$B:$B,MATCH(TRIM(C1232),'Code Aliases'!$A:$A,0)),TRIM(C1232)))</f>
        <v/>
      </c>
      <c r="I1232" s="17" t="str">
        <f aca="false">IF(TRIM(B1232)="","",UPPER(TRIM(B1232)))</f>
        <v/>
      </c>
      <c r="J1232" s="17" t="str">
        <f aca="false">IF(H1232="","",IF(COUNTIF('Master Stock'!$A$5:$A$206,H1232)&gt;0,"Yes","Not on stock sheet"))</f>
        <v/>
      </c>
    </row>
    <row r="1233" customFormat="false" ht="14.25" hidden="false" customHeight="true" outlineLevel="0" collapsed="false">
      <c r="E1233" s="17"/>
      <c r="H1233" s="17" t="str">
        <f aca="false">IF(TRIM(C1233)="","",IFERROR(INDEX('Code Aliases'!$B:$B,MATCH(TRIM(C1233),'Code Aliases'!$A:$A,0)),TRIM(C1233)))</f>
        <v/>
      </c>
      <c r="I1233" s="17" t="str">
        <f aca="false">IF(TRIM(B1233)="","",UPPER(TRIM(B1233)))</f>
        <v/>
      </c>
      <c r="J1233" s="17" t="str">
        <f aca="false">IF(H1233="","",IF(COUNTIF('Master Stock'!$A$5:$A$206,H1233)&gt;0,"Yes","Not on stock sheet"))</f>
        <v/>
      </c>
    </row>
    <row r="1234" customFormat="false" ht="14.25" hidden="false" customHeight="true" outlineLevel="0" collapsed="false">
      <c r="E1234" s="17"/>
      <c r="H1234" s="17" t="str">
        <f aca="false">IF(TRIM(C1234)="","",IFERROR(INDEX('Code Aliases'!$B:$B,MATCH(TRIM(C1234),'Code Aliases'!$A:$A,0)),TRIM(C1234)))</f>
        <v/>
      </c>
      <c r="I1234" s="17" t="str">
        <f aca="false">IF(TRIM(B1234)="","",UPPER(TRIM(B1234)))</f>
        <v/>
      </c>
      <c r="J1234" s="17" t="str">
        <f aca="false">IF(H1234="","",IF(COUNTIF('Master Stock'!$A$5:$A$206,H1234)&gt;0,"Yes","Not on stock sheet"))</f>
        <v/>
      </c>
    </row>
    <row r="1235" customFormat="false" ht="14.25" hidden="false" customHeight="true" outlineLevel="0" collapsed="false">
      <c r="E1235" s="17"/>
      <c r="H1235" s="17" t="str">
        <f aca="false">IF(TRIM(C1235)="","",IFERROR(INDEX('Code Aliases'!$B:$B,MATCH(TRIM(C1235),'Code Aliases'!$A:$A,0)),TRIM(C1235)))</f>
        <v/>
      </c>
      <c r="I1235" s="17" t="str">
        <f aca="false">IF(TRIM(B1235)="","",UPPER(TRIM(B1235)))</f>
        <v/>
      </c>
      <c r="J1235" s="17" t="str">
        <f aca="false">IF(H1235="","",IF(COUNTIF('Master Stock'!$A$5:$A$206,H1235)&gt;0,"Yes","Not on stock sheet"))</f>
        <v/>
      </c>
    </row>
    <row r="1236" customFormat="false" ht="14.25" hidden="false" customHeight="true" outlineLevel="0" collapsed="false">
      <c r="E1236" s="17"/>
      <c r="H1236" s="17" t="str">
        <f aca="false">IF(TRIM(C1236)="","",IFERROR(INDEX('Code Aliases'!$B:$B,MATCH(TRIM(C1236),'Code Aliases'!$A:$A,0)),TRIM(C1236)))</f>
        <v/>
      </c>
      <c r="I1236" s="17" t="str">
        <f aca="false">IF(TRIM(B1236)="","",UPPER(TRIM(B1236)))</f>
        <v/>
      </c>
      <c r="J1236" s="17" t="str">
        <f aca="false">IF(H1236="","",IF(COUNTIF('Master Stock'!$A$5:$A$206,H1236)&gt;0,"Yes","Not on stock sheet"))</f>
        <v/>
      </c>
    </row>
    <row r="1237" customFormat="false" ht="14.25" hidden="false" customHeight="true" outlineLevel="0" collapsed="false">
      <c r="E1237" s="17"/>
      <c r="H1237" s="17" t="str">
        <f aca="false">IF(TRIM(C1237)="","",IFERROR(INDEX('Code Aliases'!$B:$B,MATCH(TRIM(C1237),'Code Aliases'!$A:$A,0)),TRIM(C1237)))</f>
        <v/>
      </c>
      <c r="I1237" s="17" t="str">
        <f aca="false">IF(TRIM(B1237)="","",UPPER(TRIM(B1237)))</f>
        <v/>
      </c>
      <c r="J1237" s="17" t="str">
        <f aca="false">IF(H1237="","",IF(COUNTIF('Master Stock'!$A$5:$A$206,H1237)&gt;0,"Yes","Not on stock sheet"))</f>
        <v/>
      </c>
    </row>
    <row r="1238" customFormat="false" ht="14.25" hidden="false" customHeight="true" outlineLevel="0" collapsed="false">
      <c r="E1238" s="17"/>
      <c r="H1238" s="17" t="str">
        <f aca="false">IF(TRIM(C1238)="","",IFERROR(INDEX('Code Aliases'!$B:$B,MATCH(TRIM(C1238),'Code Aliases'!$A:$A,0)),TRIM(C1238)))</f>
        <v/>
      </c>
      <c r="I1238" s="17" t="str">
        <f aca="false">IF(TRIM(B1238)="","",UPPER(TRIM(B1238)))</f>
        <v/>
      </c>
      <c r="J1238" s="17" t="str">
        <f aca="false">IF(H1238="","",IF(COUNTIF('Master Stock'!$A$5:$A$206,H1238)&gt;0,"Yes","Not on stock sheet"))</f>
        <v/>
      </c>
    </row>
    <row r="1239" customFormat="false" ht="14.25" hidden="false" customHeight="true" outlineLevel="0" collapsed="false">
      <c r="E1239" s="17"/>
      <c r="H1239" s="17" t="str">
        <f aca="false">IF(TRIM(C1239)="","",IFERROR(INDEX('Code Aliases'!$B:$B,MATCH(TRIM(C1239),'Code Aliases'!$A:$A,0)),TRIM(C1239)))</f>
        <v/>
      </c>
      <c r="I1239" s="17" t="str">
        <f aca="false">IF(TRIM(B1239)="","",UPPER(TRIM(B1239)))</f>
        <v/>
      </c>
      <c r="J1239" s="17" t="str">
        <f aca="false">IF(H1239="","",IF(COUNTIF('Master Stock'!$A$5:$A$206,H1239)&gt;0,"Yes","Not on stock sheet"))</f>
        <v/>
      </c>
    </row>
    <row r="1240" customFormat="false" ht="14.25" hidden="false" customHeight="true" outlineLevel="0" collapsed="false">
      <c r="E1240" s="17"/>
      <c r="H1240" s="17" t="str">
        <f aca="false">IF(TRIM(C1240)="","",IFERROR(INDEX('Code Aliases'!$B:$B,MATCH(TRIM(C1240),'Code Aliases'!$A:$A,0)),TRIM(C1240)))</f>
        <v/>
      </c>
      <c r="I1240" s="17" t="str">
        <f aca="false">IF(TRIM(B1240)="","",UPPER(TRIM(B1240)))</f>
        <v/>
      </c>
      <c r="J1240" s="17" t="str">
        <f aca="false">IF(H1240="","",IF(COUNTIF('Master Stock'!$A$5:$A$206,H1240)&gt;0,"Yes","Not on stock sheet"))</f>
        <v/>
      </c>
    </row>
    <row r="1241" customFormat="false" ht="14.25" hidden="false" customHeight="true" outlineLevel="0" collapsed="false">
      <c r="E1241" s="17"/>
      <c r="H1241" s="17" t="str">
        <f aca="false">IF(TRIM(C1241)="","",IFERROR(INDEX('Code Aliases'!$B:$B,MATCH(TRIM(C1241),'Code Aliases'!$A:$A,0)),TRIM(C1241)))</f>
        <v/>
      </c>
      <c r="I1241" s="17" t="str">
        <f aca="false">IF(TRIM(B1241)="","",UPPER(TRIM(B1241)))</f>
        <v/>
      </c>
      <c r="J1241" s="17" t="str">
        <f aca="false">IF(H1241="","",IF(COUNTIF('Master Stock'!$A$5:$A$206,H1241)&gt;0,"Yes","Not on stock sheet"))</f>
        <v/>
      </c>
    </row>
    <row r="1242" customFormat="false" ht="14.25" hidden="false" customHeight="true" outlineLevel="0" collapsed="false">
      <c r="E1242" s="17"/>
      <c r="H1242" s="17" t="str">
        <f aca="false">IF(TRIM(C1242)="","",IFERROR(INDEX('Code Aliases'!$B:$B,MATCH(TRIM(C1242),'Code Aliases'!$A:$A,0)),TRIM(C1242)))</f>
        <v/>
      </c>
      <c r="I1242" s="17" t="str">
        <f aca="false">IF(TRIM(B1242)="","",UPPER(TRIM(B1242)))</f>
        <v/>
      </c>
      <c r="J1242" s="17" t="str">
        <f aca="false">IF(H1242="","",IF(COUNTIF('Master Stock'!$A$5:$A$206,H1242)&gt;0,"Yes","Not on stock sheet"))</f>
        <v/>
      </c>
    </row>
    <row r="1243" customFormat="false" ht="14.25" hidden="false" customHeight="true" outlineLevel="0" collapsed="false">
      <c r="E1243" s="17"/>
      <c r="H1243" s="17" t="str">
        <f aca="false">IF(TRIM(C1243)="","",IFERROR(INDEX('Code Aliases'!$B:$B,MATCH(TRIM(C1243),'Code Aliases'!$A:$A,0)),TRIM(C1243)))</f>
        <v/>
      </c>
      <c r="I1243" s="17" t="str">
        <f aca="false">IF(TRIM(B1243)="","",UPPER(TRIM(B1243)))</f>
        <v/>
      </c>
      <c r="J1243" s="17" t="str">
        <f aca="false">IF(H1243="","",IF(COUNTIF('Master Stock'!$A$5:$A$206,H1243)&gt;0,"Yes","Not on stock sheet"))</f>
        <v/>
      </c>
    </row>
    <row r="1244" customFormat="false" ht="14.25" hidden="false" customHeight="true" outlineLevel="0" collapsed="false">
      <c r="E1244" s="17"/>
      <c r="H1244" s="17" t="str">
        <f aca="false">IF(TRIM(C1244)="","",IFERROR(INDEX('Code Aliases'!$B:$B,MATCH(TRIM(C1244),'Code Aliases'!$A:$A,0)),TRIM(C1244)))</f>
        <v/>
      </c>
      <c r="I1244" s="17" t="str">
        <f aca="false">IF(TRIM(B1244)="","",UPPER(TRIM(B1244)))</f>
        <v/>
      </c>
      <c r="J1244" s="17" t="str">
        <f aca="false">IF(H1244="","",IF(COUNTIF('Master Stock'!$A$5:$A$206,H1244)&gt;0,"Yes","Not on stock sheet"))</f>
        <v/>
      </c>
    </row>
    <row r="1245" customFormat="false" ht="14.25" hidden="false" customHeight="true" outlineLevel="0" collapsed="false">
      <c r="E1245" s="17"/>
      <c r="H1245" s="17" t="str">
        <f aca="false">IF(TRIM(C1245)="","",IFERROR(INDEX('Code Aliases'!$B:$B,MATCH(TRIM(C1245),'Code Aliases'!$A:$A,0)),TRIM(C1245)))</f>
        <v/>
      </c>
      <c r="I1245" s="17" t="str">
        <f aca="false">IF(TRIM(B1245)="","",UPPER(TRIM(B1245)))</f>
        <v/>
      </c>
      <c r="J1245" s="17" t="str">
        <f aca="false">IF(H1245="","",IF(COUNTIF('Master Stock'!$A$5:$A$206,H1245)&gt;0,"Yes","Not on stock sheet"))</f>
        <v/>
      </c>
    </row>
    <row r="1246" customFormat="false" ht="14.25" hidden="false" customHeight="true" outlineLevel="0" collapsed="false">
      <c r="E1246" s="17"/>
      <c r="H1246" s="17" t="str">
        <f aca="false">IF(TRIM(C1246)="","",IFERROR(INDEX('Code Aliases'!$B:$B,MATCH(TRIM(C1246),'Code Aliases'!$A:$A,0)),TRIM(C1246)))</f>
        <v/>
      </c>
      <c r="I1246" s="17" t="str">
        <f aca="false">IF(TRIM(B1246)="","",UPPER(TRIM(B1246)))</f>
        <v/>
      </c>
      <c r="J1246" s="17" t="str">
        <f aca="false">IF(H1246="","",IF(COUNTIF('Master Stock'!$A$5:$A$206,H1246)&gt;0,"Yes","Not on stock sheet"))</f>
        <v/>
      </c>
    </row>
    <row r="1247" customFormat="false" ht="14.25" hidden="false" customHeight="true" outlineLevel="0" collapsed="false">
      <c r="E1247" s="17"/>
      <c r="H1247" s="17" t="str">
        <f aca="false">IF(TRIM(C1247)="","",IFERROR(INDEX('Code Aliases'!$B:$B,MATCH(TRIM(C1247),'Code Aliases'!$A:$A,0)),TRIM(C1247)))</f>
        <v/>
      </c>
      <c r="I1247" s="17" t="str">
        <f aca="false">IF(TRIM(B1247)="","",UPPER(TRIM(B1247)))</f>
        <v/>
      </c>
      <c r="J1247" s="17" t="str">
        <f aca="false">IF(H1247="","",IF(COUNTIF('Master Stock'!$A$5:$A$206,H1247)&gt;0,"Yes","Not on stock sheet"))</f>
        <v/>
      </c>
    </row>
    <row r="1248" customFormat="false" ht="14.25" hidden="false" customHeight="true" outlineLevel="0" collapsed="false">
      <c r="E1248" s="17"/>
      <c r="H1248" s="17" t="str">
        <f aca="false">IF(TRIM(C1248)="","",IFERROR(INDEX('Code Aliases'!$B:$B,MATCH(TRIM(C1248),'Code Aliases'!$A:$A,0)),TRIM(C1248)))</f>
        <v/>
      </c>
      <c r="I1248" s="17" t="str">
        <f aca="false">IF(TRIM(B1248)="","",UPPER(TRIM(B1248)))</f>
        <v/>
      </c>
      <c r="J1248" s="17" t="str">
        <f aca="false">IF(H1248="","",IF(COUNTIF('Master Stock'!$A$5:$A$206,H1248)&gt;0,"Yes","Not on stock sheet"))</f>
        <v/>
      </c>
    </row>
    <row r="1249" customFormat="false" ht="14.25" hidden="false" customHeight="true" outlineLevel="0" collapsed="false">
      <c r="E1249" s="17"/>
      <c r="H1249" s="17" t="str">
        <f aca="false">IF(TRIM(C1249)="","",IFERROR(INDEX('Code Aliases'!$B:$B,MATCH(TRIM(C1249),'Code Aliases'!$A:$A,0)),TRIM(C1249)))</f>
        <v/>
      </c>
      <c r="I1249" s="17" t="str">
        <f aca="false">IF(TRIM(B1249)="","",UPPER(TRIM(B1249)))</f>
        <v/>
      </c>
      <c r="J1249" s="17" t="str">
        <f aca="false">IF(H1249="","",IF(COUNTIF('Master Stock'!$A$5:$A$206,H1249)&gt;0,"Yes","Not on stock sheet"))</f>
        <v/>
      </c>
    </row>
    <row r="1250" customFormat="false" ht="14.25" hidden="false" customHeight="true" outlineLevel="0" collapsed="false">
      <c r="E1250" s="17"/>
      <c r="H1250" s="17" t="str">
        <f aca="false">IF(TRIM(C1250)="","",IFERROR(INDEX('Code Aliases'!$B:$B,MATCH(TRIM(C1250),'Code Aliases'!$A:$A,0)),TRIM(C1250)))</f>
        <v/>
      </c>
      <c r="I1250" s="17" t="str">
        <f aca="false">IF(TRIM(B1250)="","",UPPER(TRIM(B1250)))</f>
        <v/>
      </c>
      <c r="J1250" s="17" t="str">
        <f aca="false">IF(H1250="","",IF(COUNTIF('Master Stock'!$A$5:$A$206,H1250)&gt;0,"Yes","Not on stock sheet"))</f>
        <v/>
      </c>
    </row>
    <row r="1251" customFormat="false" ht="14.25" hidden="false" customHeight="true" outlineLevel="0" collapsed="false">
      <c r="E1251" s="17"/>
      <c r="H1251" s="17" t="str">
        <f aca="false">IF(TRIM(C1251)="","",IFERROR(INDEX('Code Aliases'!$B:$B,MATCH(TRIM(C1251),'Code Aliases'!$A:$A,0)),TRIM(C1251)))</f>
        <v/>
      </c>
      <c r="I1251" s="17" t="str">
        <f aca="false">IF(TRIM(B1251)="","",UPPER(TRIM(B1251)))</f>
        <v/>
      </c>
      <c r="J1251" s="17" t="str">
        <f aca="false">IF(H1251="","",IF(COUNTIF('Master Stock'!$A$5:$A$206,H1251)&gt;0,"Yes","Not on stock sheet"))</f>
        <v/>
      </c>
    </row>
    <row r="1252" customFormat="false" ht="14.25" hidden="false" customHeight="true" outlineLevel="0" collapsed="false">
      <c r="E1252" s="17"/>
      <c r="H1252" s="17" t="str">
        <f aca="false">IF(TRIM(C1252)="","",IFERROR(INDEX('Code Aliases'!$B:$B,MATCH(TRIM(C1252),'Code Aliases'!$A:$A,0)),TRIM(C1252)))</f>
        <v/>
      </c>
      <c r="I1252" s="17" t="str">
        <f aca="false">IF(TRIM(B1252)="","",UPPER(TRIM(B1252)))</f>
        <v/>
      </c>
      <c r="J1252" s="17" t="str">
        <f aca="false">IF(H1252="","",IF(COUNTIF('Master Stock'!$A$5:$A$206,H1252)&gt;0,"Yes","Not on stock sheet"))</f>
        <v/>
      </c>
    </row>
    <row r="1253" customFormat="false" ht="14.25" hidden="false" customHeight="true" outlineLevel="0" collapsed="false">
      <c r="E1253" s="17"/>
      <c r="H1253" s="17" t="str">
        <f aca="false">IF(TRIM(C1253)="","",IFERROR(INDEX('Code Aliases'!$B:$B,MATCH(TRIM(C1253),'Code Aliases'!$A:$A,0)),TRIM(C1253)))</f>
        <v/>
      </c>
      <c r="I1253" s="17" t="str">
        <f aca="false">IF(TRIM(B1253)="","",UPPER(TRIM(B1253)))</f>
        <v/>
      </c>
      <c r="J1253" s="17" t="str">
        <f aca="false">IF(H1253="","",IF(COUNTIF('Master Stock'!$A$5:$A$206,H1253)&gt;0,"Yes","Not on stock sheet"))</f>
        <v/>
      </c>
    </row>
    <row r="1254" customFormat="false" ht="14.25" hidden="false" customHeight="true" outlineLevel="0" collapsed="false">
      <c r="E1254" s="17"/>
      <c r="H1254" s="17" t="str">
        <f aca="false">IF(TRIM(C1254)="","",IFERROR(INDEX('Code Aliases'!$B:$B,MATCH(TRIM(C1254),'Code Aliases'!$A:$A,0)),TRIM(C1254)))</f>
        <v/>
      </c>
      <c r="I1254" s="17" t="str">
        <f aca="false">IF(TRIM(B1254)="","",UPPER(TRIM(B1254)))</f>
        <v/>
      </c>
      <c r="J1254" s="17" t="str">
        <f aca="false">IF(H1254="","",IF(COUNTIF('Master Stock'!$A$5:$A$206,H1254)&gt;0,"Yes","Not on stock sheet"))</f>
        <v/>
      </c>
    </row>
    <row r="1255" customFormat="false" ht="14.25" hidden="false" customHeight="true" outlineLevel="0" collapsed="false">
      <c r="E1255" s="17"/>
      <c r="H1255" s="17" t="str">
        <f aca="false">IF(TRIM(C1255)="","",IFERROR(INDEX('Code Aliases'!$B:$B,MATCH(TRIM(C1255),'Code Aliases'!$A:$A,0)),TRIM(C1255)))</f>
        <v/>
      </c>
      <c r="I1255" s="17" t="str">
        <f aca="false">IF(TRIM(B1255)="","",UPPER(TRIM(B1255)))</f>
        <v/>
      </c>
      <c r="J1255" s="17" t="str">
        <f aca="false">IF(H1255="","",IF(COUNTIF('Master Stock'!$A$5:$A$206,H1255)&gt;0,"Yes","Not on stock sheet"))</f>
        <v/>
      </c>
    </row>
    <row r="1256" customFormat="false" ht="14.25" hidden="false" customHeight="true" outlineLevel="0" collapsed="false">
      <c r="E1256" s="17"/>
      <c r="H1256" s="17" t="str">
        <f aca="false">IF(TRIM(C1256)="","",IFERROR(INDEX('Code Aliases'!$B:$B,MATCH(TRIM(C1256),'Code Aliases'!$A:$A,0)),TRIM(C1256)))</f>
        <v/>
      </c>
      <c r="I1256" s="17" t="str">
        <f aca="false">IF(TRIM(B1256)="","",UPPER(TRIM(B1256)))</f>
        <v/>
      </c>
      <c r="J1256" s="17" t="str">
        <f aca="false">IF(H1256="","",IF(COUNTIF('Master Stock'!$A$5:$A$206,H1256)&gt;0,"Yes","Not on stock sheet"))</f>
        <v/>
      </c>
    </row>
    <row r="1257" customFormat="false" ht="14.25" hidden="false" customHeight="true" outlineLevel="0" collapsed="false">
      <c r="E1257" s="17"/>
      <c r="H1257" s="17" t="str">
        <f aca="false">IF(TRIM(C1257)="","",IFERROR(INDEX('Code Aliases'!$B:$B,MATCH(TRIM(C1257),'Code Aliases'!$A:$A,0)),TRIM(C1257)))</f>
        <v/>
      </c>
      <c r="I1257" s="17" t="str">
        <f aca="false">IF(TRIM(B1257)="","",UPPER(TRIM(B1257)))</f>
        <v/>
      </c>
      <c r="J1257" s="17" t="str">
        <f aca="false">IF(H1257="","",IF(COUNTIF('Master Stock'!$A$5:$A$206,H1257)&gt;0,"Yes","Not on stock sheet"))</f>
        <v/>
      </c>
    </row>
    <row r="1258" customFormat="false" ht="14.25" hidden="false" customHeight="true" outlineLevel="0" collapsed="false">
      <c r="E1258" s="17"/>
      <c r="H1258" s="17" t="str">
        <f aca="false">IF(TRIM(C1258)="","",IFERROR(INDEX('Code Aliases'!$B:$B,MATCH(TRIM(C1258),'Code Aliases'!$A:$A,0)),TRIM(C1258)))</f>
        <v/>
      </c>
      <c r="I1258" s="17" t="str">
        <f aca="false">IF(TRIM(B1258)="","",UPPER(TRIM(B1258)))</f>
        <v/>
      </c>
      <c r="J1258" s="17" t="str">
        <f aca="false">IF(H1258="","",IF(COUNTIF('Master Stock'!$A$5:$A$206,H1258)&gt;0,"Yes","Not on stock sheet"))</f>
        <v/>
      </c>
    </row>
    <row r="1259" customFormat="false" ht="14.25" hidden="false" customHeight="true" outlineLevel="0" collapsed="false">
      <c r="E1259" s="17"/>
      <c r="H1259" s="17" t="str">
        <f aca="false">IF(TRIM(C1259)="","",IFERROR(INDEX('Code Aliases'!$B:$B,MATCH(TRIM(C1259),'Code Aliases'!$A:$A,0)),TRIM(C1259)))</f>
        <v/>
      </c>
      <c r="I1259" s="17" t="str">
        <f aca="false">IF(TRIM(B1259)="","",UPPER(TRIM(B1259)))</f>
        <v/>
      </c>
      <c r="J1259" s="17" t="str">
        <f aca="false">IF(H1259="","",IF(COUNTIF('Master Stock'!$A$5:$A$206,H1259)&gt;0,"Yes","Not on stock sheet"))</f>
        <v/>
      </c>
    </row>
    <row r="1260" customFormat="false" ht="14.25" hidden="false" customHeight="true" outlineLevel="0" collapsed="false">
      <c r="E1260" s="17"/>
      <c r="H1260" s="17" t="str">
        <f aca="false">IF(TRIM(C1260)="","",IFERROR(INDEX('Code Aliases'!$B:$B,MATCH(TRIM(C1260),'Code Aliases'!$A:$A,0)),TRIM(C1260)))</f>
        <v/>
      </c>
      <c r="I1260" s="17" t="str">
        <f aca="false">IF(TRIM(B1260)="","",UPPER(TRIM(B1260)))</f>
        <v/>
      </c>
      <c r="J1260" s="17" t="str">
        <f aca="false">IF(H1260="","",IF(COUNTIF('Master Stock'!$A$5:$A$206,H1260)&gt;0,"Yes","Not on stock sheet"))</f>
        <v/>
      </c>
    </row>
    <row r="1261" customFormat="false" ht="14.25" hidden="false" customHeight="true" outlineLevel="0" collapsed="false">
      <c r="E1261" s="17"/>
      <c r="H1261" s="17" t="str">
        <f aca="false">IF(TRIM(C1261)="","",IFERROR(INDEX('Code Aliases'!$B:$B,MATCH(TRIM(C1261),'Code Aliases'!$A:$A,0)),TRIM(C1261)))</f>
        <v/>
      </c>
      <c r="I1261" s="17" t="str">
        <f aca="false">IF(TRIM(B1261)="","",UPPER(TRIM(B1261)))</f>
        <v/>
      </c>
      <c r="J1261" s="17" t="str">
        <f aca="false">IF(H1261="","",IF(COUNTIF('Master Stock'!$A$5:$A$206,H1261)&gt;0,"Yes","Not on stock sheet"))</f>
        <v/>
      </c>
    </row>
    <row r="1262" customFormat="false" ht="14.25" hidden="false" customHeight="true" outlineLevel="0" collapsed="false">
      <c r="E1262" s="17"/>
      <c r="H1262" s="17" t="str">
        <f aca="false">IF(TRIM(C1262)="","",IFERROR(INDEX('Code Aliases'!$B:$B,MATCH(TRIM(C1262),'Code Aliases'!$A:$A,0)),TRIM(C1262)))</f>
        <v/>
      </c>
      <c r="I1262" s="17" t="str">
        <f aca="false">IF(TRIM(B1262)="","",UPPER(TRIM(B1262)))</f>
        <v/>
      </c>
      <c r="J1262" s="17" t="str">
        <f aca="false">IF(H1262="","",IF(COUNTIF('Master Stock'!$A$5:$A$206,H1262)&gt;0,"Yes","Not on stock sheet"))</f>
        <v/>
      </c>
    </row>
    <row r="1263" customFormat="false" ht="14.25" hidden="false" customHeight="true" outlineLevel="0" collapsed="false">
      <c r="E1263" s="17"/>
      <c r="H1263" s="17" t="str">
        <f aca="false">IF(TRIM(C1263)="","",IFERROR(INDEX('Code Aliases'!$B:$B,MATCH(TRIM(C1263),'Code Aliases'!$A:$A,0)),TRIM(C1263)))</f>
        <v/>
      </c>
      <c r="I1263" s="17" t="str">
        <f aca="false">IF(TRIM(B1263)="","",UPPER(TRIM(B1263)))</f>
        <v/>
      </c>
      <c r="J1263" s="17" t="str">
        <f aca="false">IF(H1263="","",IF(COUNTIF('Master Stock'!$A$5:$A$206,H1263)&gt;0,"Yes","Not on stock sheet"))</f>
        <v/>
      </c>
    </row>
    <row r="1264" customFormat="false" ht="14.25" hidden="false" customHeight="true" outlineLevel="0" collapsed="false">
      <c r="E1264" s="17"/>
      <c r="H1264" s="17" t="str">
        <f aca="false">IF(TRIM(C1264)="","",IFERROR(INDEX('Code Aliases'!$B:$B,MATCH(TRIM(C1264),'Code Aliases'!$A:$A,0)),TRIM(C1264)))</f>
        <v/>
      </c>
      <c r="I1264" s="17" t="str">
        <f aca="false">IF(TRIM(B1264)="","",UPPER(TRIM(B1264)))</f>
        <v/>
      </c>
      <c r="J1264" s="17" t="str">
        <f aca="false">IF(H1264="","",IF(COUNTIF('Master Stock'!$A$5:$A$206,H1264)&gt;0,"Yes","Not on stock sheet"))</f>
        <v/>
      </c>
    </row>
    <row r="1265" customFormat="false" ht="14.25" hidden="false" customHeight="true" outlineLevel="0" collapsed="false">
      <c r="E1265" s="17"/>
      <c r="H1265" s="17" t="str">
        <f aca="false">IF(TRIM(C1265)="","",IFERROR(INDEX('Code Aliases'!$B:$B,MATCH(TRIM(C1265),'Code Aliases'!$A:$A,0)),TRIM(C1265)))</f>
        <v/>
      </c>
      <c r="I1265" s="17" t="str">
        <f aca="false">IF(TRIM(B1265)="","",UPPER(TRIM(B1265)))</f>
        <v/>
      </c>
      <c r="J1265" s="17" t="str">
        <f aca="false">IF(H1265="","",IF(COUNTIF('Master Stock'!$A$5:$A$206,H1265)&gt;0,"Yes","Not on stock sheet"))</f>
        <v/>
      </c>
    </row>
    <row r="1266" customFormat="false" ht="14.25" hidden="false" customHeight="true" outlineLevel="0" collapsed="false">
      <c r="E1266" s="17"/>
      <c r="H1266" s="17" t="str">
        <f aca="false">IF(TRIM(C1266)="","",IFERROR(INDEX('Code Aliases'!$B:$B,MATCH(TRIM(C1266),'Code Aliases'!$A:$A,0)),TRIM(C1266)))</f>
        <v/>
      </c>
      <c r="I1266" s="17" t="str">
        <f aca="false">IF(TRIM(B1266)="","",UPPER(TRIM(B1266)))</f>
        <v/>
      </c>
      <c r="J1266" s="17" t="str">
        <f aca="false">IF(H1266="","",IF(COUNTIF('Master Stock'!$A$5:$A$206,H1266)&gt;0,"Yes","Not on stock sheet"))</f>
        <v/>
      </c>
    </row>
    <row r="1267" customFormat="false" ht="14.25" hidden="false" customHeight="true" outlineLevel="0" collapsed="false">
      <c r="E1267" s="17"/>
      <c r="H1267" s="17" t="str">
        <f aca="false">IF(TRIM(C1267)="","",IFERROR(INDEX('Code Aliases'!$B:$B,MATCH(TRIM(C1267),'Code Aliases'!$A:$A,0)),TRIM(C1267)))</f>
        <v/>
      </c>
      <c r="I1267" s="17" t="str">
        <f aca="false">IF(TRIM(B1267)="","",UPPER(TRIM(B1267)))</f>
        <v/>
      </c>
      <c r="J1267" s="17" t="str">
        <f aca="false">IF(H1267="","",IF(COUNTIF('Master Stock'!$A$5:$A$206,H1267)&gt;0,"Yes","Not on stock sheet"))</f>
        <v/>
      </c>
    </row>
    <row r="1268" customFormat="false" ht="14.25" hidden="false" customHeight="true" outlineLevel="0" collapsed="false">
      <c r="E1268" s="17"/>
      <c r="H1268" s="17" t="str">
        <f aca="false">IF(TRIM(C1268)="","",IFERROR(INDEX('Code Aliases'!$B:$B,MATCH(TRIM(C1268),'Code Aliases'!$A:$A,0)),TRIM(C1268)))</f>
        <v/>
      </c>
      <c r="I1268" s="17" t="str">
        <f aca="false">IF(TRIM(B1268)="","",UPPER(TRIM(B1268)))</f>
        <v/>
      </c>
      <c r="J1268" s="17" t="str">
        <f aca="false">IF(H1268="","",IF(COUNTIF('Master Stock'!$A$5:$A$206,H1268)&gt;0,"Yes","Not on stock sheet"))</f>
        <v/>
      </c>
    </row>
    <row r="1269" customFormat="false" ht="14.25" hidden="false" customHeight="true" outlineLevel="0" collapsed="false">
      <c r="E1269" s="17"/>
      <c r="H1269" s="17" t="str">
        <f aca="false">IF(TRIM(C1269)="","",IFERROR(INDEX('Code Aliases'!$B:$B,MATCH(TRIM(C1269),'Code Aliases'!$A:$A,0)),TRIM(C1269)))</f>
        <v/>
      </c>
      <c r="I1269" s="17" t="str">
        <f aca="false">IF(TRIM(B1269)="","",UPPER(TRIM(B1269)))</f>
        <v/>
      </c>
      <c r="J1269" s="17" t="str">
        <f aca="false">IF(H1269="","",IF(COUNTIF('Master Stock'!$A$5:$A$206,H1269)&gt;0,"Yes","Not on stock sheet"))</f>
        <v/>
      </c>
    </row>
    <row r="1270" customFormat="false" ht="14.25" hidden="false" customHeight="true" outlineLevel="0" collapsed="false">
      <c r="E1270" s="17"/>
      <c r="H1270" s="17" t="str">
        <f aca="false">IF(TRIM(C1270)="","",IFERROR(INDEX('Code Aliases'!$B:$B,MATCH(TRIM(C1270),'Code Aliases'!$A:$A,0)),TRIM(C1270)))</f>
        <v/>
      </c>
      <c r="I1270" s="17" t="str">
        <f aca="false">IF(TRIM(B1270)="","",UPPER(TRIM(B1270)))</f>
        <v/>
      </c>
      <c r="J1270" s="17" t="str">
        <f aca="false">IF(H1270="","",IF(COUNTIF('Master Stock'!$A$5:$A$206,H1270)&gt;0,"Yes","Not on stock sheet"))</f>
        <v/>
      </c>
    </row>
    <row r="1271" customFormat="false" ht="14.25" hidden="false" customHeight="true" outlineLevel="0" collapsed="false">
      <c r="E1271" s="17"/>
      <c r="H1271" s="17" t="str">
        <f aca="false">IF(TRIM(C1271)="","",IFERROR(INDEX('Code Aliases'!$B:$B,MATCH(TRIM(C1271),'Code Aliases'!$A:$A,0)),TRIM(C1271)))</f>
        <v/>
      </c>
      <c r="I1271" s="17" t="str">
        <f aca="false">IF(TRIM(B1271)="","",UPPER(TRIM(B1271)))</f>
        <v/>
      </c>
      <c r="J1271" s="17" t="str">
        <f aca="false">IF(H1271="","",IF(COUNTIF('Master Stock'!$A$5:$A$206,H1271)&gt;0,"Yes","Not on stock sheet"))</f>
        <v/>
      </c>
    </row>
    <row r="1272" customFormat="false" ht="14.25" hidden="false" customHeight="true" outlineLevel="0" collapsed="false">
      <c r="E1272" s="17"/>
      <c r="H1272" s="17" t="str">
        <f aca="false">IF(TRIM(C1272)="","",IFERROR(INDEX('Code Aliases'!$B:$B,MATCH(TRIM(C1272),'Code Aliases'!$A:$A,0)),TRIM(C1272)))</f>
        <v/>
      </c>
      <c r="I1272" s="17" t="str">
        <f aca="false">IF(TRIM(B1272)="","",UPPER(TRIM(B1272)))</f>
        <v/>
      </c>
      <c r="J1272" s="17" t="str">
        <f aca="false">IF(H1272="","",IF(COUNTIF('Master Stock'!$A$5:$A$206,H1272)&gt;0,"Yes","Not on stock sheet"))</f>
        <v/>
      </c>
    </row>
    <row r="1273" customFormat="false" ht="14.25" hidden="false" customHeight="true" outlineLevel="0" collapsed="false">
      <c r="E1273" s="17"/>
      <c r="H1273" s="17" t="str">
        <f aca="false">IF(TRIM(C1273)="","",IFERROR(INDEX('Code Aliases'!$B:$B,MATCH(TRIM(C1273),'Code Aliases'!$A:$A,0)),TRIM(C1273)))</f>
        <v/>
      </c>
      <c r="I1273" s="17" t="str">
        <f aca="false">IF(TRIM(B1273)="","",UPPER(TRIM(B1273)))</f>
        <v/>
      </c>
      <c r="J1273" s="17" t="str">
        <f aca="false">IF(H1273="","",IF(COUNTIF('Master Stock'!$A$5:$A$206,H1273)&gt;0,"Yes","Not on stock sheet"))</f>
        <v/>
      </c>
    </row>
    <row r="1274" customFormat="false" ht="14.25" hidden="false" customHeight="true" outlineLevel="0" collapsed="false">
      <c r="E1274" s="17"/>
      <c r="H1274" s="17" t="str">
        <f aca="false">IF(TRIM(C1274)="","",IFERROR(INDEX('Code Aliases'!$B:$B,MATCH(TRIM(C1274),'Code Aliases'!$A:$A,0)),TRIM(C1274)))</f>
        <v/>
      </c>
      <c r="I1274" s="17" t="str">
        <f aca="false">IF(TRIM(B1274)="","",UPPER(TRIM(B1274)))</f>
        <v/>
      </c>
      <c r="J1274" s="17" t="str">
        <f aca="false">IF(H1274="","",IF(COUNTIF('Master Stock'!$A$5:$A$206,H1274)&gt;0,"Yes","Not on stock sheet"))</f>
        <v/>
      </c>
    </row>
    <row r="1275" customFormat="false" ht="14.25" hidden="false" customHeight="true" outlineLevel="0" collapsed="false">
      <c r="E1275" s="17"/>
      <c r="H1275" s="17" t="str">
        <f aca="false">IF(TRIM(C1275)="","",IFERROR(INDEX('Code Aliases'!$B:$B,MATCH(TRIM(C1275),'Code Aliases'!$A:$A,0)),TRIM(C1275)))</f>
        <v/>
      </c>
      <c r="I1275" s="17" t="str">
        <f aca="false">IF(TRIM(B1275)="","",UPPER(TRIM(B1275)))</f>
        <v/>
      </c>
      <c r="J1275" s="17" t="str">
        <f aca="false">IF(H1275="","",IF(COUNTIF('Master Stock'!$A$5:$A$206,H1275)&gt;0,"Yes","Not on stock sheet"))</f>
        <v/>
      </c>
    </row>
    <row r="1276" customFormat="false" ht="14.25" hidden="false" customHeight="true" outlineLevel="0" collapsed="false">
      <c r="E1276" s="17"/>
      <c r="H1276" s="17" t="str">
        <f aca="false">IF(TRIM(C1276)="","",IFERROR(INDEX('Code Aliases'!$B:$B,MATCH(TRIM(C1276),'Code Aliases'!$A:$A,0)),TRIM(C1276)))</f>
        <v/>
      </c>
      <c r="I1276" s="17" t="str">
        <f aca="false">IF(TRIM(B1276)="","",UPPER(TRIM(B1276)))</f>
        <v/>
      </c>
      <c r="J1276" s="17" t="str">
        <f aca="false">IF(H1276="","",IF(COUNTIF('Master Stock'!$A$5:$A$206,H1276)&gt;0,"Yes","Not on stock sheet"))</f>
        <v/>
      </c>
    </row>
    <row r="1277" customFormat="false" ht="14.25" hidden="false" customHeight="true" outlineLevel="0" collapsed="false">
      <c r="E1277" s="17"/>
      <c r="H1277" s="17" t="str">
        <f aca="false">IF(TRIM(C1277)="","",IFERROR(INDEX('Code Aliases'!$B:$B,MATCH(TRIM(C1277),'Code Aliases'!$A:$A,0)),TRIM(C1277)))</f>
        <v/>
      </c>
      <c r="I1277" s="17" t="str">
        <f aca="false">IF(TRIM(B1277)="","",UPPER(TRIM(B1277)))</f>
        <v/>
      </c>
      <c r="J1277" s="17" t="str">
        <f aca="false">IF(H1277="","",IF(COUNTIF('Master Stock'!$A$5:$A$206,H1277)&gt;0,"Yes","Not on stock sheet"))</f>
        <v/>
      </c>
    </row>
    <row r="1278" customFormat="false" ht="14.25" hidden="false" customHeight="true" outlineLevel="0" collapsed="false">
      <c r="E1278" s="17"/>
      <c r="H1278" s="17" t="str">
        <f aca="false">IF(TRIM(C1278)="","",IFERROR(INDEX('Code Aliases'!$B:$B,MATCH(TRIM(C1278),'Code Aliases'!$A:$A,0)),TRIM(C1278)))</f>
        <v/>
      </c>
      <c r="I1278" s="17" t="str">
        <f aca="false">IF(TRIM(B1278)="","",UPPER(TRIM(B1278)))</f>
        <v/>
      </c>
      <c r="J1278" s="17" t="str">
        <f aca="false">IF(H1278="","",IF(COUNTIF('Master Stock'!$A$5:$A$206,H1278)&gt;0,"Yes","Not on stock sheet"))</f>
        <v/>
      </c>
    </row>
    <row r="1279" customFormat="false" ht="14.25" hidden="false" customHeight="true" outlineLevel="0" collapsed="false">
      <c r="E1279" s="17"/>
      <c r="H1279" s="17" t="str">
        <f aca="false">IF(TRIM(C1279)="","",IFERROR(INDEX('Code Aliases'!$B:$B,MATCH(TRIM(C1279),'Code Aliases'!$A:$A,0)),TRIM(C1279)))</f>
        <v/>
      </c>
      <c r="I1279" s="17" t="str">
        <f aca="false">IF(TRIM(B1279)="","",UPPER(TRIM(B1279)))</f>
        <v/>
      </c>
      <c r="J1279" s="17" t="str">
        <f aca="false">IF(H1279="","",IF(COUNTIF('Master Stock'!$A$5:$A$206,H1279)&gt;0,"Yes","Not on stock sheet"))</f>
        <v/>
      </c>
    </row>
    <row r="1280" customFormat="false" ht="14.25" hidden="false" customHeight="true" outlineLevel="0" collapsed="false">
      <c r="E1280" s="17"/>
      <c r="H1280" s="17" t="str">
        <f aca="false">IF(TRIM(C1280)="","",IFERROR(INDEX('Code Aliases'!$B:$B,MATCH(TRIM(C1280),'Code Aliases'!$A:$A,0)),TRIM(C1280)))</f>
        <v/>
      </c>
      <c r="I1280" s="17" t="str">
        <f aca="false">IF(TRIM(B1280)="","",UPPER(TRIM(B1280)))</f>
        <v/>
      </c>
      <c r="J1280" s="17" t="str">
        <f aca="false">IF(H1280="","",IF(COUNTIF('Master Stock'!$A$5:$A$206,H1280)&gt;0,"Yes","Not on stock sheet"))</f>
        <v/>
      </c>
    </row>
    <row r="1281" customFormat="false" ht="14.25" hidden="false" customHeight="true" outlineLevel="0" collapsed="false">
      <c r="E1281" s="17"/>
      <c r="H1281" s="17" t="str">
        <f aca="false">IF(TRIM(C1281)="","",IFERROR(INDEX('Code Aliases'!$B:$B,MATCH(TRIM(C1281),'Code Aliases'!$A:$A,0)),TRIM(C1281)))</f>
        <v/>
      </c>
      <c r="I1281" s="17" t="str">
        <f aca="false">IF(TRIM(B1281)="","",UPPER(TRIM(B1281)))</f>
        <v/>
      </c>
      <c r="J1281" s="17" t="str">
        <f aca="false">IF(H1281="","",IF(COUNTIF('Master Stock'!$A$5:$A$206,H1281)&gt;0,"Yes","Not on stock sheet"))</f>
        <v/>
      </c>
    </row>
    <row r="1282" customFormat="false" ht="14.25" hidden="false" customHeight="true" outlineLevel="0" collapsed="false">
      <c r="E1282" s="17"/>
      <c r="H1282" s="17" t="str">
        <f aca="false">IF(TRIM(C1282)="","",IFERROR(INDEX('Code Aliases'!$B:$B,MATCH(TRIM(C1282),'Code Aliases'!$A:$A,0)),TRIM(C1282)))</f>
        <v/>
      </c>
      <c r="I1282" s="17" t="str">
        <f aca="false">IF(TRIM(B1282)="","",UPPER(TRIM(B1282)))</f>
        <v/>
      </c>
      <c r="J1282" s="17" t="str">
        <f aca="false">IF(H1282="","",IF(COUNTIF('Master Stock'!$A$5:$A$206,H1282)&gt;0,"Yes","Not on stock sheet"))</f>
        <v/>
      </c>
    </row>
    <row r="1283" customFormat="false" ht="14.25" hidden="false" customHeight="true" outlineLevel="0" collapsed="false">
      <c r="E1283" s="17"/>
      <c r="H1283" s="17" t="str">
        <f aca="false">IF(TRIM(C1283)="","",IFERROR(INDEX('Code Aliases'!$B:$B,MATCH(TRIM(C1283),'Code Aliases'!$A:$A,0)),TRIM(C1283)))</f>
        <v/>
      </c>
      <c r="I1283" s="17" t="str">
        <f aca="false">IF(TRIM(B1283)="","",UPPER(TRIM(B1283)))</f>
        <v/>
      </c>
      <c r="J1283" s="17" t="str">
        <f aca="false">IF(H1283="","",IF(COUNTIF('Master Stock'!$A$5:$A$206,H1283)&gt;0,"Yes","Not on stock sheet"))</f>
        <v/>
      </c>
    </row>
    <row r="1284" customFormat="false" ht="14.25" hidden="false" customHeight="true" outlineLevel="0" collapsed="false">
      <c r="E1284" s="17"/>
      <c r="H1284" s="17" t="str">
        <f aca="false">IF(TRIM(C1284)="","",IFERROR(INDEX('Code Aliases'!$B:$B,MATCH(TRIM(C1284),'Code Aliases'!$A:$A,0)),TRIM(C1284)))</f>
        <v/>
      </c>
      <c r="I1284" s="17" t="str">
        <f aca="false">IF(TRIM(B1284)="","",UPPER(TRIM(B1284)))</f>
        <v/>
      </c>
      <c r="J1284" s="17" t="str">
        <f aca="false">IF(H1284="","",IF(COUNTIF('Master Stock'!$A$5:$A$206,H1284)&gt;0,"Yes","Not on stock sheet"))</f>
        <v/>
      </c>
    </row>
    <row r="1285" customFormat="false" ht="14.25" hidden="false" customHeight="true" outlineLevel="0" collapsed="false">
      <c r="E1285" s="17"/>
      <c r="H1285" s="17" t="str">
        <f aca="false">IF(TRIM(C1285)="","",IFERROR(INDEX('Code Aliases'!$B:$B,MATCH(TRIM(C1285),'Code Aliases'!$A:$A,0)),TRIM(C1285)))</f>
        <v/>
      </c>
      <c r="I1285" s="17" t="str">
        <f aca="false">IF(TRIM(B1285)="","",UPPER(TRIM(B1285)))</f>
        <v/>
      </c>
      <c r="J1285" s="17" t="str">
        <f aca="false">IF(H1285="","",IF(COUNTIF('Master Stock'!$A$5:$A$206,H1285)&gt;0,"Yes","Not on stock sheet"))</f>
        <v/>
      </c>
    </row>
    <row r="1286" customFormat="false" ht="14.25" hidden="false" customHeight="true" outlineLevel="0" collapsed="false">
      <c r="E1286" s="17"/>
      <c r="H1286" s="17" t="str">
        <f aca="false">IF(TRIM(C1286)="","",IFERROR(INDEX('Code Aliases'!$B:$B,MATCH(TRIM(C1286),'Code Aliases'!$A:$A,0)),TRIM(C1286)))</f>
        <v/>
      </c>
      <c r="I1286" s="17" t="str">
        <f aca="false">IF(TRIM(B1286)="","",UPPER(TRIM(B1286)))</f>
        <v/>
      </c>
      <c r="J1286" s="17" t="str">
        <f aca="false">IF(H1286="","",IF(COUNTIF('Master Stock'!$A$5:$A$206,H1286)&gt;0,"Yes","Not on stock sheet"))</f>
        <v/>
      </c>
    </row>
    <row r="1287" customFormat="false" ht="14.25" hidden="false" customHeight="true" outlineLevel="0" collapsed="false">
      <c r="E1287" s="17"/>
      <c r="H1287" s="17" t="str">
        <f aca="false">IF(TRIM(C1287)="","",IFERROR(INDEX('Code Aliases'!$B:$B,MATCH(TRIM(C1287),'Code Aliases'!$A:$A,0)),TRIM(C1287)))</f>
        <v/>
      </c>
      <c r="I1287" s="17" t="str">
        <f aca="false">IF(TRIM(B1287)="","",UPPER(TRIM(B1287)))</f>
        <v/>
      </c>
      <c r="J1287" s="17" t="str">
        <f aca="false">IF(H1287="","",IF(COUNTIF('Master Stock'!$A$5:$A$206,H1287)&gt;0,"Yes","Not on stock sheet"))</f>
        <v/>
      </c>
    </row>
    <row r="1288" customFormat="false" ht="14.25" hidden="false" customHeight="true" outlineLevel="0" collapsed="false">
      <c r="E1288" s="17"/>
      <c r="H1288" s="17" t="str">
        <f aca="false">IF(TRIM(C1288)="","",IFERROR(INDEX('Code Aliases'!$B:$B,MATCH(TRIM(C1288),'Code Aliases'!$A:$A,0)),TRIM(C1288)))</f>
        <v/>
      </c>
      <c r="I1288" s="17" t="str">
        <f aca="false">IF(TRIM(B1288)="","",UPPER(TRIM(B1288)))</f>
        <v/>
      </c>
      <c r="J1288" s="17" t="str">
        <f aca="false">IF(H1288="","",IF(COUNTIF('Master Stock'!$A$5:$A$206,H1288)&gt;0,"Yes","Not on stock sheet"))</f>
        <v/>
      </c>
    </row>
    <row r="1289" customFormat="false" ht="14.25" hidden="false" customHeight="true" outlineLevel="0" collapsed="false">
      <c r="E1289" s="17"/>
      <c r="H1289" s="17" t="str">
        <f aca="false">IF(TRIM(C1289)="","",IFERROR(INDEX('Code Aliases'!$B:$B,MATCH(TRIM(C1289),'Code Aliases'!$A:$A,0)),TRIM(C1289)))</f>
        <v/>
      </c>
      <c r="I1289" s="17" t="str">
        <f aca="false">IF(TRIM(B1289)="","",UPPER(TRIM(B1289)))</f>
        <v/>
      </c>
      <c r="J1289" s="17" t="str">
        <f aca="false">IF(H1289="","",IF(COUNTIF('Master Stock'!$A$5:$A$206,H1289)&gt;0,"Yes","Not on stock sheet"))</f>
        <v/>
      </c>
    </row>
    <row r="1290" customFormat="false" ht="14.25" hidden="false" customHeight="true" outlineLevel="0" collapsed="false">
      <c r="E1290" s="17"/>
      <c r="H1290" s="17" t="str">
        <f aca="false">IF(TRIM(C1290)="","",IFERROR(INDEX('Code Aliases'!$B:$B,MATCH(TRIM(C1290),'Code Aliases'!$A:$A,0)),TRIM(C1290)))</f>
        <v/>
      </c>
      <c r="I1290" s="17" t="str">
        <f aca="false">IF(TRIM(B1290)="","",UPPER(TRIM(B1290)))</f>
        <v/>
      </c>
      <c r="J1290" s="17" t="str">
        <f aca="false">IF(H1290="","",IF(COUNTIF('Master Stock'!$A$5:$A$206,H1290)&gt;0,"Yes","Not on stock sheet"))</f>
        <v/>
      </c>
    </row>
    <row r="1291" customFormat="false" ht="14.25" hidden="false" customHeight="true" outlineLevel="0" collapsed="false">
      <c r="E1291" s="17"/>
      <c r="H1291" s="17" t="str">
        <f aca="false">IF(TRIM(C1291)="","",IFERROR(INDEX('Code Aliases'!$B:$B,MATCH(TRIM(C1291),'Code Aliases'!$A:$A,0)),TRIM(C1291)))</f>
        <v/>
      </c>
      <c r="I1291" s="17" t="str">
        <f aca="false">IF(TRIM(B1291)="","",UPPER(TRIM(B1291)))</f>
        <v/>
      </c>
      <c r="J1291" s="17" t="str">
        <f aca="false">IF(H1291="","",IF(COUNTIF('Master Stock'!$A$5:$A$206,H1291)&gt;0,"Yes","Not on stock sheet"))</f>
        <v/>
      </c>
    </row>
    <row r="1292" customFormat="false" ht="14.25" hidden="false" customHeight="true" outlineLevel="0" collapsed="false">
      <c r="E1292" s="17"/>
      <c r="H1292" s="17" t="str">
        <f aca="false">IF(TRIM(C1292)="","",IFERROR(INDEX('Code Aliases'!$B:$B,MATCH(TRIM(C1292),'Code Aliases'!$A:$A,0)),TRIM(C1292)))</f>
        <v/>
      </c>
      <c r="I1292" s="17" t="str">
        <f aca="false">IF(TRIM(B1292)="","",UPPER(TRIM(B1292)))</f>
        <v/>
      </c>
      <c r="J1292" s="17" t="str">
        <f aca="false">IF(H1292="","",IF(COUNTIF('Master Stock'!$A$5:$A$206,H1292)&gt;0,"Yes","Not on stock sheet"))</f>
        <v/>
      </c>
    </row>
    <row r="1293" customFormat="false" ht="14.25" hidden="false" customHeight="true" outlineLevel="0" collapsed="false">
      <c r="E1293" s="17"/>
      <c r="H1293" s="17" t="str">
        <f aca="false">IF(TRIM(C1293)="","",IFERROR(INDEX('Code Aliases'!$B:$B,MATCH(TRIM(C1293),'Code Aliases'!$A:$A,0)),TRIM(C1293)))</f>
        <v/>
      </c>
      <c r="I1293" s="17" t="str">
        <f aca="false">IF(TRIM(B1293)="","",UPPER(TRIM(B1293)))</f>
        <v/>
      </c>
      <c r="J1293" s="17" t="str">
        <f aca="false">IF(H1293="","",IF(COUNTIF('Master Stock'!$A$5:$A$206,H1293)&gt;0,"Yes","Not on stock sheet"))</f>
        <v/>
      </c>
    </row>
    <row r="1294" customFormat="false" ht="14.25" hidden="false" customHeight="true" outlineLevel="0" collapsed="false">
      <c r="E1294" s="17"/>
      <c r="H1294" s="17" t="str">
        <f aca="false">IF(TRIM(C1294)="","",IFERROR(INDEX('Code Aliases'!$B:$B,MATCH(TRIM(C1294),'Code Aliases'!$A:$A,0)),TRIM(C1294)))</f>
        <v/>
      </c>
      <c r="I1294" s="17" t="str">
        <f aca="false">IF(TRIM(B1294)="","",UPPER(TRIM(B1294)))</f>
        <v/>
      </c>
      <c r="J1294" s="17" t="str">
        <f aca="false">IF(H1294="","",IF(COUNTIF('Master Stock'!$A$5:$A$206,H1294)&gt;0,"Yes","Not on stock sheet"))</f>
        <v/>
      </c>
    </row>
    <row r="1295" customFormat="false" ht="14.25" hidden="false" customHeight="true" outlineLevel="0" collapsed="false">
      <c r="E1295" s="17"/>
      <c r="H1295" s="17" t="str">
        <f aca="false">IF(TRIM(C1295)="","",IFERROR(INDEX('Code Aliases'!$B:$B,MATCH(TRIM(C1295),'Code Aliases'!$A:$A,0)),TRIM(C1295)))</f>
        <v/>
      </c>
      <c r="I1295" s="17" t="str">
        <f aca="false">IF(TRIM(B1295)="","",UPPER(TRIM(B1295)))</f>
        <v/>
      </c>
      <c r="J1295" s="17" t="str">
        <f aca="false">IF(H1295="","",IF(COUNTIF('Master Stock'!$A$5:$A$206,H1295)&gt;0,"Yes","Not on stock sheet"))</f>
        <v/>
      </c>
    </row>
    <row r="1296" customFormat="false" ht="14.25" hidden="false" customHeight="true" outlineLevel="0" collapsed="false">
      <c r="E1296" s="17"/>
      <c r="H1296" s="17" t="str">
        <f aca="false">IF(TRIM(C1296)="","",IFERROR(INDEX('Code Aliases'!$B:$B,MATCH(TRIM(C1296),'Code Aliases'!$A:$A,0)),TRIM(C1296)))</f>
        <v/>
      </c>
      <c r="I1296" s="17" t="str">
        <f aca="false">IF(TRIM(B1296)="","",UPPER(TRIM(B1296)))</f>
        <v/>
      </c>
      <c r="J1296" s="17" t="str">
        <f aca="false">IF(H1296="","",IF(COUNTIF('Master Stock'!$A$5:$A$206,H1296)&gt;0,"Yes","Not on stock sheet"))</f>
        <v/>
      </c>
    </row>
    <row r="1297" customFormat="false" ht="14.25" hidden="false" customHeight="true" outlineLevel="0" collapsed="false">
      <c r="E1297" s="17"/>
      <c r="H1297" s="17" t="str">
        <f aca="false">IF(TRIM(C1297)="","",IFERROR(INDEX('Code Aliases'!$B:$B,MATCH(TRIM(C1297),'Code Aliases'!$A:$A,0)),TRIM(C1297)))</f>
        <v/>
      </c>
      <c r="I1297" s="17" t="str">
        <f aca="false">IF(TRIM(B1297)="","",UPPER(TRIM(B1297)))</f>
        <v/>
      </c>
      <c r="J1297" s="17" t="str">
        <f aca="false">IF(H1297="","",IF(COUNTIF('Master Stock'!$A$5:$A$206,H1297)&gt;0,"Yes","Not on stock sheet"))</f>
        <v/>
      </c>
    </row>
    <row r="1298" customFormat="false" ht="14.25" hidden="false" customHeight="true" outlineLevel="0" collapsed="false">
      <c r="E1298" s="17"/>
      <c r="H1298" s="17" t="str">
        <f aca="false">IF(TRIM(C1298)="","",IFERROR(INDEX('Code Aliases'!$B:$B,MATCH(TRIM(C1298),'Code Aliases'!$A:$A,0)),TRIM(C1298)))</f>
        <v/>
      </c>
      <c r="I1298" s="17" t="str">
        <f aca="false">IF(TRIM(B1298)="","",UPPER(TRIM(B1298)))</f>
        <v/>
      </c>
      <c r="J1298" s="17" t="str">
        <f aca="false">IF(H1298="","",IF(COUNTIF('Master Stock'!$A$5:$A$206,H1298)&gt;0,"Yes","Not on stock sheet"))</f>
        <v/>
      </c>
    </row>
    <row r="1299" customFormat="false" ht="14.25" hidden="false" customHeight="true" outlineLevel="0" collapsed="false">
      <c r="E1299" s="17"/>
      <c r="H1299" s="17" t="str">
        <f aca="false">IF(TRIM(C1299)="","",IFERROR(INDEX('Code Aliases'!$B:$B,MATCH(TRIM(C1299),'Code Aliases'!$A:$A,0)),TRIM(C1299)))</f>
        <v/>
      </c>
      <c r="I1299" s="17" t="str">
        <f aca="false">IF(TRIM(B1299)="","",UPPER(TRIM(B1299)))</f>
        <v/>
      </c>
      <c r="J1299" s="17" t="str">
        <f aca="false">IF(H1299="","",IF(COUNTIF('Master Stock'!$A$5:$A$206,H1299)&gt;0,"Yes","Not on stock sheet"))</f>
        <v/>
      </c>
    </row>
    <row r="1300" customFormat="false" ht="14.25" hidden="false" customHeight="true" outlineLevel="0" collapsed="false">
      <c r="E1300" s="17"/>
      <c r="H1300" s="17" t="str">
        <f aca="false">IF(TRIM(C1300)="","",IFERROR(INDEX('Code Aliases'!$B:$B,MATCH(TRIM(C1300),'Code Aliases'!$A:$A,0)),TRIM(C1300)))</f>
        <v/>
      </c>
      <c r="I1300" s="17" t="str">
        <f aca="false">IF(TRIM(B1300)="","",UPPER(TRIM(B1300)))</f>
        <v/>
      </c>
      <c r="J1300" s="17" t="str">
        <f aca="false">IF(H1300="","",IF(COUNTIF('Master Stock'!$A$5:$A$206,H1300)&gt;0,"Yes","Not on stock sheet"))</f>
        <v/>
      </c>
    </row>
    <row r="1301" customFormat="false" ht="14.25" hidden="false" customHeight="true" outlineLevel="0" collapsed="false">
      <c r="E1301" s="17"/>
      <c r="H1301" s="17" t="str">
        <f aca="false">IF(TRIM(C1301)="","",IFERROR(INDEX('Code Aliases'!$B:$B,MATCH(TRIM(C1301),'Code Aliases'!$A:$A,0)),TRIM(C1301)))</f>
        <v/>
      </c>
      <c r="I1301" s="17" t="str">
        <f aca="false">IF(TRIM(B1301)="","",UPPER(TRIM(B1301)))</f>
        <v/>
      </c>
      <c r="J1301" s="17" t="str">
        <f aca="false">IF(H1301="","",IF(COUNTIF('Master Stock'!$A$5:$A$206,H1301)&gt;0,"Yes","Not on stock sheet"))</f>
        <v/>
      </c>
    </row>
    <row r="1302" customFormat="false" ht="14.25" hidden="false" customHeight="true" outlineLevel="0" collapsed="false">
      <c r="E1302" s="17"/>
      <c r="H1302" s="17" t="str">
        <f aca="false">IF(TRIM(C1302)="","",IFERROR(INDEX('Code Aliases'!$B:$B,MATCH(TRIM(C1302),'Code Aliases'!$A:$A,0)),TRIM(C1302)))</f>
        <v/>
      </c>
      <c r="I1302" s="17" t="str">
        <f aca="false">IF(TRIM(B1302)="","",UPPER(TRIM(B1302)))</f>
        <v/>
      </c>
      <c r="J1302" s="17" t="str">
        <f aca="false">IF(H1302="","",IF(COUNTIF('Master Stock'!$A$5:$A$206,H1302)&gt;0,"Yes","Not on stock sheet"))</f>
        <v/>
      </c>
    </row>
    <row r="1303" customFormat="false" ht="14.25" hidden="false" customHeight="true" outlineLevel="0" collapsed="false">
      <c r="E1303" s="17"/>
      <c r="H1303" s="17" t="str">
        <f aca="false">IF(TRIM(C1303)="","",IFERROR(INDEX('Code Aliases'!$B:$B,MATCH(TRIM(C1303),'Code Aliases'!$A:$A,0)),TRIM(C1303)))</f>
        <v/>
      </c>
      <c r="I1303" s="17" t="str">
        <f aca="false">IF(TRIM(B1303)="","",UPPER(TRIM(B1303)))</f>
        <v/>
      </c>
      <c r="J1303" s="17" t="str">
        <f aca="false">IF(H1303="","",IF(COUNTIF('Master Stock'!$A$5:$A$206,H1303)&gt;0,"Yes","Not on stock sheet"))</f>
        <v/>
      </c>
    </row>
    <row r="1304" customFormat="false" ht="14.25" hidden="false" customHeight="true" outlineLevel="0" collapsed="false">
      <c r="E1304" s="17"/>
      <c r="H1304" s="17" t="str">
        <f aca="false">IF(TRIM(C1304)="","",IFERROR(INDEX('Code Aliases'!$B:$B,MATCH(TRIM(C1304),'Code Aliases'!$A:$A,0)),TRIM(C1304)))</f>
        <v/>
      </c>
      <c r="I1304" s="17" t="str">
        <f aca="false">IF(TRIM(B1304)="","",UPPER(TRIM(B1304)))</f>
        <v/>
      </c>
      <c r="J1304" s="17" t="str">
        <f aca="false">IF(H1304="","",IF(COUNTIF('Master Stock'!$A$5:$A$206,H1304)&gt;0,"Yes","Not on stock sheet"))</f>
        <v/>
      </c>
    </row>
    <row r="1305" customFormat="false" ht="14.25" hidden="false" customHeight="true" outlineLevel="0" collapsed="false">
      <c r="E1305" s="17"/>
      <c r="H1305" s="17" t="str">
        <f aca="false">IF(TRIM(C1305)="","",IFERROR(INDEX('Code Aliases'!$B:$B,MATCH(TRIM(C1305),'Code Aliases'!$A:$A,0)),TRIM(C1305)))</f>
        <v/>
      </c>
      <c r="I1305" s="17" t="str">
        <f aca="false">IF(TRIM(B1305)="","",UPPER(TRIM(B1305)))</f>
        <v/>
      </c>
      <c r="J1305" s="17" t="str">
        <f aca="false">IF(H1305="","",IF(COUNTIF('Master Stock'!$A$5:$A$206,H1305)&gt;0,"Yes","Not on stock sheet"))</f>
        <v/>
      </c>
    </row>
    <row r="1306" customFormat="false" ht="14.25" hidden="false" customHeight="true" outlineLevel="0" collapsed="false">
      <c r="E1306" s="17"/>
      <c r="H1306" s="17" t="str">
        <f aca="false">IF(TRIM(C1306)="","",IFERROR(INDEX('Code Aliases'!$B:$B,MATCH(TRIM(C1306),'Code Aliases'!$A:$A,0)),TRIM(C1306)))</f>
        <v/>
      </c>
      <c r="I1306" s="17" t="str">
        <f aca="false">IF(TRIM(B1306)="","",UPPER(TRIM(B1306)))</f>
        <v/>
      </c>
      <c r="J1306" s="17" t="str">
        <f aca="false">IF(H1306="","",IF(COUNTIF('Master Stock'!$A$5:$A$206,H1306)&gt;0,"Yes","Not on stock sheet"))</f>
        <v/>
      </c>
    </row>
    <row r="1307" customFormat="false" ht="14.25" hidden="false" customHeight="true" outlineLevel="0" collapsed="false">
      <c r="E1307" s="17"/>
      <c r="H1307" s="17" t="str">
        <f aca="false">IF(TRIM(C1307)="","",IFERROR(INDEX('Code Aliases'!$B:$B,MATCH(TRIM(C1307),'Code Aliases'!$A:$A,0)),TRIM(C1307)))</f>
        <v/>
      </c>
      <c r="I1307" s="17" t="str">
        <f aca="false">IF(TRIM(B1307)="","",UPPER(TRIM(B1307)))</f>
        <v/>
      </c>
      <c r="J1307" s="17" t="str">
        <f aca="false">IF(H1307="","",IF(COUNTIF('Master Stock'!$A$5:$A$206,H1307)&gt;0,"Yes","Not on stock sheet"))</f>
        <v/>
      </c>
    </row>
    <row r="1308" customFormat="false" ht="14.25" hidden="false" customHeight="true" outlineLevel="0" collapsed="false">
      <c r="E1308" s="17"/>
      <c r="H1308" s="17" t="str">
        <f aca="false">IF(TRIM(C1308)="","",IFERROR(INDEX('Code Aliases'!$B:$B,MATCH(TRIM(C1308),'Code Aliases'!$A:$A,0)),TRIM(C1308)))</f>
        <v/>
      </c>
      <c r="I1308" s="17" t="str">
        <f aca="false">IF(TRIM(B1308)="","",UPPER(TRIM(B1308)))</f>
        <v/>
      </c>
      <c r="J1308" s="17" t="str">
        <f aca="false">IF(H1308="","",IF(COUNTIF('Master Stock'!$A$5:$A$206,H1308)&gt;0,"Yes","Not on stock sheet"))</f>
        <v/>
      </c>
    </row>
    <row r="1309" customFormat="false" ht="14.25" hidden="false" customHeight="true" outlineLevel="0" collapsed="false">
      <c r="E1309" s="17"/>
      <c r="H1309" s="17" t="str">
        <f aca="false">IF(TRIM(C1309)="","",IFERROR(INDEX('Code Aliases'!$B:$B,MATCH(TRIM(C1309),'Code Aliases'!$A:$A,0)),TRIM(C1309)))</f>
        <v/>
      </c>
      <c r="I1309" s="17" t="str">
        <f aca="false">IF(TRIM(B1309)="","",UPPER(TRIM(B1309)))</f>
        <v/>
      </c>
      <c r="J1309" s="17" t="str">
        <f aca="false">IF(H1309="","",IF(COUNTIF('Master Stock'!$A$5:$A$206,H1309)&gt;0,"Yes","Not on stock sheet"))</f>
        <v/>
      </c>
    </row>
    <row r="1310" customFormat="false" ht="14.25" hidden="false" customHeight="true" outlineLevel="0" collapsed="false">
      <c r="E1310" s="17"/>
      <c r="H1310" s="17" t="str">
        <f aca="false">IF(TRIM(C1310)="","",IFERROR(INDEX('Code Aliases'!$B:$B,MATCH(TRIM(C1310),'Code Aliases'!$A:$A,0)),TRIM(C1310)))</f>
        <v/>
      </c>
      <c r="I1310" s="17" t="str">
        <f aca="false">IF(TRIM(B1310)="","",UPPER(TRIM(B1310)))</f>
        <v/>
      </c>
      <c r="J1310" s="17" t="str">
        <f aca="false">IF(H1310="","",IF(COUNTIF('Master Stock'!$A$5:$A$206,H1310)&gt;0,"Yes","Not on stock sheet"))</f>
        <v/>
      </c>
    </row>
    <row r="1311" customFormat="false" ht="14.25" hidden="false" customHeight="true" outlineLevel="0" collapsed="false">
      <c r="E1311" s="17"/>
      <c r="H1311" s="17" t="str">
        <f aca="false">IF(TRIM(C1311)="","",IFERROR(INDEX('Code Aliases'!$B:$B,MATCH(TRIM(C1311),'Code Aliases'!$A:$A,0)),TRIM(C1311)))</f>
        <v/>
      </c>
      <c r="I1311" s="17" t="str">
        <f aca="false">IF(TRIM(B1311)="","",UPPER(TRIM(B1311)))</f>
        <v/>
      </c>
      <c r="J1311" s="17" t="str">
        <f aca="false">IF(H1311="","",IF(COUNTIF('Master Stock'!$A$5:$A$206,H1311)&gt;0,"Yes","Not on stock sheet"))</f>
        <v/>
      </c>
    </row>
    <row r="1312" customFormat="false" ht="14.25" hidden="false" customHeight="true" outlineLevel="0" collapsed="false">
      <c r="E1312" s="17"/>
      <c r="H1312" s="17" t="str">
        <f aca="false">IF(TRIM(C1312)="","",IFERROR(INDEX('Code Aliases'!$B:$B,MATCH(TRIM(C1312),'Code Aliases'!$A:$A,0)),TRIM(C1312)))</f>
        <v/>
      </c>
      <c r="I1312" s="17" t="str">
        <f aca="false">IF(TRIM(B1312)="","",UPPER(TRIM(B1312)))</f>
        <v/>
      </c>
      <c r="J1312" s="17" t="str">
        <f aca="false">IF(H1312="","",IF(COUNTIF('Master Stock'!$A$5:$A$206,H1312)&gt;0,"Yes","Not on stock sheet"))</f>
        <v/>
      </c>
    </row>
    <row r="1313" customFormat="false" ht="14.25" hidden="false" customHeight="true" outlineLevel="0" collapsed="false">
      <c r="E1313" s="17"/>
      <c r="H1313" s="17" t="str">
        <f aca="false">IF(TRIM(C1313)="","",IFERROR(INDEX('Code Aliases'!$B:$B,MATCH(TRIM(C1313),'Code Aliases'!$A:$A,0)),TRIM(C1313)))</f>
        <v/>
      </c>
      <c r="I1313" s="17" t="str">
        <f aca="false">IF(TRIM(B1313)="","",UPPER(TRIM(B1313)))</f>
        <v/>
      </c>
      <c r="J1313" s="17" t="str">
        <f aca="false">IF(H1313="","",IF(COUNTIF('Master Stock'!$A$5:$A$206,H1313)&gt;0,"Yes","Not on stock sheet"))</f>
        <v/>
      </c>
    </row>
    <row r="1314" customFormat="false" ht="14.25" hidden="false" customHeight="true" outlineLevel="0" collapsed="false">
      <c r="E1314" s="17"/>
      <c r="H1314" s="17" t="str">
        <f aca="false">IF(TRIM(C1314)="","",IFERROR(INDEX('Code Aliases'!$B:$B,MATCH(TRIM(C1314),'Code Aliases'!$A:$A,0)),TRIM(C1314)))</f>
        <v/>
      </c>
      <c r="I1314" s="17" t="str">
        <f aca="false">IF(TRIM(B1314)="","",UPPER(TRIM(B1314)))</f>
        <v/>
      </c>
      <c r="J1314" s="17" t="str">
        <f aca="false">IF(H1314="","",IF(COUNTIF('Master Stock'!$A$5:$A$206,H1314)&gt;0,"Yes","Not on stock sheet"))</f>
        <v/>
      </c>
    </row>
    <row r="1315" customFormat="false" ht="14.25" hidden="false" customHeight="true" outlineLevel="0" collapsed="false">
      <c r="E1315" s="17"/>
      <c r="H1315" s="17" t="str">
        <f aca="false">IF(TRIM(C1315)="","",IFERROR(INDEX('Code Aliases'!$B:$B,MATCH(TRIM(C1315),'Code Aliases'!$A:$A,0)),TRIM(C1315)))</f>
        <v/>
      </c>
      <c r="I1315" s="17" t="str">
        <f aca="false">IF(TRIM(B1315)="","",UPPER(TRIM(B1315)))</f>
        <v/>
      </c>
      <c r="J1315" s="17" t="str">
        <f aca="false">IF(H1315="","",IF(COUNTIF('Master Stock'!$A$5:$A$206,H1315)&gt;0,"Yes","Not on stock sheet"))</f>
        <v/>
      </c>
    </row>
    <row r="1316" customFormat="false" ht="14.25" hidden="false" customHeight="true" outlineLevel="0" collapsed="false">
      <c r="E1316" s="17"/>
      <c r="H1316" s="17" t="str">
        <f aca="false">IF(TRIM(C1316)="","",IFERROR(INDEX('Code Aliases'!$B:$B,MATCH(TRIM(C1316),'Code Aliases'!$A:$A,0)),TRIM(C1316)))</f>
        <v/>
      </c>
      <c r="I1316" s="17" t="str">
        <f aca="false">IF(TRIM(B1316)="","",UPPER(TRIM(B1316)))</f>
        <v/>
      </c>
      <c r="J1316" s="17" t="str">
        <f aca="false">IF(H1316="","",IF(COUNTIF('Master Stock'!$A$5:$A$206,H1316)&gt;0,"Yes","Not on stock sheet"))</f>
        <v/>
      </c>
    </row>
    <row r="1317" customFormat="false" ht="14.25" hidden="false" customHeight="true" outlineLevel="0" collapsed="false">
      <c r="E1317" s="17"/>
      <c r="H1317" s="17" t="str">
        <f aca="false">IF(TRIM(C1317)="","",IFERROR(INDEX('Code Aliases'!$B:$B,MATCH(TRIM(C1317),'Code Aliases'!$A:$A,0)),TRIM(C1317)))</f>
        <v/>
      </c>
      <c r="I1317" s="17" t="str">
        <f aca="false">IF(TRIM(B1317)="","",UPPER(TRIM(B1317)))</f>
        <v/>
      </c>
      <c r="J1317" s="17" t="str">
        <f aca="false">IF(H1317="","",IF(COUNTIF('Master Stock'!$A$5:$A$206,H1317)&gt;0,"Yes","Not on stock sheet"))</f>
        <v/>
      </c>
    </row>
    <row r="1318" customFormat="false" ht="14.25" hidden="false" customHeight="true" outlineLevel="0" collapsed="false">
      <c r="E1318" s="17"/>
      <c r="H1318" s="17" t="str">
        <f aca="false">IF(TRIM(C1318)="","",IFERROR(INDEX('Code Aliases'!$B:$B,MATCH(TRIM(C1318),'Code Aliases'!$A:$A,0)),TRIM(C1318)))</f>
        <v/>
      </c>
      <c r="I1318" s="17" t="str">
        <f aca="false">IF(TRIM(B1318)="","",UPPER(TRIM(B1318)))</f>
        <v/>
      </c>
      <c r="J1318" s="17" t="str">
        <f aca="false">IF(H1318="","",IF(COUNTIF('Master Stock'!$A$5:$A$206,H1318)&gt;0,"Yes","Not on stock sheet"))</f>
        <v/>
      </c>
    </row>
    <row r="1319" customFormat="false" ht="14.25" hidden="false" customHeight="true" outlineLevel="0" collapsed="false">
      <c r="E1319" s="17"/>
      <c r="H1319" s="17" t="str">
        <f aca="false">IF(TRIM(C1319)="","",IFERROR(INDEX('Code Aliases'!$B:$B,MATCH(TRIM(C1319),'Code Aliases'!$A:$A,0)),TRIM(C1319)))</f>
        <v/>
      </c>
      <c r="I1319" s="17" t="str">
        <f aca="false">IF(TRIM(B1319)="","",UPPER(TRIM(B1319)))</f>
        <v/>
      </c>
      <c r="J1319" s="17" t="str">
        <f aca="false">IF(H1319="","",IF(COUNTIF('Master Stock'!$A$5:$A$206,H1319)&gt;0,"Yes","Not on stock sheet"))</f>
        <v/>
      </c>
    </row>
    <row r="1320" customFormat="false" ht="14.25" hidden="false" customHeight="true" outlineLevel="0" collapsed="false">
      <c r="E1320" s="17"/>
      <c r="H1320" s="17" t="str">
        <f aca="false">IF(TRIM(C1320)="","",IFERROR(INDEX('Code Aliases'!$B:$B,MATCH(TRIM(C1320),'Code Aliases'!$A:$A,0)),TRIM(C1320)))</f>
        <v/>
      </c>
      <c r="I1320" s="17" t="str">
        <f aca="false">IF(TRIM(B1320)="","",UPPER(TRIM(B1320)))</f>
        <v/>
      </c>
      <c r="J1320" s="17" t="str">
        <f aca="false">IF(H1320="","",IF(COUNTIF('Master Stock'!$A$5:$A$206,H1320)&gt;0,"Yes","Not on stock sheet"))</f>
        <v/>
      </c>
    </row>
    <row r="1321" customFormat="false" ht="14.25" hidden="false" customHeight="true" outlineLevel="0" collapsed="false">
      <c r="E1321" s="17"/>
      <c r="H1321" s="17" t="str">
        <f aca="false">IF(TRIM(C1321)="","",IFERROR(INDEX('Code Aliases'!$B:$B,MATCH(TRIM(C1321),'Code Aliases'!$A:$A,0)),TRIM(C1321)))</f>
        <v/>
      </c>
      <c r="I1321" s="17" t="str">
        <f aca="false">IF(TRIM(B1321)="","",UPPER(TRIM(B1321)))</f>
        <v/>
      </c>
      <c r="J1321" s="17" t="str">
        <f aca="false">IF(H1321="","",IF(COUNTIF('Master Stock'!$A$5:$A$206,H1321)&gt;0,"Yes","Not on stock sheet"))</f>
        <v/>
      </c>
    </row>
    <row r="1322" customFormat="false" ht="14.25" hidden="false" customHeight="true" outlineLevel="0" collapsed="false">
      <c r="E1322" s="17"/>
      <c r="H1322" s="17" t="str">
        <f aca="false">IF(TRIM(C1322)="","",IFERROR(INDEX('Code Aliases'!$B:$B,MATCH(TRIM(C1322),'Code Aliases'!$A:$A,0)),TRIM(C1322)))</f>
        <v/>
      </c>
      <c r="I1322" s="17" t="str">
        <f aca="false">IF(TRIM(B1322)="","",UPPER(TRIM(B1322)))</f>
        <v/>
      </c>
      <c r="J1322" s="17" t="str">
        <f aca="false">IF(H1322="","",IF(COUNTIF('Master Stock'!$A$5:$A$206,H1322)&gt;0,"Yes","Not on stock sheet"))</f>
        <v/>
      </c>
    </row>
    <row r="1323" customFormat="false" ht="14.25" hidden="false" customHeight="true" outlineLevel="0" collapsed="false">
      <c r="E1323" s="17"/>
      <c r="H1323" s="17" t="str">
        <f aca="false">IF(TRIM(C1323)="","",IFERROR(INDEX('Code Aliases'!$B:$B,MATCH(TRIM(C1323),'Code Aliases'!$A:$A,0)),TRIM(C1323)))</f>
        <v/>
      </c>
      <c r="I1323" s="17" t="str">
        <f aca="false">IF(TRIM(B1323)="","",UPPER(TRIM(B1323)))</f>
        <v/>
      </c>
      <c r="J1323" s="17" t="str">
        <f aca="false">IF(H1323="","",IF(COUNTIF('Master Stock'!$A$5:$A$206,H1323)&gt;0,"Yes","Not on stock sheet"))</f>
        <v/>
      </c>
    </row>
    <row r="1324" customFormat="false" ht="14.25" hidden="false" customHeight="true" outlineLevel="0" collapsed="false">
      <c r="E1324" s="17"/>
      <c r="H1324" s="17" t="str">
        <f aca="false">IF(TRIM(C1324)="","",IFERROR(INDEX('Code Aliases'!$B:$B,MATCH(TRIM(C1324),'Code Aliases'!$A:$A,0)),TRIM(C1324)))</f>
        <v/>
      </c>
      <c r="I1324" s="17" t="str">
        <f aca="false">IF(TRIM(B1324)="","",UPPER(TRIM(B1324)))</f>
        <v/>
      </c>
      <c r="J1324" s="17" t="str">
        <f aca="false">IF(H1324="","",IF(COUNTIF('Master Stock'!$A$5:$A$206,H1324)&gt;0,"Yes","Not on stock sheet"))</f>
        <v/>
      </c>
    </row>
    <row r="1325" customFormat="false" ht="14.25" hidden="false" customHeight="true" outlineLevel="0" collapsed="false">
      <c r="E1325" s="17"/>
      <c r="H1325" s="17" t="str">
        <f aca="false">IF(TRIM(C1325)="","",IFERROR(INDEX('Code Aliases'!$B:$B,MATCH(TRIM(C1325),'Code Aliases'!$A:$A,0)),TRIM(C1325)))</f>
        <v/>
      </c>
      <c r="I1325" s="17" t="str">
        <f aca="false">IF(TRIM(B1325)="","",UPPER(TRIM(B1325)))</f>
        <v/>
      </c>
      <c r="J1325" s="17" t="str">
        <f aca="false">IF(H1325="","",IF(COUNTIF('Master Stock'!$A$5:$A$206,H1325)&gt;0,"Yes","Not on stock sheet"))</f>
        <v/>
      </c>
    </row>
    <row r="1326" customFormat="false" ht="14.25" hidden="false" customHeight="true" outlineLevel="0" collapsed="false">
      <c r="E1326" s="17"/>
      <c r="H1326" s="17" t="str">
        <f aca="false">IF(TRIM(C1326)="","",IFERROR(INDEX('Code Aliases'!$B:$B,MATCH(TRIM(C1326),'Code Aliases'!$A:$A,0)),TRIM(C1326)))</f>
        <v/>
      </c>
      <c r="I1326" s="17" t="str">
        <f aca="false">IF(TRIM(B1326)="","",UPPER(TRIM(B1326)))</f>
        <v/>
      </c>
      <c r="J1326" s="17" t="str">
        <f aca="false">IF(H1326="","",IF(COUNTIF('Master Stock'!$A$5:$A$206,H1326)&gt;0,"Yes","Not on stock sheet"))</f>
        <v/>
      </c>
    </row>
    <row r="1327" customFormat="false" ht="14.25" hidden="false" customHeight="true" outlineLevel="0" collapsed="false">
      <c r="E1327" s="17"/>
      <c r="H1327" s="17" t="str">
        <f aca="false">IF(TRIM(C1327)="","",IFERROR(INDEX('Code Aliases'!$B:$B,MATCH(TRIM(C1327),'Code Aliases'!$A:$A,0)),TRIM(C1327)))</f>
        <v/>
      </c>
      <c r="I1327" s="17" t="str">
        <f aca="false">IF(TRIM(B1327)="","",UPPER(TRIM(B1327)))</f>
        <v/>
      </c>
      <c r="J1327" s="17" t="str">
        <f aca="false">IF(H1327="","",IF(COUNTIF('Master Stock'!$A$5:$A$206,H1327)&gt;0,"Yes","Not on stock sheet"))</f>
        <v/>
      </c>
    </row>
    <row r="1328" customFormat="false" ht="14.25" hidden="false" customHeight="true" outlineLevel="0" collapsed="false">
      <c r="E1328" s="17"/>
      <c r="H1328" s="17" t="str">
        <f aca="false">IF(TRIM(C1328)="","",IFERROR(INDEX('Code Aliases'!$B:$B,MATCH(TRIM(C1328),'Code Aliases'!$A:$A,0)),TRIM(C1328)))</f>
        <v/>
      </c>
      <c r="I1328" s="17" t="str">
        <f aca="false">IF(TRIM(B1328)="","",UPPER(TRIM(B1328)))</f>
        <v/>
      </c>
      <c r="J1328" s="17" t="str">
        <f aca="false">IF(H1328="","",IF(COUNTIF('Master Stock'!$A$5:$A$206,H1328)&gt;0,"Yes","Not on stock sheet"))</f>
        <v/>
      </c>
    </row>
    <row r="1329" customFormat="false" ht="14.25" hidden="false" customHeight="true" outlineLevel="0" collapsed="false">
      <c r="E1329" s="17"/>
      <c r="H1329" s="17" t="str">
        <f aca="false">IF(TRIM(C1329)="","",IFERROR(INDEX('Code Aliases'!$B:$B,MATCH(TRIM(C1329),'Code Aliases'!$A:$A,0)),TRIM(C1329)))</f>
        <v/>
      </c>
      <c r="I1329" s="17" t="str">
        <f aca="false">IF(TRIM(B1329)="","",UPPER(TRIM(B1329)))</f>
        <v/>
      </c>
      <c r="J1329" s="17" t="str">
        <f aca="false">IF(H1329="","",IF(COUNTIF('Master Stock'!$A$5:$A$206,H1329)&gt;0,"Yes","Not on stock sheet"))</f>
        <v/>
      </c>
    </row>
    <row r="1330" customFormat="false" ht="14.25" hidden="false" customHeight="true" outlineLevel="0" collapsed="false">
      <c r="E1330" s="17"/>
      <c r="H1330" s="17" t="str">
        <f aca="false">IF(TRIM(C1330)="","",IFERROR(INDEX('Code Aliases'!$B:$B,MATCH(TRIM(C1330),'Code Aliases'!$A:$A,0)),TRIM(C1330)))</f>
        <v/>
      </c>
      <c r="I1330" s="17" t="str">
        <f aca="false">IF(TRIM(B1330)="","",UPPER(TRIM(B1330)))</f>
        <v/>
      </c>
      <c r="J1330" s="17" t="str">
        <f aca="false">IF(H1330="","",IF(COUNTIF('Master Stock'!$A$5:$A$206,H1330)&gt;0,"Yes","Not on stock sheet"))</f>
        <v/>
      </c>
    </row>
    <row r="1331" customFormat="false" ht="14.25" hidden="false" customHeight="true" outlineLevel="0" collapsed="false">
      <c r="E1331" s="17"/>
      <c r="H1331" s="17" t="str">
        <f aca="false">IF(TRIM(C1331)="","",IFERROR(INDEX('Code Aliases'!$B:$B,MATCH(TRIM(C1331),'Code Aliases'!$A:$A,0)),TRIM(C1331)))</f>
        <v/>
      </c>
      <c r="I1331" s="17" t="str">
        <f aca="false">IF(TRIM(B1331)="","",UPPER(TRIM(B1331)))</f>
        <v/>
      </c>
      <c r="J1331" s="17" t="str">
        <f aca="false">IF(H1331="","",IF(COUNTIF('Master Stock'!$A$5:$A$206,H1331)&gt;0,"Yes","Not on stock sheet"))</f>
        <v/>
      </c>
    </row>
    <row r="1332" customFormat="false" ht="14.25" hidden="false" customHeight="true" outlineLevel="0" collapsed="false">
      <c r="E1332" s="17"/>
      <c r="H1332" s="17" t="str">
        <f aca="false">IF(TRIM(C1332)="","",IFERROR(INDEX('Code Aliases'!$B:$B,MATCH(TRIM(C1332),'Code Aliases'!$A:$A,0)),TRIM(C1332)))</f>
        <v/>
      </c>
      <c r="I1332" s="17" t="str">
        <f aca="false">IF(TRIM(B1332)="","",UPPER(TRIM(B1332)))</f>
        <v/>
      </c>
      <c r="J1332" s="17" t="str">
        <f aca="false">IF(H1332="","",IF(COUNTIF('Master Stock'!$A$5:$A$206,H1332)&gt;0,"Yes","Not on stock sheet"))</f>
        <v/>
      </c>
    </row>
    <row r="1333" customFormat="false" ht="14.25" hidden="false" customHeight="true" outlineLevel="0" collapsed="false">
      <c r="E1333" s="17"/>
      <c r="H1333" s="17" t="str">
        <f aca="false">IF(TRIM(C1333)="","",IFERROR(INDEX('Code Aliases'!$B:$B,MATCH(TRIM(C1333),'Code Aliases'!$A:$A,0)),TRIM(C1333)))</f>
        <v/>
      </c>
      <c r="I1333" s="17" t="str">
        <f aca="false">IF(TRIM(B1333)="","",UPPER(TRIM(B1333)))</f>
        <v/>
      </c>
      <c r="J1333" s="17" t="str">
        <f aca="false">IF(H1333="","",IF(COUNTIF('Master Stock'!$A$5:$A$206,H1333)&gt;0,"Yes","Not on stock sheet"))</f>
        <v/>
      </c>
    </row>
    <row r="1334" customFormat="false" ht="14.25" hidden="false" customHeight="true" outlineLevel="0" collapsed="false">
      <c r="E1334" s="17"/>
      <c r="H1334" s="17" t="str">
        <f aca="false">IF(TRIM(C1334)="","",IFERROR(INDEX('Code Aliases'!$B:$B,MATCH(TRIM(C1334),'Code Aliases'!$A:$A,0)),TRIM(C1334)))</f>
        <v/>
      </c>
      <c r="I1334" s="17" t="str">
        <f aca="false">IF(TRIM(B1334)="","",UPPER(TRIM(B1334)))</f>
        <v/>
      </c>
      <c r="J1334" s="17" t="str">
        <f aca="false">IF(H1334="","",IF(COUNTIF('Master Stock'!$A$5:$A$206,H1334)&gt;0,"Yes","Not on stock sheet"))</f>
        <v/>
      </c>
    </row>
    <row r="1335" customFormat="false" ht="14.25" hidden="false" customHeight="true" outlineLevel="0" collapsed="false">
      <c r="E1335" s="17"/>
      <c r="H1335" s="17" t="str">
        <f aca="false">IF(TRIM(C1335)="","",IFERROR(INDEX('Code Aliases'!$B:$B,MATCH(TRIM(C1335),'Code Aliases'!$A:$A,0)),TRIM(C1335)))</f>
        <v/>
      </c>
      <c r="I1335" s="17" t="str">
        <f aca="false">IF(TRIM(B1335)="","",UPPER(TRIM(B1335)))</f>
        <v/>
      </c>
      <c r="J1335" s="17" t="str">
        <f aca="false">IF(H1335="","",IF(COUNTIF('Master Stock'!$A$5:$A$206,H1335)&gt;0,"Yes","Not on stock sheet"))</f>
        <v/>
      </c>
    </row>
    <row r="1336" customFormat="false" ht="14.25" hidden="false" customHeight="true" outlineLevel="0" collapsed="false">
      <c r="E1336" s="17"/>
      <c r="H1336" s="17" t="str">
        <f aca="false">IF(TRIM(C1336)="","",IFERROR(INDEX('Code Aliases'!$B:$B,MATCH(TRIM(C1336),'Code Aliases'!$A:$A,0)),TRIM(C1336)))</f>
        <v/>
      </c>
      <c r="I1336" s="17" t="str">
        <f aca="false">IF(TRIM(B1336)="","",UPPER(TRIM(B1336)))</f>
        <v/>
      </c>
      <c r="J1336" s="17" t="str">
        <f aca="false">IF(H1336="","",IF(COUNTIF('Master Stock'!$A$5:$A$206,H1336)&gt;0,"Yes","Not on stock sheet"))</f>
        <v/>
      </c>
    </row>
    <row r="1337" customFormat="false" ht="14.25" hidden="false" customHeight="true" outlineLevel="0" collapsed="false">
      <c r="E1337" s="17"/>
      <c r="H1337" s="17" t="str">
        <f aca="false">IF(TRIM(C1337)="","",IFERROR(INDEX('Code Aliases'!$B:$B,MATCH(TRIM(C1337),'Code Aliases'!$A:$A,0)),TRIM(C1337)))</f>
        <v/>
      </c>
      <c r="I1337" s="17" t="str">
        <f aca="false">IF(TRIM(B1337)="","",UPPER(TRIM(B1337)))</f>
        <v/>
      </c>
      <c r="J1337" s="17" t="str">
        <f aca="false">IF(H1337="","",IF(COUNTIF('Master Stock'!$A$5:$A$206,H1337)&gt;0,"Yes","Not on stock sheet"))</f>
        <v/>
      </c>
    </row>
    <row r="1338" customFormat="false" ht="14.25" hidden="false" customHeight="true" outlineLevel="0" collapsed="false">
      <c r="E1338" s="17"/>
      <c r="H1338" s="17" t="str">
        <f aca="false">IF(TRIM(C1338)="","",IFERROR(INDEX('Code Aliases'!$B:$B,MATCH(TRIM(C1338),'Code Aliases'!$A:$A,0)),TRIM(C1338)))</f>
        <v/>
      </c>
      <c r="I1338" s="17" t="str">
        <f aca="false">IF(TRIM(B1338)="","",UPPER(TRIM(B1338)))</f>
        <v/>
      </c>
      <c r="J1338" s="17" t="str">
        <f aca="false">IF(H1338="","",IF(COUNTIF('Master Stock'!$A$5:$A$206,H1338)&gt;0,"Yes","Not on stock sheet"))</f>
        <v/>
      </c>
    </row>
    <row r="1339" customFormat="false" ht="14.25" hidden="false" customHeight="true" outlineLevel="0" collapsed="false">
      <c r="E1339" s="17"/>
      <c r="H1339" s="17" t="str">
        <f aca="false">IF(TRIM(C1339)="","",IFERROR(INDEX('Code Aliases'!$B:$B,MATCH(TRIM(C1339),'Code Aliases'!$A:$A,0)),TRIM(C1339)))</f>
        <v/>
      </c>
      <c r="I1339" s="17" t="str">
        <f aca="false">IF(TRIM(B1339)="","",UPPER(TRIM(B1339)))</f>
        <v/>
      </c>
      <c r="J1339" s="17" t="str">
        <f aca="false">IF(H1339="","",IF(COUNTIF('Master Stock'!$A$5:$A$206,H1339)&gt;0,"Yes","Not on stock sheet"))</f>
        <v/>
      </c>
    </row>
    <row r="1340" customFormat="false" ht="14.25" hidden="false" customHeight="true" outlineLevel="0" collapsed="false">
      <c r="E1340" s="17"/>
      <c r="H1340" s="17" t="str">
        <f aca="false">IF(TRIM(C1340)="","",IFERROR(INDEX('Code Aliases'!$B:$B,MATCH(TRIM(C1340),'Code Aliases'!$A:$A,0)),TRIM(C1340)))</f>
        <v/>
      </c>
      <c r="I1340" s="17" t="str">
        <f aca="false">IF(TRIM(B1340)="","",UPPER(TRIM(B1340)))</f>
        <v/>
      </c>
      <c r="J1340" s="17" t="str">
        <f aca="false">IF(H1340="","",IF(COUNTIF('Master Stock'!$A$5:$A$206,H1340)&gt;0,"Yes","Not on stock sheet"))</f>
        <v/>
      </c>
    </row>
    <row r="1341" customFormat="false" ht="14.25" hidden="false" customHeight="true" outlineLevel="0" collapsed="false">
      <c r="E1341" s="17"/>
      <c r="H1341" s="17" t="str">
        <f aca="false">IF(TRIM(C1341)="","",IFERROR(INDEX('Code Aliases'!$B:$B,MATCH(TRIM(C1341),'Code Aliases'!$A:$A,0)),TRIM(C1341)))</f>
        <v/>
      </c>
      <c r="I1341" s="17" t="str">
        <f aca="false">IF(TRIM(B1341)="","",UPPER(TRIM(B1341)))</f>
        <v/>
      </c>
      <c r="J1341" s="17" t="str">
        <f aca="false">IF(H1341="","",IF(COUNTIF('Master Stock'!$A$5:$A$206,H1341)&gt;0,"Yes","Not on stock sheet"))</f>
        <v/>
      </c>
    </row>
    <row r="1342" customFormat="false" ht="14.25" hidden="false" customHeight="true" outlineLevel="0" collapsed="false">
      <c r="E1342" s="17"/>
      <c r="H1342" s="17" t="str">
        <f aca="false">IF(TRIM(C1342)="","",IFERROR(INDEX('Code Aliases'!$B:$B,MATCH(TRIM(C1342),'Code Aliases'!$A:$A,0)),TRIM(C1342)))</f>
        <v/>
      </c>
      <c r="I1342" s="17" t="str">
        <f aca="false">IF(TRIM(B1342)="","",UPPER(TRIM(B1342)))</f>
        <v/>
      </c>
      <c r="J1342" s="17" t="str">
        <f aca="false">IF(H1342="","",IF(COUNTIF('Master Stock'!$A$5:$A$206,H1342)&gt;0,"Yes","Not on stock sheet"))</f>
        <v/>
      </c>
    </row>
    <row r="1343" customFormat="false" ht="14.25" hidden="false" customHeight="true" outlineLevel="0" collapsed="false">
      <c r="E1343" s="17"/>
      <c r="H1343" s="17" t="str">
        <f aca="false">IF(TRIM(C1343)="","",IFERROR(INDEX('Code Aliases'!$B:$B,MATCH(TRIM(C1343),'Code Aliases'!$A:$A,0)),TRIM(C1343)))</f>
        <v/>
      </c>
      <c r="I1343" s="17" t="str">
        <f aca="false">IF(TRIM(B1343)="","",UPPER(TRIM(B1343)))</f>
        <v/>
      </c>
      <c r="J1343" s="17" t="str">
        <f aca="false">IF(H1343="","",IF(COUNTIF('Master Stock'!$A$5:$A$206,H1343)&gt;0,"Yes","Not on stock sheet"))</f>
        <v/>
      </c>
    </row>
    <row r="1344" customFormat="false" ht="14.25" hidden="false" customHeight="true" outlineLevel="0" collapsed="false">
      <c r="E1344" s="17"/>
      <c r="H1344" s="17" t="str">
        <f aca="false">IF(TRIM(C1344)="","",IFERROR(INDEX('Code Aliases'!$B:$B,MATCH(TRIM(C1344),'Code Aliases'!$A:$A,0)),TRIM(C1344)))</f>
        <v/>
      </c>
      <c r="I1344" s="17" t="str">
        <f aca="false">IF(TRIM(B1344)="","",UPPER(TRIM(B1344)))</f>
        <v/>
      </c>
      <c r="J1344" s="17" t="str">
        <f aca="false">IF(H1344="","",IF(COUNTIF('Master Stock'!$A$5:$A$206,H1344)&gt;0,"Yes","Not on stock sheet"))</f>
        <v/>
      </c>
    </row>
    <row r="1345" customFormat="false" ht="14.25" hidden="false" customHeight="true" outlineLevel="0" collapsed="false">
      <c r="E1345" s="17"/>
      <c r="H1345" s="17" t="str">
        <f aca="false">IF(TRIM(C1345)="","",IFERROR(INDEX('Code Aliases'!$B:$B,MATCH(TRIM(C1345),'Code Aliases'!$A:$A,0)),TRIM(C1345)))</f>
        <v/>
      </c>
      <c r="I1345" s="17" t="str">
        <f aca="false">IF(TRIM(B1345)="","",UPPER(TRIM(B1345)))</f>
        <v/>
      </c>
      <c r="J1345" s="17" t="str">
        <f aca="false">IF(H1345="","",IF(COUNTIF('Master Stock'!$A$5:$A$206,H1345)&gt;0,"Yes","Not on stock sheet"))</f>
        <v/>
      </c>
    </row>
    <row r="1346" customFormat="false" ht="14.25" hidden="false" customHeight="true" outlineLevel="0" collapsed="false">
      <c r="E1346" s="17"/>
      <c r="H1346" s="17" t="str">
        <f aca="false">IF(TRIM(C1346)="","",IFERROR(INDEX('Code Aliases'!$B:$B,MATCH(TRIM(C1346),'Code Aliases'!$A:$A,0)),TRIM(C1346)))</f>
        <v/>
      </c>
      <c r="I1346" s="17" t="str">
        <f aca="false">IF(TRIM(B1346)="","",UPPER(TRIM(B1346)))</f>
        <v/>
      </c>
      <c r="J1346" s="17" t="str">
        <f aca="false">IF(H1346="","",IF(COUNTIF('Master Stock'!$A$5:$A$206,H1346)&gt;0,"Yes","Not on stock sheet"))</f>
        <v/>
      </c>
    </row>
    <row r="1347" customFormat="false" ht="14.25" hidden="false" customHeight="true" outlineLevel="0" collapsed="false">
      <c r="E1347" s="17"/>
      <c r="H1347" s="17" t="str">
        <f aca="false">IF(TRIM(C1347)="","",IFERROR(INDEX('Code Aliases'!$B:$B,MATCH(TRIM(C1347),'Code Aliases'!$A:$A,0)),TRIM(C1347)))</f>
        <v/>
      </c>
      <c r="I1347" s="17" t="str">
        <f aca="false">IF(TRIM(B1347)="","",UPPER(TRIM(B1347)))</f>
        <v/>
      </c>
      <c r="J1347" s="17" t="str">
        <f aca="false">IF(H1347="","",IF(COUNTIF('Master Stock'!$A$5:$A$206,H1347)&gt;0,"Yes","Not on stock sheet"))</f>
        <v/>
      </c>
    </row>
    <row r="1348" customFormat="false" ht="14.25" hidden="false" customHeight="true" outlineLevel="0" collapsed="false">
      <c r="E1348" s="17"/>
      <c r="H1348" s="17" t="str">
        <f aca="false">IF(TRIM(C1348)="","",IFERROR(INDEX('Code Aliases'!$B:$B,MATCH(TRIM(C1348),'Code Aliases'!$A:$A,0)),TRIM(C1348)))</f>
        <v/>
      </c>
      <c r="I1348" s="17" t="str">
        <f aca="false">IF(TRIM(B1348)="","",UPPER(TRIM(B1348)))</f>
        <v/>
      </c>
      <c r="J1348" s="17" t="str">
        <f aca="false">IF(H1348="","",IF(COUNTIF('Master Stock'!$A$5:$A$206,H1348)&gt;0,"Yes","Not on stock sheet"))</f>
        <v/>
      </c>
    </row>
    <row r="1349" customFormat="false" ht="14.25" hidden="false" customHeight="true" outlineLevel="0" collapsed="false">
      <c r="E1349" s="17"/>
      <c r="H1349" s="17" t="str">
        <f aca="false">IF(TRIM(C1349)="","",IFERROR(INDEX('Code Aliases'!$B:$B,MATCH(TRIM(C1349),'Code Aliases'!$A:$A,0)),TRIM(C1349)))</f>
        <v/>
      </c>
      <c r="I1349" s="17" t="str">
        <f aca="false">IF(TRIM(B1349)="","",UPPER(TRIM(B1349)))</f>
        <v/>
      </c>
      <c r="J1349" s="17" t="str">
        <f aca="false">IF(H1349="","",IF(COUNTIF('Master Stock'!$A$5:$A$206,H1349)&gt;0,"Yes","Not on stock sheet"))</f>
        <v/>
      </c>
    </row>
    <row r="1350" customFormat="false" ht="14.25" hidden="false" customHeight="true" outlineLevel="0" collapsed="false">
      <c r="E1350" s="17"/>
      <c r="H1350" s="17" t="str">
        <f aca="false">IF(TRIM(C1350)="","",IFERROR(INDEX('Code Aliases'!$B:$B,MATCH(TRIM(C1350),'Code Aliases'!$A:$A,0)),TRIM(C1350)))</f>
        <v/>
      </c>
      <c r="I1350" s="17" t="str">
        <f aca="false">IF(TRIM(B1350)="","",UPPER(TRIM(B1350)))</f>
        <v/>
      </c>
      <c r="J1350" s="17" t="str">
        <f aca="false">IF(H1350="","",IF(COUNTIF('Master Stock'!$A$5:$A$206,H1350)&gt;0,"Yes","Not on stock sheet"))</f>
        <v/>
      </c>
    </row>
    <row r="1351" customFormat="false" ht="14.25" hidden="false" customHeight="true" outlineLevel="0" collapsed="false">
      <c r="E1351" s="17"/>
      <c r="H1351" s="17" t="str">
        <f aca="false">IF(TRIM(C1351)="","",IFERROR(INDEX('Code Aliases'!$B:$B,MATCH(TRIM(C1351),'Code Aliases'!$A:$A,0)),TRIM(C1351)))</f>
        <v/>
      </c>
      <c r="I1351" s="17" t="str">
        <f aca="false">IF(TRIM(B1351)="","",UPPER(TRIM(B1351)))</f>
        <v/>
      </c>
      <c r="J1351" s="17" t="str">
        <f aca="false">IF(H1351="","",IF(COUNTIF('Master Stock'!$A$5:$A$206,H1351)&gt;0,"Yes","Not on stock sheet"))</f>
        <v/>
      </c>
    </row>
    <row r="1352" customFormat="false" ht="14.25" hidden="false" customHeight="true" outlineLevel="0" collapsed="false">
      <c r="E1352" s="17"/>
      <c r="H1352" s="17" t="str">
        <f aca="false">IF(TRIM(C1352)="","",IFERROR(INDEX('Code Aliases'!$B:$B,MATCH(TRIM(C1352),'Code Aliases'!$A:$A,0)),TRIM(C1352)))</f>
        <v/>
      </c>
      <c r="I1352" s="17" t="str">
        <f aca="false">IF(TRIM(B1352)="","",UPPER(TRIM(B1352)))</f>
        <v/>
      </c>
      <c r="J1352" s="17" t="str">
        <f aca="false">IF(H1352="","",IF(COUNTIF('Master Stock'!$A$5:$A$206,H1352)&gt;0,"Yes","Not on stock sheet"))</f>
        <v/>
      </c>
    </row>
    <row r="1353" customFormat="false" ht="14.25" hidden="false" customHeight="true" outlineLevel="0" collapsed="false">
      <c r="E1353" s="17"/>
      <c r="H1353" s="17" t="str">
        <f aca="false">IF(TRIM(C1353)="","",IFERROR(INDEX('Code Aliases'!$B:$B,MATCH(TRIM(C1353),'Code Aliases'!$A:$A,0)),TRIM(C1353)))</f>
        <v/>
      </c>
      <c r="I1353" s="17" t="str">
        <f aca="false">IF(TRIM(B1353)="","",UPPER(TRIM(B1353)))</f>
        <v/>
      </c>
      <c r="J1353" s="17" t="str">
        <f aca="false">IF(H1353="","",IF(COUNTIF('Master Stock'!$A$5:$A$206,H1353)&gt;0,"Yes","Not on stock sheet"))</f>
        <v/>
      </c>
    </row>
    <row r="1354" customFormat="false" ht="14.25" hidden="false" customHeight="true" outlineLevel="0" collapsed="false">
      <c r="E1354" s="17"/>
      <c r="H1354" s="17" t="str">
        <f aca="false">IF(TRIM(C1354)="","",IFERROR(INDEX('Code Aliases'!$B:$B,MATCH(TRIM(C1354),'Code Aliases'!$A:$A,0)),TRIM(C1354)))</f>
        <v/>
      </c>
      <c r="I1354" s="17" t="str">
        <f aca="false">IF(TRIM(B1354)="","",UPPER(TRIM(B1354)))</f>
        <v/>
      </c>
      <c r="J1354" s="17" t="str">
        <f aca="false">IF(H1354="","",IF(COUNTIF('Master Stock'!$A$5:$A$206,H1354)&gt;0,"Yes","Not on stock sheet"))</f>
        <v/>
      </c>
    </row>
    <row r="1355" customFormat="false" ht="14.25" hidden="false" customHeight="true" outlineLevel="0" collapsed="false">
      <c r="E1355" s="17"/>
      <c r="H1355" s="17" t="str">
        <f aca="false">IF(TRIM(C1355)="","",IFERROR(INDEX('Code Aliases'!$B:$B,MATCH(TRIM(C1355),'Code Aliases'!$A:$A,0)),TRIM(C1355)))</f>
        <v/>
      </c>
      <c r="I1355" s="17" t="str">
        <f aca="false">IF(TRIM(B1355)="","",UPPER(TRIM(B1355)))</f>
        <v/>
      </c>
      <c r="J1355" s="17" t="str">
        <f aca="false">IF(H1355="","",IF(COUNTIF('Master Stock'!$A$5:$A$206,H1355)&gt;0,"Yes","Not on stock sheet"))</f>
        <v/>
      </c>
    </row>
    <row r="1356" customFormat="false" ht="14.25" hidden="false" customHeight="true" outlineLevel="0" collapsed="false">
      <c r="E1356" s="17"/>
      <c r="H1356" s="17" t="str">
        <f aca="false">IF(TRIM(C1356)="","",IFERROR(INDEX('Code Aliases'!$B:$B,MATCH(TRIM(C1356),'Code Aliases'!$A:$A,0)),TRIM(C1356)))</f>
        <v/>
      </c>
      <c r="I1356" s="17" t="str">
        <f aca="false">IF(TRIM(B1356)="","",UPPER(TRIM(B1356)))</f>
        <v/>
      </c>
      <c r="J1356" s="17" t="str">
        <f aca="false">IF(H1356="","",IF(COUNTIF('Master Stock'!$A$5:$A$206,H1356)&gt;0,"Yes","Not on stock sheet"))</f>
        <v/>
      </c>
    </row>
    <row r="1357" customFormat="false" ht="14.25" hidden="false" customHeight="true" outlineLevel="0" collapsed="false">
      <c r="E1357" s="17"/>
      <c r="H1357" s="17" t="str">
        <f aca="false">IF(TRIM(C1357)="","",IFERROR(INDEX('Code Aliases'!$B:$B,MATCH(TRIM(C1357),'Code Aliases'!$A:$A,0)),TRIM(C1357)))</f>
        <v/>
      </c>
      <c r="I1357" s="17" t="str">
        <f aca="false">IF(TRIM(B1357)="","",UPPER(TRIM(B1357)))</f>
        <v/>
      </c>
      <c r="J1357" s="17" t="str">
        <f aca="false">IF(H1357="","",IF(COUNTIF('Master Stock'!$A$5:$A$206,H1357)&gt;0,"Yes","Not on stock sheet"))</f>
        <v/>
      </c>
    </row>
    <row r="1358" customFormat="false" ht="14.25" hidden="false" customHeight="true" outlineLevel="0" collapsed="false">
      <c r="E1358" s="17"/>
      <c r="H1358" s="17" t="str">
        <f aca="false">IF(TRIM(C1358)="","",IFERROR(INDEX('Code Aliases'!$B:$B,MATCH(TRIM(C1358),'Code Aliases'!$A:$A,0)),TRIM(C1358)))</f>
        <v/>
      </c>
      <c r="I1358" s="17" t="str">
        <f aca="false">IF(TRIM(B1358)="","",UPPER(TRIM(B1358)))</f>
        <v/>
      </c>
      <c r="J1358" s="17" t="str">
        <f aca="false">IF(H1358="","",IF(COUNTIF('Master Stock'!$A$5:$A$206,H1358)&gt;0,"Yes","Not on stock sheet"))</f>
        <v/>
      </c>
    </row>
    <row r="1359" customFormat="false" ht="14.25" hidden="false" customHeight="true" outlineLevel="0" collapsed="false">
      <c r="E1359" s="17"/>
      <c r="H1359" s="17" t="str">
        <f aca="false">IF(TRIM(C1359)="","",IFERROR(INDEX('Code Aliases'!$B:$B,MATCH(TRIM(C1359),'Code Aliases'!$A:$A,0)),TRIM(C1359)))</f>
        <v/>
      </c>
      <c r="I1359" s="17" t="str">
        <f aca="false">IF(TRIM(B1359)="","",UPPER(TRIM(B1359)))</f>
        <v/>
      </c>
      <c r="J1359" s="17" t="str">
        <f aca="false">IF(H1359="","",IF(COUNTIF('Master Stock'!$A$5:$A$206,H1359)&gt;0,"Yes","Not on stock sheet"))</f>
        <v/>
      </c>
    </row>
    <row r="1360" customFormat="false" ht="14.25" hidden="false" customHeight="true" outlineLevel="0" collapsed="false">
      <c r="E1360" s="17"/>
      <c r="H1360" s="17" t="str">
        <f aca="false">IF(TRIM(C1360)="","",IFERROR(INDEX('Code Aliases'!$B:$B,MATCH(TRIM(C1360),'Code Aliases'!$A:$A,0)),TRIM(C1360)))</f>
        <v/>
      </c>
      <c r="I1360" s="17" t="str">
        <f aca="false">IF(TRIM(B1360)="","",UPPER(TRIM(B1360)))</f>
        <v/>
      </c>
      <c r="J1360" s="17" t="str">
        <f aca="false">IF(H1360="","",IF(COUNTIF('Master Stock'!$A$5:$A$206,H1360)&gt;0,"Yes","Not on stock sheet"))</f>
        <v/>
      </c>
    </row>
    <row r="1361" customFormat="false" ht="14.25" hidden="false" customHeight="true" outlineLevel="0" collapsed="false">
      <c r="E1361" s="17"/>
      <c r="H1361" s="17" t="str">
        <f aca="false">IF(TRIM(C1361)="","",IFERROR(INDEX('Code Aliases'!$B:$B,MATCH(TRIM(C1361),'Code Aliases'!$A:$A,0)),TRIM(C1361)))</f>
        <v/>
      </c>
      <c r="I1361" s="17" t="str">
        <f aca="false">IF(TRIM(B1361)="","",UPPER(TRIM(B1361)))</f>
        <v/>
      </c>
      <c r="J1361" s="17" t="str">
        <f aca="false">IF(H1361="","",IF(COUNTIF('Master Stock'!$A$5:$A$206,H1361)&gt;0,"Yes","Not on stock sheet"))</f>
        <v/>
      </c>
    </row>
    <row r="1362" customFormat="false" ht="14.25" hidden="false" customHeight="true" outlineLevel="0" collapsed="false">
      <c r="E1362" s="17"/>
      <c r="H1362" s="17" t="str">
        <f aca="false">IF(TRIM(C1362)="","",IFERROR(INDEX('Code Aliases'!$B:$B,MATCH(TRIM(C1362),'Code Aliases'!$A:$A,0)),TRIM(C1362)))</f>
        <v/>
      </c>
      <c r="I1362" s="17" t="str">
        <f aca="false">IF(TRIM(B1362)="","",UPPER(TRIM(B1362)))</f>
        <v/>
      </c>
      <c r="J1362" s="17" t="str">
        <f aca="false">IF(H1362="","",IF(COUNTIF('Master Stock'!$A$5:$A$206,H1362)&gt;0,"Yes","Not on stock sheet"))</f>
        <v/>
      </c>
    </row>
    <row r="1363" customFormat="false" ht="14.25" hidden="false" customHeight="true" outlineLevel="0" collapsed="false">
      <c r="E1363" s="17"/>
      <c r="H1363" s="17" t="str">
        <f aca="false">IF(TRIM(C1363)="","",IFERROR(INDEX('Code Aliases'!$B:$B,MATCH(TRIM(C1363),'Code Aliases'!$A:$A,0)),TRIM(C1363)))</f>
        <v/>
      </c>
      <c r="I1363" s="17" t="str">
        <f aca="false">IF(TRIM(B1363)="","",UPPER(TRIM(B1363)))</f>
        <v/>
      </c>
      <c r="J1363" s="17" t="str">
        <f aca="false">IF(H1363="","",IF(COUNTIF('Master Stock'!$A$5:$A$206,H1363)&gt;0,"Yes","Not on stock sheet"))</f>
        <v/>
      </c>
    </row>
    <row r="1364" customFormat="false" ht="14.25" hidden="false" customHeight="true" outlineLevel="0" collapsed="false">
      <c r="E1364" s="17"/>
      <c r="H1364" s="17" t="str">
        <f aca="false">IF(TRIM(C1364)="","",IFERROR(INDEX('Code Aliases'!$B:$B,MATCH(TRIM(C1364),'Code Aliases'!$A:$A,0)),TRIM(C1364)))</f>
        <v/>
      </c>
      <c r="I1364" s="17" t="str">
        <f aca="false">IF(TRIM(B1364)="","",UPPER(TRIM(B1364)))</f>
        <v/>
      </c>
      <c r="J1364" s="17" t="str">
        <f aca="false">IF(H1364="","",IF(COUNTIF('Master Stock'!$A$5:$A$206,H1364)&gt;0,"Yes","Not on stock sheet"))</f>
        <v/>
      </c>
    </row>
    <row r="1365" customFormat="false" ht="14.25" hidden="false" customHeight="true" outlineLevel="0" collapsed="false">
      <c r="E1365" s="17"/>
      <c r="H1365" s="17" t="str">
        <f aca="false">IF(TRIM(C1365)="","",IFERROR(INDEX('Code Aliases'!$B:$B,MATCH(TRIM(C1365),'Code Aliases'!$A:$A,0)),TRIM(C1365)))</f>
        <v/>
      </c>
      <c r="I1365" s="17" t="str">
        <f aca="false">IF(TRIM(B1365)="","",UPPER(TRIM(B1365)))</f>
        <v/>
      </c>
      <c r="J1365" s="17" t="str">
        <f aca="false">IF(H1365="","",IF(COUNTIF('Master Stock'!$A$5:$A$206,H1365)&gt;0,"Yes","Not on stock sheet"))</f>
        <v/>
      </c>
    </row>
    <row r="1366" customFormat="false" ht="14.25" hidden="false" customHeight="true" outlineLevel="0" collapsed="false">
      <c r="E1366" s="17"/>
      <c r="H1366" s="17" t="str">
        <f aca="false">IF(TRIM(C1366)="","",IFERROR(INDEX('Code Aliases'!$B:$B,MATCH(TRIM(C1366),'Code Aliases'!$A:$A,0)),TRIM(C1366)))</f>
        <v/>
      </c>
      <c r="I1366" s="17" t="str">
        <f aca="false">IF(TRIM(B1366)="","",UPPER(TRIM(B1366)))</f>
        <v/>
      </c>
      <c r="J1366" s="17" t="str">
        <f aca="false">IF(H1366="","",IF(COUNTIF('Master Stock'!$A$5:$A$206,H1366)&gt;0,"Yes","Not on stock sheet"))</f>
        <v/>
      </c>
    </row>
    <row r="1367" customFormat="false" ht="14.25" hidden="false" customHeight="true" outlineLevel="0" collapsed="false">
      <c r="E1367" s="17"/>
      <c r="H1367" s="17" t="str">
        <f aca="false">IF(TRIM(C1367)="","",IFERROR(INDEX('Code Aliases'!$B:$B,MATCH(TRIM(C1367),'Code Aliases'!$A:$A,0)),TRIM(C1367)))</f>
        <v/>
      </c>
      <c r="I1367" s="17" t="str">
        <f aca="false">IF(TRIM(B1367)="","",UPPER(TRIM(B1367)))</f>
        <v/>
      </c>
      <c r="J1367" s="17" t="str">
        <f aca="false">IF(H1367="","",IF(COUNTIF('Master Stock'!$A$5:$A$206,H1367)&gt;0,"Yes","Not on stock sheet"))</f>
        <v/>
      </c>
    </row>
    <row r="1368" customFormat="false" ht="14.25" hidden="false" customHeight="true" outlineLevel="0" collapsed="false">
      <c r="E1368" s="17"/>
      <c r="H1368" s="17" t="str">
        <f aca="false">IF(TRIM(C1368)="","",IFERROR(INDEX('Code Aliases'!$B:$B,MATCH(TRIM(C1368),'Code Aliases'!$A:$A,0)),TRIM(C1368)))</f>
        <v/>
      </c>
      <c r="I1368" s="17" t="str">
        <f aca="false">IF(TRIM(B1368)="","",UPPER(TRIM(B1368)))</f>
        <v/>
      </c>
      <c r="J1368" s="17" t="str">
        <f aca="false">IF(H1368="","",IF(COUNTIF('Master Stock'!$A$5:$A$206,H1368)&gt;0,"Yes","Not on stock sheet"))</f>
        <v/>
      </c>
    </row>
    <row r="1369" customFormat="false" ht="14.25" hidden="false" customHeight="true" outlineLevel="0" collapsed="false">
      <c r="E1369" s="17"/>
      <c r="H1369" s="17" t="str">
        <f aca="false">IF(TRIM(C1369)="","",IFERROR(INDEX('Code Aliases'!$B:$B,MATCH(TRIM(C1369),'Code Aliases'!$A:$A,0)),TRIM(C1369)))</f>
        <v/>
      </c>
      <c r="I1369" s="17" t="str">
        <f aca="false">IF(TRIM(B1369)="","",UPPER(TRIM(B1369)))</f>
        <v/>
      </c>
      <c r="J1369" s="17" t="str">
        <f aca="false">IF(H1369="","",IF(COUNTIF('Master Stock'!$A$5:$A$206,H1369)&gt;0,"Yes","Not on stock sheet"))</f>
        <v/>
      </c>
    </row>
    <row r="1370" customFormat="false" ht="14.25" hidden="false" customHeight="true" outlineLevel="0" collapsed="false">
      <c r="E1370" s="17"/>
      <c r="H1370" s="17" t="str">
        <f aca="false">IF(TRIM(C1370)="","",IFERROR(INDEX('Code Aliases'!$B:$B,MATCH(TRIM(C1370),'Code Aliases'!$A:$A,0)),TRIM(C1370)))</f>
        <v/>
      </c>
      <c r="I1370" s="17" t="str">
        <f aca="false">IF(TRIM(B1370)="","",UPPER(TRIM(B1370)))</f>
        <v/>
      </c>
      <c r="J1370" s="17" t="str">
        <f aca="false">IF(H1370="","",IF(COUNTIF('Master Stock'!$A$5:$A$206,H1370)&gt;0,"Yes","Not on stock sheet"))</f>
        <v/>
      </c>
    </row>
    <row r="1371" customFormat="false" ht="14.25" hidden="false" customHeight="true" outlineLevel="0" collapsed="false">
      <c r="E1371" s="17"/>
      <c r="H1371" s="17" t="str">
        <f aca="false">IF(TRIM(C1371)="","",IFERROR(INDEX('Code Aliases'!$B:$B,MATCH(TRIM(C1371),'Code Aliases'!$A:$A,0)),TRIM(C1371)))</f>
        <v/>
      </c>
      <c r="I1371" s="17" t="str">
        <f aca="false">IF(TRIM(B1371)="","",UPPER(TRIM(B1371)))</f>
        <v/>
      </c>
      <c r="J1371" s="17" t="str">
        <f aca="false">IF(H1371="","",IF(COUNTIF('Master Stock'!$A$5:$A$206,H1371)&gt;0,"Yes","Not on stock sheet"))</f>
        <v/>
      </c>
    </row>
    <row r="1372" customFormat="false" ht="14.25" hidden="false" customHeight="true" outlineLevel="0" collapsed="false">
      <c r="E1372" s="17"/>
      <c r="H1372" s="17" t="str">
        <f aca="false">IF(TRIM(C1372)="","",IFERROR(INDEX('Code Aliases'!$B:$B,MATCH(TRIM(C1372),'Code Aliases'!$A:$A,0)),TRIM(C1372)))</f>
        <v/>
      </c>
      <c r="I1372" s="17" t="str">
        <f aca="false">IF(TRIM(B1372)="","",UPPER(TRIM(B1372)))</f>
        <v/>
      </c>
      <c r="J1372" s="17" t="str">
        <f aca="false">IF(H1372="","",IF(COUNTIF('Master Stock'!$A$5:$A$206,H1372)&gt;0,"Yes","Not on stock sheet"))</f>
        <v/>
      </c>
    </row>
    <row r="1373" customFormat="false" ht="14.25" hidden="false" customHeight="true" outlineLevel="0" collapsed="false">
      <c r="E1373" s="17"/>
      <c r="H1373" s="17" t="str">
        <f aca="false">IF(TRIM(C1373)="","",IFERROR(INDEX('Code Aliases'!$B:$B,MATCH(TRIM(C1373),'Code Aliases'!$A:$A,0)),TRIM(C1373)))</f>
        <v/>
      </c>
      <c r="I1373" s="17" t="str">
        <f aca="false">IF(TRIM(B1373)="","",UPPER(TRIM(B1373)))</f>
        <v/>
      </c>
      <c r="J1373" s="17" t="str">
        <f aca="false">IF(H1373="","",IF(COUNTIF('Master Stock'!$A$5:$A$206,H1373)&gt;0,"Yes","Not on stock sheet"))</f>
        <v/>
      </c>
    </row>
    <row r="1374" customFormat="false" ht="14.25" hidden="false" customHeight="true" outlineLevel="0" collapsed="false">
      <c r="E1374" s="17"/>
      <c r="H1374" s="17" t="str">
        <f aca="false">IF(TRIM(C1374)="","",IFERROR(INDEX('Code Aliases'!$B:$B,MATCH(TRIM(C1374),'Code Aliases'!$A:$A,0)),TRIM(C1374)))</f>
        <v/>
      </c>
      <c r="I1374" s="17" t="str">
        <f aca="false">IF(TRIM(B1374)="","",UPPER(TRIM(B1374)))</f>
        <v/>
      </c>
      <c r="J1374" s="17" t="str">
        <f aca="false">IF(H1374="","",IF(COUNTIF('Master Stock'!$A$5:$A$206,H1374)&gt;0,"Yes","Not on stock sheet"))</f>
        <v/>
      </c>
    </row>
    <row r="1375" customFormat="false" ht="14.25" hidden="false" customHeight="true" outlineLevel="0" collapsed="false">
      <c r="E1375" s="17"/>
      <c r="H1375" s="17" t="str">
        <f aca="false">IF(TRIM(C1375)="","",IFERROR(INDEX('Code Aliases'!$B:$B,MATCH(TRIM(C1375),'Code Aliases'!$A:$A,0)),TRIM(C1375)))</f>
        <v/>
      </c>
      <c r="I1375" s="17" t="str">
        <f aca="false">IF(TRIM(B1375)="","",UPPER(TRIM(B1375)))</f>
        <v/>
      </c>
      <c r="J1375" s="17" t="str">
        <f aca="false">IF(H1375="","",IF(COUNTIF('Master Stock'!$A$5:$A$206,H1375)&gt;0,"Yes","Not on stock sheet"))</f>
        <v/>
      </c>
    </row>
    <row r="1376" customFormat="false" ht="14.25" hidden="false" customHeight="true" outlineLevel="0" collapsed="false">
      <c r="E1376" s="17"/>
      <c r="H1376" s="17" t="str">
        <f aca="false">IF(TRIM(C1376)="","",IFERROR(INDEX('Code Aliases'!$B:$B,MATCH(TRIM(C1376),'Code Aliases'!$A:$A,0)),TRIM(C1376)))</f>
        <v/>
      </c>
      <c r="I1376" s="17" t="str">
        <f aca="false">IF(TRIM(B1376)="","",UPPER(TRIM(B1376)))</f>
        <v/>
      </c>
      <c r="J1376" s="17" t="str">
        <f aca="false">IF(H1376="","",IF(COUNTIF('Master Stock'!$A$5:$A$206,H1376)&gt;0,"Yes","Not on stock sheet"))</f>
        <v/>
      </c>
    </row>
    <row r="1377" customFormat="false" ht="14.25" hidden="false" customHeight="true" outlineLevel="0" collapsed="false">
      <c r="E1377" s="17"/>
      <c r="H1377" s="17" t="str">
        <f aca="false">IF(TRIM(C1377)="","",IFERROR(INDEX('Code Aliases'!$B:$B,MATCH(TRIM(C1377),'Code Aliases'!$A:$A,0)),TRIM(C1377)))</f>
        <v/>
      </c>
      <c r="I1377" s="17" t="str">
        <f aca="false">IF(TRIM(B1377)="","",UPPER(TRIM(B1377)))</f>
        <v/>
      </c>
      <c r="J1377" s="17" t="str">
        <f aca="false">IF(H1377="","",IF(COUNTIF('Master Stock'!$A$5:$A$206,H1377)&gt;0,"Yes","Not on stock sheet"))</f>
        <v/>
      </c>
    </row>
    <row r="1378" customFormat="false" ht="14.25" hidden="false" customHeight="true" outlineLevel="0" collapsed="false">
      <c r="E1378" s="17"/>
      <c r="H1378" s="17" t="str">
        <f aca="false">IF(TRIM(C1378)="","",IFERROR(INDEX('Code Aliases'!$B:$B,MATCH(TRIM(C1378),'Code Aliases'!$A:$A,0)),TRIM(C1378)))</f>
        <v/>
      </c>
      <c r="I1378" s="17" t="str">
        <f aca="false">IF(TRIM(B1378)="","",UPPER(TRIM(B1378)))</f>
        <v/>
      </c>
      <c r="J1378" s="17" t="str">
        <f aca="false">IF(H1378="","",IF(COUNTIF('Master Stock'!$A$5:$A$206,H1378)&gt;0,"Yes","Not on stock sheet"))</f>
        <v/>
      </c>
    </row>
    <row r="1379" customFormat="false" ht="14.25" hidden="false" customHeight="true" outlineLevel="0" collapsed="false">
      <c r="E1379" s="17"/>
      <c r="H1379" s="17" t="str">
        <f aca="false">IF(TRIM(C1379)="","",IFERROR(INDEX('Code Aliases'!$B:$B,MATCH(TRIM(C1379),'Code Aliases'!$A:$A,0)),TRIM(C1379)))</f>
        <v/>
      </c>
      <c r="I1379" s="17" t="str">
        <f aca="false">IF(TRIM(B1379)="","",UPPER(TRIM(B1379)))</f>
        <v/>
      </c>
      <c r="J1379" s="17" t="str">
        <f aca="false">IF(H1379="","",IF(COUNTIF('Master Stock'!$A$5:$A$206,H1379)&gt;0,"Yes","Not on stock sheet"))</f>
        <v/>
      </c>
    </row>
    <row r="1380" customFormat="false" ht="14.25" hidden="false" customHeight="true" outlineLevel="0" collapsed="false">
      <c r="E1380" s="17"/>
      <c r="H1380" s="17" t="str">
        <f aca="false">IF(TRIM(C1380)="","",IFERROR(INDEX('Code Aliases'!$B:$B,MATCH(TRIM(C1380),'Code Aliases'!$A:$A,0)),TRIM(C1380)))</f>
        <v/>
      </c>
      <c r="I1380" s="17" t="str">
        <f aca="false">IF(TRIM(B1380)="","",UPPER(TRIM(B1380)))</f>
        <v/>
      </c>
      <c r="J1380" s="17" t="str">
        <f aca="false">IF(H1380="","",IF(COUNTIF('Master Stock'!$A$5:$A$206,H1380)&gt;0,"Yes","Not on stock sheet"))</f>
        <v/>
      </c>
    </row>
    <row r="1381" customFormat="false" ht="14.25" hidden="false" customHeight="true" outlineLevel="0" collapsed="false">
      <c r="E1381" s="17"/>
      <c r="H1381" s="17" t="str">
        <f aca="false">IF(TRIM(C1381)="","",IFERROR(INDEX('Code Aliases'!$B:$B,MATCH(TRIM(C1381),'Code Aliases'!$A:$A,0)),TRIM(C1381)))</f>
        <v/>
      </c>
      <c r="I1381" s="17" t="str">
        <f aca="false">IF(TRIM(B1381)="","",UPPER(TRIM(B1381)))</f>
        <v/>
      </c>
      <c r="J1381" s="17" t="str">
        <f aca="false">IF(H1381="","",IF(COUNTIF('Master Stock'!$A$5:$A$206,H1381)&gt;0,"Yes","Not on stock sheet"))</f>
        <v/>
      </c>
    </row>
    <row r="1382" customFormat="false" ht="14.25" hidden="false" customHeight="true" outlineLevel="0" collapsed="false">
      <c r="E1382" s="17"/>
      <c r="H1382" s="17" t="str">
        <f aca="false">IF(TRIM(C1382)="","",IFERROR(INDEX('Code Aliases'!$B:$B,MATCH(TRIM(C1382),'Code Aliases'!$A:$A,0)),TRIM(C1382)))</f>
        <v/>
      </c>
      <c r="I1382" s="17" t="str">
        <f aca="false">IF(TRIM(B1382)="","",UPPER(TRIM(B1382)))</f>
        <v/>
      </c>
      <c r="J1382" s="17" t="str">
        <f aca="false">IF(H1382="","",IF(COUNTIF('Master Stock'!$A$5:$A$206,H1382)&gt;0,"Yes","Not on stock sheet"))</f>
        <v/>
      </c>
    </row>
    <row r="1383" customFormat="false" ht="14.25" hidden="false" customHeight="true" outlineLevel="0" collapsed="false">
      <c r="E1383" s="17"/>
      <c r="H1383" s="17" t="str">
        <f aca="false">IF(TRIM(C1383)="","",IFERROR(INDEX('Code Aliases'!$B:$B,MATCH(TRIM(C1383),'Code Aliases'!$A:$A,0)),TRIM(C1383)))</f>
        <v/>
      </c>
      <c r="I1383" s="17" t="str">
        <f aca="false">IF(TRIM(B1383)="","",UPPER(TRIM(B1383)))</f>
        <v/>
      </c>
      <c r="J1383" s="17" t="str">
        <f aca="false">IF(H1383="","",IF(COUNTIF('Master Stock'!$A$5:$A$206,H1383)&gt;0,"Yes","Not on stock sheet"))</f>
        <v/>
      </c>
    </row>
    <row r="1384" customFormat="false" ht="14.25" hidden="false" customHeight="true" outlineLevel="0" collapsed="false">
      <c r="E1384" s="17"/>
      <c r="H1384" s="17" t="str">
        <f aca="false">IF(TRIM(C1384)="","",IFERROR(INDEX('Code Aliases'!$B:$B,MATCH(TRIM(C1384),'Code Aliases'!$A:$A,0)),TRIM(C1384)))</f>
        <v/>
      </c>
      <c r="I1384" s="17" t="str">
        <f aca="false">IF(TRIM(B1384)="","",UPPER(TRIM(B1384)))</f>
        <v/>
      </c>
      <c r="J1384" s="17" t="str">
        <f aca="false">IF(H1384="","",IF(COUNTIF('Master Stock'!$A$5:$A$206,H1384)&gt;0,"Yes","Not on stock sheet"))</f>
        <v/>
      </c>
    </row>
    <row r="1385" customFormat="false" ht="14.25" hidden="false" customHeight="true" outlineLevel="0" collapsed="false">
      <c r="E1385" s="17"/>
      <c r="H1385" s="17" t="str">
        <f aca="false">IF(TRIM(C1385)="","",IFERROR(INDEX('Code Aliases'!$B:$B,MATCH(TRIM(C1385),'Code Aliases'!$A:$A,0)),TRIM(C1385)))</f>
        <v/>
      </c>
      <c r="I1385" s="17" t="str">
        <f aca="false">IF(TRIM(B1385)="","",UPPER(TRIM(B1385)))</f>
        <v/>
      </c>
      <c r="J1385" s="17" t="str">
        <f aca="false">IF(H1385="","",IF(COUNTIF('Master Stock'!$A$5:$A$206,H1385)&gt;0,"Yes","Not on stock sheet"))</f>
        <v/>
      </c>
    </row>
    <row r="1386" customFormat="false" ht="14.25" hidden="false" customHeight="true" outlineLevel="0" collapsed="false">
      <c r="E1386" s="17"/>
      <c r="H1386" s="17" t="str">
        <f aca="false">IF(TRIM(C1386)="","",IFERROR(INDEX('Code Aliases'!$B:$B,MATCH(TRIM(C1386),'Code Aliases'!$A:$A,0)),TRIM(C1386)))</f>
        <v/>
      </c>
      <c r="I1386" s="17" t="str">
        <f aca="false">IF(TRIM(B1386)="","",UPPER(TRIM(B1386)))</f>
        <v/>
      </c>
      <c r="J1386" s="17" t="str">
        <f aca="false">IF(H1386="","",IF(COUNTIF('Master Stock'!$A$5:$A$206,H1386)&gt;0,"Yes","Not on stock sheet"))</f>
        <v/>
      </c>
    </row>
    <row r="1387" customFormat="false" ht="14.25" hidden="false" customHeight="true" outlineLevel="0" collapsed="false">
      <c r="E1387" s="17"/>
      <c r="H1387" s="17" t="str">
        <f aca="false">IF(TRIM(C1387)="","",IFERROR(INDEX('Code Aliases'!$B:$B,MATCH(TRIM(C1387),'Code Aliases'!$A:$A,0)),TRIM(C1387)))</f>
        <v/>
      </c>
      <c r="I1387" s="17" t="str">
        <f aca="false">IF(TRIM(B1387)="","",UPPER(TRIM(B1387)))</f>
        <v/>
      </c>
      <c r="J1387" s="17" t="str">
        <f aca="false">IF(H1387="","",IF(COUNTIF('Master Stock'!$A$5:$A$206,H1387)&gt;0,"Yes","Not on stock sheet"))</f>
        <v/>
      </c>
    </row>
    <row r="1388" customFormat="false" ht="14.25" hidden="false" customHeight="true" outlineLevel="0" collapsed="false">
      <c r="E1388" s="17"/>
      <c r="H1388" s="17" t="str">
        <f aca="false">IF(TRIM(C1388)="","",IFERROR(INDEX('Code Aliases'!$B:$B,MATCH(TRIM(C1388),'Code Aliases'!$A:$A,0)),TRIM(C1388)))</f>
        <v/>
      </c>
      <c r="I1388" s="17" t="str">
        <f aca="false">IF(TRIM(B1388)="","",UPPER(TRIM(B1388)))</f>
        <v/>
      </c>
      <c r="J1388" s="17" t="str">
        <f aca="false">IF(H1388="","",IF(COUNTIF('Master Stock'!$A$5:$A$206,H1388)&gt;0,"Yes","Not on stock sheet"))</f>
        <v/>
      </c>
    </row>
    <row r="1389" customFormat="false" ht="14.25" hidden="false" customHeight="true" outlineLevel="0" collapsed="false">
      <c r="E1389" s="17"/>
      <c r="H1389" s="17" t="str">
        <f aca="false">IF(TRIM(C1389)="","",IFERROR(INDEX('Code Aliases'!$B:$B,MATCH(TRIM(C1389),'Code Aliases'!$A:$A,0)),TRIM(C1389)))</f>
        <v/>
      </c>
      <c r="I1389" s="17" t="str">
        <f aca="false">IF(TRIM(B1389)="","",UPPER(TRIM(B1389)))</f>
        <v/>
      </c>
      <c r="J1389" s="17" t="str">
        <f aca="false">IF(H1389="","",IF(COUNTIF('Master Stock'!$A$5:$A$206,H1389)&gt;0,"Yes","Not on stock sheet"))</f>
        <v/>
      </c>
    </row>
    <row r="1390" customFormat="false" ht="14.25" hidden="false" customHeight="true" outlineLevel="0" collapsed="false">
      <c r="E1390" s="17"/>
      <c r="H1390" s="17" t="str">
        <f aca="false">IF(TRIM(C1390)="","",IFERROR(INDEX('Code Aliases'!$B:$B,MATCH(TRIM(C1390),'Code Aliases'!$A:$A,0)),TRIM(C1390)))</f>
        <v/>
      </c>
      <c r="I1390" s="17" t="str">
        <f aca="false">IF(TRIM(B1390)="","",UPPER(TRIM(B1390)))</f>
        <v/>
      </c>
      <c r="J1390" s="17" t="str">
        <f aca="false">IF(H1390="","",IF(COUNTIF('Master Stock'!$A$5:$A$206,H1390)&gt;0,"Yes","Not on stock sheet"))</f>
        <v/>
      </c>
    </row>
    <row r="1391" customFormat="false" ht="14.25" hidden="false" customHeight="true" outlineLevel="0" collapsed="false">
      <c r="E1391" s="17"/>
      <c r="H1391" s="17" t="str">
        <f aca="false">IF(TRIM(C1391)="","",IFERROR(INDEX('Code Aliases'!$B:$B,MATCH(TRIM(C1391),'Code Aliases'!$A:$A,0)),TRIM(C1391)))</f>
        <v/>
      </c>
      <c r="I1391" s="17" t="str">
        <f aca="false">IF(TRIM(B1391)="","",UPPER(TRIM(B1391)))</f>
        <v/>
      </c>
      <c r="J1391" s="17" t="str">
        <f aca="false">IF(H1391="","",IF(COUNTIF('Master Stock'!$A$5:$A$206,H1391)&gt;0,"Yes","Not on stock sheet"))</f>
        <v/>
      </c>
    </row>
    <row r="1392" customFormat="false" ht="14.25" hidden="false" customHeight="true" outlineLevel="0" collapsed="false">
      <c r="E1392" s="17"/>
      <c r="H1392" s="17" t="str">
        <f aca="false">IF(TRIM(C1392)="","",IFERROR(INDEX('Code Aliases'!$B:$B,MATCH(TRIM(C1392),'Code Aliases'!$A:$A,0)),TRIM(C1392)))</f>
        <v/>
      </c>
      <c r="I1392" s="17" t="str">
        <f aca="false">IF(TRIM(B1392)="","",UPPER(TRIM(B1392)))</f>
        <v/>
      </c>
      <c r="J1392" s="17" t="str">
        <f aca="false">IF(H1392="","",IF(COUNTIF('Master Stock'!$A$5:$A$206,H1392)&gt;0,"Yes","Not on stock sheet"))</f>
        <v/>
      </c>
    </row>
    <row r="1393" customFormat="false" ht="14.25" hidden="false" customHeight="true" outlineLevel="0" collapsed="false">
      <c r="E1393" s="17"/>
      <c r="H1393" s="17" t="str">
        <f aca="false">IF(TRIM(C1393)="","",IFERROR(INDEX('Code Aliases'!$B:$B,MATCH(TRIM(C1393),'Code Aliases'!$A:$A,0)),TRIM(C1393)))</f>
        <v/>
      </c>
      <c r="I1393" s="17" t="str">
        <f aca="false">IF(TRIM(B1393)="","",UPPER(TRIM(B1393)))</f>
        <v/>
      </c>
      <c r="J1393" s="17" t="str">
        <f aca="false">IF(H1393="","",IF(COUNTIF('Master Stock'!$A$5:$A$206,H1393)&gt;0,"Yes","Not on stock sheet"))</f>
        <v/>
      </c>
    </row>
    <row r="1394" customFormat="false" ht="14.25" hidden="false" customHeight="true" outlineLevel="0" collapsed="false">
      <c r="E1394" s="17"/>
      <c r="H1394" s="17" t="str">
        <f aca="false">IF(TRIM(C1394)="","",IFERROR(INDEX('Code Aliases'!$B:$B,MATCH(TRIM(C1394),'Code Aliases'!$A:$A,0)),TRIM(C1394)))</f>
        <v/>
      </c>
      <c r="I1394" s="17" t="str">
        <f aca="false">IF(TRIM(B1394)="","",UPPER(TRIM(B1394)))</f>
        <v/>
      </c>
      <c r="J1394" s="17" t="str">
        <f aca="false">IF(H1394="","",IF(COUNTIF('Master Stock'!$A$5:$A$206,H1394)&gt;0,"Yes","Not on stock sheet"))</f>
        <v/>
      </c>
    </row>
    <row r="1395" customFormat="false" ht="14.25" hidden="false" customHeight="true" outlineLevel="0" collapsed="false">
      <c r="E1395" s="17"/>
      <c r="H1395" s="17" t="str">
        <f aca="false">IF(TRIM(C1395)="","",IFERROR(INDEX('Code Aliases'!$B:$B,MATCH(TRIM(C1395),'Code Aliases'!$A:$A,0)),TRIM(C1395)))</f>
        <v/>
      </c>
      <c r="I1395" s="17" t="str">
        <f aca="false">IF(TRIM(B1395)="","",UPPER(TRIM(B1395)))</f>
        <v/>
      </c>
      <c r="J1395" s="17" t="str">
        <f aca="false">IF(H1395="","",IF(COUNTIF('Master Stock'!$A$5:$A$206,H1395)&gt;0,"Yes","Not on stock sheet"))</f>
        <v/>
      </c>
    </row>
    <row r="1396" customFormat="false" ht="14.25" hidden="false" customHeight="true" outlineLevel="0" collapsed="false">
      <c r="E1396" s="17"/>
      <c r="H1396" s="17" t="str">
        <f aca="false">IF(TRIM(C1396)="","",IFERROR(INDEX('Code Aliases'!$B:$B,MATCH(TRIM(C1396),'Code Aliases'!$A:$A,0)),TRIM(C1396)))</f>
        <v/>
      </c>
      <c r="I1396" s="17" t="str">
        <f aca="false">IF(TRIM(B1396)="","",UPPER(TRIM(B1396)))</f>
        <v/>
      </c>
      <c r="J1396" s="17" t="str">
        <f aca="false">IF(H1396="","",IF(COUNTIF('Master Stock'!$A$5:$A$206,H1396)&gt;0,"Yes","Not on stock sheet"))</f>
        <v/>
      </c>
    </row>
    <row r="1397" customFormat="false" ht="14.25" hidden="false" customHeight="true" outlineLevel="0" collapsed="false">
      <c r="E1397" s="17"/>
      <c r="H1397" s="17" t="str">
        <f aca="false">IF(TRIM(C1397)="","",IFERROR(INDEX('Code Aliases'!$B:$B,MATCH(TRIM(C1397),'Code Aliases'!$A:$A,0)),TRIM(C1397)))</f>
        <v/>
      </c>
      <c r="I1397" s="17" t="str">
        <f aca="false">IF(TRIM(B1397)="","",UPPER(TRIM(B1397)))</f>
        <v/>
      </c>
      <c r="J1397" s="17" t="str">
        <f aca="false">IF(H1397="","",IF(COUNTIF('Master Stock'!$A$5:$A$206,H1397)&gt;0,"Yes","Not on stock sheet"))</f>
        <v/>
      </c>
    </row>
    <row r="1398" customFormat="false" ht="14.25" hidden="false" customHeight="true" outlineLevel="0" collapsed="false">
      <c r="E1398" s="17"/>
      <c r="H1398" s="17" t="str">
        <f aca="false">IF(TRIM(C1398)="","",IFERROR(INDEX('Code Aliases'!$B:$B,MATCH(TRIM(C1398),'Code Aliases'!$A:$A,0)),TRIM(C1398)))</f>
        <v/>
      </c>
      <c r="I1398" s="17" t="str">
        <f aca="false">IF(TRIM(B1398)="","",UPPER(TRIM(B1398)))</f>
        <v/>
      </c>
      <c r="J1398" s="17" t="str">
        <f aca="false">IF(H1398="","",IF(COUNTIF('Master Stock'!$A$5:$A$206,H1398)&gt;0,"Yes","Not on stock sheet"))</f>
        <v/>
      </c>
    </row>
    <row r="1399" customFormat="false" ht="14.25" hidden="false" customHeight="true" outlineLevel="0" collapsed="false">
      <c r="E1399" s="17"/>
      <c r="H1399" s="17" t="str">
        <f aca="false">IF(TRIM(C1399)="","",IFERROR(INDEX('Code Aliases'!$B:$B,MATCH(TRIM(C1399),'Code Aliases'!$A:$A,0)),TRIM(C1399)))</f>
        <v/>
      </c>
      <c r="I1399" s="17" t="str">
        <f aca="false">IF(TRIM(B1399)="","",UPPER(TRIM(B1399)))</f>
        <v/>
      </c>
      <c r="J1399" s="17" t="str">
        <f aca="false">IF(H1399="","",IF(COUNTIF('Master Stock'!$A$5:$A$206,H1399)&gt;0,"Yes","Not on stock sheet"))</f>
        <v/>
      </c>
    </row>
    <row r="1400" customFormat="false" ht="14.25" hidden="false" customHeight="true" outlineLevel="0" collapsed="false">
      <c r="E1400" s="17"/>
      <c r="H1400" s="17" t="str">
        <f aca="false">IF(TRIM(C1400)="","",IFERROR(INDEX('Code Aliases'!$B:$B,MATCH(TRIM(C1400),'Code Aliases'!$A:$A,0)),TRIM(C1400)))</f>
        <v/>
      </c>
      <c r="I1400" s="17" t="str">
        <f aca="false">IF(TRIM(B1400)="","",UPPER(TRIM(B1400)))</f>
        <v/>
      </c>
      <c r="J1400" s="17" t="str">
        <f aca="false">IF(H1400="","",IF(COUNTIF('Master Stock'!$A$5:$A$206,H1400)&gt;0,"Yes","Not on stock sheet"))</f>
        <v/>
      </c>
    </row>
    <row r="1401" customFormat="false" ht="14.25" hidden="false" customHeight="true" outlineLevel="0" collapsed="false">
      <c r="E1401" s="17"/>
      <c r="H1401" s="17" t="str">
        <f aca="false">IF(TRIM(C1401)="","",IFERROR(INDEX('Code Aliases'!$B:$B,MATCH(TRIM(C1401),'Code Aliases'!$A:$A,0)),TRIM(C1401)))</f>
        <v/>
      </c>
      <c r="I1401" s="17" t="str">
        <f aca="false">IF(TRIM(B1401)="","",UPPER(TRIM(B1401)))</f>
        <v/>
      </c>
      <c r="J1401" s="17" t="str">
        <f aca="false">IF(H1401="","",IF(COUNTIF('Master Stock'!$A$5:$A$206,H1401)&gt;0,"Yes","Not on stock sheet"))</f>
        <v/>
      </c>
    </row>
    <row r="1402" customFormat="false" ht="14.25" hidden="false" customHeight="true" outlineLevel="0" collapsed="false">
      <c r="E1402" s="17"/>
      <c r="H1402" s="17" t="str">
        <f aca="false">IF(TRIM(C1402)="","",IFERROR(INDEX('Code Aliases'!$B:$B,MATCH(TRIM(C1402),'Code Aliases'!$A:$A,0)),TRIM(C1402)))</f>
        <v/>
      </c>
      <c r="I1402" s="17" t="str">
        <f aca="false">IF(TRIM(B1402)="","",UPPER(TRIM(B1402)))</f>
        <v/>
      </c>
      <c r="J1402" s="17" t="str">
        <f aca="false">IF(H1402="","",IF(COUNTIF('Master Stock'!$A$5:$A$206,H1402)&gt;0,"Yes","Not on stock sheet"))</f>
        <v/>
      </c>
    </row>
    <row r="1403" customFormat="false" ht="14.25" hidden="false" customHeight="true" outlineLevel="0" collapsed="false">
      <c r="E1403" s="17"/>
      <c r="H1403" s="17" t="str">
        <f aca="false">IF(TRIM(C1403)="","",IFERROR(INDEX('Code Aliases'!$B:$B,MATCH(TRIM(C1403),'Code Aliases'!$A:$A,0)),TRIM(C1403)))</f>
        <v/>
      </c>
      <c r="I1403" s="17" t="str">
        <f aca="false">IF(TRIM(B1403)="","",UPPER(TRIM(B1403)))</f>
        <v/>
      </c>
      <c r="J1403" s="17" t="str">
        <f aca="false">IF(H1403="","",IF(COUNTIF('Master Stock'!$A$5:$A$206,H1403)&gt;0,"Yes","Not on stock sheet"))</f>
        <v/>
      </c>
    </row>
    <row r="1404" customFormat="false" ht="14.25" hidden="false" customHeight="true" outlineLevel="0" collapsed="false">
      <c r="E1404" s="17"/>
      <c r="H1404" s="17" t="str">
        <f aca="false">IF(TRIM(C1404)="","",IFERROR(INDEX('Code Aliases'!$B:$B,MATCH(TRIM(C1404),'Code Aliases'!$A:$A,0)),TRIM(C1404)))</f>
        <v/>
      </c>
      <c r="I1404" s="17" t="str">
        <f aca="false">IF(TRIM(B1404)="","",UPPER(TRIM(B1404)))</f>
        <v/>
      </c>
      <c r="J1404" s="17" t="str">
        <f aca="false">IF(H1404="","",IF(COUNTIF('Master Stock'!$A$5:$A$206,H1404)&gt;0,"Yes","Not on stock sheet"))</f>
        <v/>
      </c>
    </row>
    <row r="1405" customFormat="false" ht="14.25" hidden="false" customHeight="true" outlineLevel="0" collapsed="false">
      <c r="E1405" s="17"/>
      <c r="H1405" s="17" t="str">
        <f aca="false">IF(TRIM(C1405)="","",IFERROR(INDEX('Code Aliases'!$B:$B,MATCH(TRIM(C1405),'Code Aliases'!$A:$A,0)),TRIM(C1405)))</f>
        <v/>
      </c>
      <c r="I1405" s="17" t="str">
        <f aca="false">IF(TRIM(B1405)="","",UPPER(TRIM(B1405)))</f>
        <v/>
      </c>
      <c r="J1405" s="17" t="str">
        <f aca="false">IF(H1405="","",IF(COUNTIF('Master Stock'!$A$5:$A$206,H1405)&gt;0,"Yes","Not on stock sheet"))</f>
        <v/>
      </c>
    </row>
    <row r="1406" customFormat="false" ht="14.25" hidden="false" customHeight="true" outlineLevel="0" collapsed="false">
      <c r="E1406" s="17"/>
      <c r="H1406" s="17" t="str">
        <f aca="false">IF(TRIM(C1406)="","",IFERROR(INDEX('Code Aliases'!$B:$B,MATCH(TRIM(C1406),'Code Aliases'!$A:$A,0)),TRIM(C1406)))</f>
        <v/>
      </c>
      <c r="I1406" s="17" t="str">
        <f aca="false">IF(TRIM(B1406)="","",UPPER(TRIM(B1406)))</f>
        <v/>
      </c>
      <c r="J1406" s="17" t="str">
        <f aca="false">IF(H1406="","",IF(COUNTIF('Master Stock'!$A$5:$A$206,H1406)&gt;0,"Yes","Not on stock sheet"))</f>
        <v/>
      </c>
    </row>
    <row r="1407" customFormat="false" ht="14.25" hidden="false" customHeight="true" outlineLevel="0" collapsed="false">
      <c r="E1407" s="17"/>
      <c r="H1407" s="17" t="str">
        <f aca="false">IF(TRIM(C1407)="","",IFERROR(INDEX('Code Aliases'!$B:$B,MATCH(TRIM(C1407),'Code Aliases'!$A:$A,0)),TRIM(C1407)))</f>
        <v/>
      </c>
      <c r="I1407" s="17" t="str">
        <f aca="false">IF(TRIM(B1407)="","",UPPER(TRIM(B1407)))</f>
        <v/>
      </c>
      <c r="J1407" s="17" t="str">
        <f aca="false">IF(H1407="","",IF(COUNTIF('Master Stock'!$A$5:$A$206,H1407)&gt;0,"Yes","Not on stock sheet"))</f>
        <v/>
      </c>
    </row>
    <row r="1408" customFormat="false" ht="14.25" hidden="false" customHeight="true" outlineLevel="0" collapsed="false">
      <c r="E1408" s="17"/>
      <c r="H1408" s="17" t="str">
        <f aca="false">IF(TRIM(C1408)="","",IFERROR(INDEX('Code Aliases'!$B:$B,MATCH(TRIM(C1408),'Code Aliases'!$A:$A,0)),TRIM(C1408)))</f>
        <v/>
      </c>
      <c r="I1408" s="17" t="str">
        <f aca="false">IF(TRIM(B1408)="","",UPPER(TRIM(B1408)))</f>
        <v/>
      </c>
      <c r="J1408" s="17" t="str">
        <f aca="false">IF(H1408="","",IF(COUNTIF('Master Stock'!$A$5:$A$206,H1408)&gt;0,"Yes","Not on stock sheet"))</f>
        <v/>
      </c>
    </row>
    <row r="1409" customFormat="false" ht="14.25" hidden="false" customHeight="true" outlineLevel="0" collapsed="false">
      <c r="E1409" s="17"/>
      <c r="H1409" s="17" t="str">
        <f aca="false">IF(TRIM(C1409)="","",IFERROR(INDEX('Code Aliases'!$B:$B,MATCH(TRIM(C1409),'Code Aliases'!$A:$A,0)),TRIM(C1409)))</f>
        <v/>
      </c>
      <c r="I1409" s="17" t="str">
        <f aca="false">IF(TRIM(B1409)="","",UPPER(TRIM(B1409)))</f>
        <v/>
      </c>
      <c r="J1409" s="17" t="str">
        <f aca="false">IF(H1409="","",IF(COUNTIF('Master Stock'!$A$5:$A$206,H1409)&gt;0,"Yes","Not on stock sheet"))</f>
        <v/>
      </c>
    </row>
    <row r="1410" customFormat="false" ht="14.25" hidden="false" customHeight="true" outlineLevel="0" collapsed="false">
      <c r="E1410" s="17"/>
      <c r="H1410" s="17" t="str">
        <f aca="false">IF(TRIM(C1410)="","",IFERROR(INDEX('Code Aliases'!$B:$B,MATCH(TRIM(C1410),'Code Aliases'!$A:$A,0)),TRIM(C1410)))</f>
        <v/>
      </c>
      <c r="I1410" s="17" t="str">
        <f aca="false">IF(TRIM(B1410)="","",UPPER(TRIM(B1410)))</f>
        <v/>
      </c>
      <c r="J1410" s="17" t="str">
        <f aca="false">IF(H1410="","",IF(COUNTIF('Master Stock'!$A$5:$A$206,H1410)&gt;0,"Yes","Not on stock sheet"))</f>
        <v/>
      </c>
    </row>
    <row r="1411" customFormat="false" ht="14.25" hidden="false" customHeight="true" outlineLevel="0" collapsed="false">
      <c r="E1411" s="17"/>
      <c r="H1411" s="17" t="str">
        <f aca="false">IF(TRIM(C1411)="","",IFERROR(INDEX('Code Aliases'!$B:$B,MATCH(TRIM(C1411),'Code Aliases'!$A:$A,0)),TRIM(C1411)))</f>
        <v/>
      </c>
      <c r="I1411" s="17" t="str">
        <f aca="false">IF(TRIM(B1411)="","",UPPER(TRIM(B1411)))</f>
        <v/>
      </c>
      <c r="J1411" s="17" t="str">
        <f aca="false">IF(H1411="","",IF(COUNTIF('Master Stock'!$A$5:$A$206,H1411)&gt;0,"Yes","Not on stock sheet"))</f>
        <v/>
      </c>
    </row>
    <row r="1412" customFormat="false" ht="14.25" hidden="false" customHeight="true" outlineLevel="0" collapsed="false">
      <c r="E1412" s="17"/>
      <c r="H1412" s="17" t="str">
        <f aca="false">IF(TRIM(C1412)="","",IFERROR(INDEX('Code Aliases'!$B:$B,MATCH(TRIM(C1412),'Code Aliases'!$A:$A,0)),TRIM(C1412)))</f>
        <v/>
      </c>
      <c r="I1412" s="17" t="str">
        <f aca="false">IF(TRIM(B1412)="","",UPPER(TRIM(B1412)))</f>
        <v/>
      </c>
      <c r="J1412" s="17" t="str">
        <f aca="false">IF(H1412="","",IF(COUNTIF('Master Stock'!$A$5:$A$206,H1412)&gt;0,"Yes","Not on stock sheet"))</f>
        <v/>
      </c>
    </row>
    <row r="1413" customFormat="false" ht="14.25" hidden="false" customHeight="true" outlineLevel="0" collapsed="false">
      <c r="E1413" s="17"/>
      <c r="H1413" s="17" t="str">
        <f aca="false">IF(TRIM(C1413)="","",IFERROR(INDEX('Code Aliases'!$B:$B,MATCH(TRIM(C1413),'Code Aliases'!$A:$A,0)),TRIM(C1413)))</f>
        <v/>
      </c>
      <c r="I1413" s="17" t="str">
        <f aca="false">IF(TRIM(B1413)="","",UPPER(TRIM(B1413)))</f>
        <v/>
      </c>
      <c r="J1413" s="17" t="str">
        <f aca="false">IF(H1413="","",IF(COUNTIF('Master Stock'!$A$5:$A$206,H1413)&gt;0,"Yes","Not on stock sheet"))</f>
        <v/>
      </c>
    </row>
    <row r="1414" customFormat="false" ht="14.25" hidden="false" customHeight="true" outlineLevel="0" collapsed="false">
      <c r="E1414" s="17"/>
      <c r="H1414" s="17" t="str">
        <f aca="false">IF(TRIM(C1414)="","",IFERROR(INDEX('Code Aliases'!$B:$B,MATCH(TRIM(C1414),'Code Aliases'!$A:$A,0)),TRIM(C1414)))</f>
        <v/>
      </c>
      <c r="I1414" s="17" t="str">
        <f aca="false">IF(TRIM(B1414)="","",UPPER(TRIM(B1414)))</f>
        <v/>
      </c>
      <c r="J1414" s="17" t="str">
        <f aca="false">IF(H1414="","",IF(COUNTIF('Master Stock'!$A$5:$A$206,H1414)&gt;0,"Yes","Not on stock sheet"))</f>
        <v/>
      </c>
    </row>
    <row r="1415" customFormat="false" ht="14.25" hidden="false" customHeight="true" outlineLevel="0" collapsed="false">
      <c r="E1415" s="17"/>
      <c r="H1415" s="17" t="str">
        <f aca="false">IF(TRIM(C1415)="","",IFERROR(INDEX('Code Aliases'!$B:$B,MATCH(TRIM(C1415),'Code Aliases'!$A:$A,0)),TRIM(C1415)))</f>
        <v/>
      </c>
      <c r="I1415" s="17" t="str">
        <f aca="false">IF(TRIM(B1415)="","",UPPER(TRIM(B1415)))</f>
        <v/>
      </c>
      <c r="J1415" s="17" t="str">
        <f aca="false">IF(H1415="","",IF(COUNTIF('Master Stock'!$A$5:$A$206,H1415)&gt;0,"Yes","Not on stock sheet"))</f>
        <v/>
      </c>
    </row>
    <row r="1416" customFormat="false" ht="14.25" hidden="false" customHeight="true" outlineLevel="0" collapsed="false">
      <c r="E1416" s="17"/>
      <c r="H1416" s="17" t="str">
        <f aca="false">IF(TRIM(C1416)="","",IFERROR(INDEX('Code Aliases'!$B:$B,MATCH(TRIM(C1416),'Code Aliases'!$A:$A,0)),TRIM(C1416)))</f>
        <v/>
      </c>
      <c r="I1416" s="17" t="str">
        <f aca="false">IF(TRIM(B1416)="","",UPPER(TRIM(B1416)))</f>
        <v/>
      </c>
      <c r="J1416" s="17" t="str">
        <f aca="false">IF(H1416="","",IF(COUNTIF('Master Stock'!$A$5:$A$206,H1416)&gt;0,"Yes","Not on stock sheet"))</f>
        <v/>
      </c>
    </row>
    <row r="1417" customFormat="false" ht="14.25" hidden="false" customHeight="true" outlineLevel="0" collapsed="false">
      <c r="E1417" s="17"/>
      <c r="H1417" s="17" t="str">
        <f aca="false">IF(TRIM(C1417)="","",IFERROR(INDEX('Code Aliases'!$B:$B,MATCH(TRIM(C1417),'Code Aliases'!$A:$A,0)),TRIM(C1417)))</f>
        <v/>
      </c>
      <c r="I1417" s="17" t="str">
        <f aca="false">IF(TRIM(B1417)="","",UPPER(TRIM(B1417)))</f>
        <v/>
      </c>
      <c r="J1417" s="17" t="str">
        <f aca="false">IF(H1417="","",IF(COUNTIF('Master Stock'!$A$5:$A$206,H1417)&gt;0,"Yes","Not on stock sheet"))</f>
        <v/>
      </c>
    </row>
    <row r="1418" customFormat="false" ht="14.25" hidden="false" customHeight="true" outlineLevel="0" collapsed="false">
      <c r="E1418" s="17"/>
      <c r="H1418" s="17" t="str">
        <f aca="false">IF(TRIM(C1418)="","",IFERROR(INDEX('Code Aliases'!$B:$B,MATCH(TRIM(C1418),'Code Aliases'!$A:$A,0)),TRIM(C1418)))</f>
        <v/>
      </c>
      <c r="I1418" s="17" t="str">
        <f aca="false">IF(TRIM(B1418)="","",UPPER(TRIM(B1418)))</f>
        <v/>
      </c>
      <c r="J1418" s="17" t="str">
        <f aca="false">IF(H1418="","",IF(COUNTIF('Master Stock'!$A$5:$A$206,H1418)&gt;0,"Yes","Not on stock sheet"))</f>
        <v/>
      </c>
    </row>
    <row r="1419" customFormat="false" ht="14.25" hidden="false" customHeight="true" outlineLevel="0" collapsed="false">
      <c r="E1419" s="17"/>
      <c r="H1419" s="17" t="str">
        <f aca="false">IF(TRIM(C1419)="","",IFERROR(INDEX('Code Aliases'!$B:$B,MATCH(TRIM(C1419),'Code Aliases'!$A:$A,0)),TRIM(C1419)))</f>
        <v/>
      </c>
      <c r="I1419" s="17" t="str">
        <f aca="false">IF(TRIM(B1419)="","",UPPER(TRIM(B1419)))</f>
        <v/>
      </c>
      <c r="J1419" s="17" t="str">
        <f aca="false">IF(H1419="","",IF(COUNTIF('Master Stock'!$A$5:$A$206,H1419)&gt;0,"Yes","Not on stock sheet"))</f>
        <v/>
      </c>
    </row>
    <row r="1420" customFormat="false" ht="14.25" hidden="false" customHeight="true" outlineLevel="0" collapsed="false">
      <c r="E1420" s="17"/>
      <c r="H1420" s="17" t="str">
        <f aca="false">IF(TRIM(C1420)="","",IFERROR(INDEX('Code Aliases'!$B:$B,MATCH(TRIM(C1420),'Code Aliases'!$A:$A,0)),TRIM(C1420)))</f>
        <v/>
      </c>
      <c r="I1420" s="17" t="str">
        <f aca="false">IF(TRIM(B1420)="","",UPPER(TRIM(B1420)))</f>
        <v/>
      </c>
      <c r="J1420" s="17" t="str">
        <f aca="false">IF(H1420="","",IF(COUNTIF('Master Stock'!$A$5:$A$206,H1420)&gt;0,"Yes","Not on stock sheet"))</f>
        <v/>
      </c>
    </row>
    <row r="1421" customFormat="false" ht="14.25" hidden="false" customHeight="true" outlineLevel="0" collapsed="false">
      <c r="E1421" s="17"/>
      <c r="H1421" s="17" t="str">
        <f aca="false">IF(TRIM(C1421)="","",IFERROR(INDEX('Code Aliases'!$B:$B,MATCH(TRIM(C1421),'Code Aliases'!$A:$A,0)),TRIM(C1421)))</f>
        <v/>
      </c>
      <c r="I1421" s="17" t="str">
        <f aca="false">IF(TRIM(B1421)="","",UPPER(TRIM(B1421)))</f>
        <v/>
      </c>
      <c r="J1421" s="17" t="str">
        <f aca="false">IF(H1421="","",IF(COUNTIF('Master Stock'!$A$5:$A$206,H1421)&gt;0,"Yes","Not on stock sheet"))</f>
        <v/>
      </c>
    </row>
    <row r="1422" customFormat="false" ht="14.25" hidden="false" customHeight="true" outlineLevel="0" collapsed="false">
      <c r="E1422" s="17"/>
      <c r="H1422" s="17" t="str">
        <f aca="false">IF(TRIM(C1422)="","",IFERROR(INDEX('Code Aliases'!$B:$B,MATCH(TRIM(C1422),'Code Aliases'!$A:$A,0)),TRIM(C1422)))</f>
        <v/>
      </c>
      <c r="I1422" s="17" t="str">
        <f aca="false">IF(TRIM(B1422)="","",UPPER(TRIM(B1422)))</f>
        <v/>
      </c>
      <c r="J1422" s="17" t="str">
        <f aca="false">IF(H1422="","",IF(COUNTIF('Master Stock'!$A$5:$A$206,H1422)&gt;0,"Yes","Not on stock sheet"))</f>
        <v/>
      </c>
    </row>
    <row r="1423" customFormat="false" ht="14.25" hidden="false" customHeight="true" outlineLevel="0" collapsed="false">
      <c r="E1423" s="17"/>
      <c r="H1423" s="17" t="str">
        <f aca="false">IF(TRIM(C1423)="","",IFERROR(INDEX('Code Aliases'!$B:$B,MATCH(TRIM(C1423),'Code Aliases'!$A:$A,0)),TRIM(C1423)))</f>
        <v/>
      </c>
      <c r="I1423" s="17" t="str">
        <f aca="false">IF(TRIM(B1423)="","",UPPER(TRIM(B1423)))</f>
        <v/>
      </c>
      <c r="J1423" s="17" t="str">
        <f aca="false">IF(H1423="","",IF(COUNTIF('Master Stock'!$A$5:$A$206,H1423)&gt;0,"Yes","Not on stock sheet"))</f>
        <v/>
      </c>
    </row>
    <row r="1424" customFormat="false" ht="14.25" hidden="false" customHeight="true" outlineLevel="0" collapsed="false">
      <c r="E1424" s="17"/>
      <c r="H1424" s="17" t="str">
        <f aca="false">IF(TRIM(C1424)="","",IFERROR(INDEX('Code Aliases'!$B:$B,MATCH(TRIM(C1424),'Code Aliases'!$A:$A,0)),TRIM(C1424)))</f>
        <v/>
      </c>
      <c r="I1424" s="17" t="str">
        <f aca="false">IF(TRIM(B1424)="","",UPPER(TRIM(B1424)))</f>
        <v/>
      </c>
      <c r="J1424" s="17" t="str">
        <f aca="false">IF(H1424="","",IF(COUNTIF('Master Stock'!$A$5:$A$206,H1424)&gt;0,"Yes","Not on stock sheet"))</f>
        <v/>
      </c>
    </row>
    <row r="1425" customFormat="false" ht="14.25" hidden="false" customHeight="true" outlineLevel="0" collapsed="false">
      <c r="E1425" s="17"/>
      <c r="H1425" s="17" t="str">
        <f aca="false">IF(TRIM(C1425)="","",IFERROR(INDEX('Code Aliases'!$B:$B,MATCH(TRIM(C1425),'Code Aliases'!$A:$A,0)),TRIM(C1425)))</f>
        <v/>
      </c>
      <c r="I1425" s="17" t="str">
        <f aca="false">IF(TRIM(B1425)="","",UPPER(TRIM(B1425)))</f>
        <v/>
      </c>
      <c r="J1425" s="17" t="str">
        <f aca="false">IF(H1425="","",IF(COUNTIF('Master Stock'!$A$5:$A$206,H1425)&gt;0,"Yes","Not on stock sheet"))</f>
        <v/>
      </c>
    </row>
    <row r="1426" customFormat="false" ht="14.25" hidden="false" customHeight="true" outlineLevel="0" collapsed="false">
      <c r="E1426" s="17"/>
      <c r="H1426" s="17" t="str">
        <f aca="false">IF(TRIM(C1426)="","",IFERROR(INDEX('Code Aliases'!$B:$B,MATCH(TRIM(C1426),'Code Aliases'!$A:$A,0)),TRIM(C1426)))</f>
        <v/>
      </c>
      <c r="I1426" s="17" t="str">
        <f aca="false">IF(TRIM(B1426)="","",UPPER(TRIM(B1426)))</f>
        <v/>
      </c>
      <c r="J1426" s="17" t="str">
        <f aca="false">IF(H1426="","",IF(COUNTIF('Master Stock'!$A$5:$A$206,H1426)&gt;0,"Yes","Not on stock sheet"))</f>
        <v/>
      </c>
    </row>
    <row r="1427" customFormat="false" ht="14.25" hidden="false" customHeight="true" outlineLevel="0" collapsed="false">
      <c r="E1427" s="17"/>
      <c r="H1427" s="17" t="str">
        <f aca="false">IF(TRIM(C1427)="","",IFERROR(INDEX('Code Aliases'!$B:$B,MATCH(TRIM(C1427),'Code Aliases'!$A:$A,0)),TRIM(C1427)))</f>
        <v/>
      </c>
      <c r="I1427" s="17" t="str">
        <f aca="false">IF(TRIM(B1427)="","",UPPER(TRIM(B1427)))</f>
        <v/>
      </c>
      <c r="J1427" s="17" t="str">
        <f aca="false">IF(H1427="","",IF(COUNTIF('Master Stock'!$A$5:$A$206,H1427)&gt;0,"Yes","Not on stock sheet"))</f>
        <v/>
      </c>
    </row>
    <row r="1428" customFormat="false" ht="14.25" hidden="false" customHeight="true" outlineLevel="0" collapsed="false">
      <c r="E1428" s="17"/>
      <c r="H1428" s="17" t="str">
        <f aca="false">IF(TRIM(C1428)="","",IFERROR(INDEX('Code Aliases'!$B:$B,MATCH(TRIM(C1428),'Code Aliases'!$A:$A,0)),TRIM(C1428)))</f>
        <v/>
      </c>
      <c r="I1428" s="17" t="str">
        <f aca="false">IF(TRIM(B1428)="","",UPPER(TRIM(B1428)))</f>
        <v/>
      </c>
      <c r="J1428" s="17" t="str">
        <f aca="false">IF(H1428="","",IF(COUNTIF('Master Stock'!$A$5:$A$206,H1428)&gt;0,"Yes","Not on stock sheet"))</f>
        <v/>
      </c>
    </row>
    <row r="1429" customFormat="false" ht="14.25" hidden="false" customHeight="true" outlineLevel="0" collapsed="false">
      <c r="E1429" s="17"/>
      <c r="H1429" s="17" t="str">
        <f aca="false">IF(TRIM(C1429)="","",IFERROR(INDEX('Code Aliases'!$B:$B,MATCH(TRIM(C1429),'Code Aliases'!$A:$A,0)),TRIM(C1429)))</f>
        <v/>
      </c>
      <c r="I1429" s="17" t="str">
        <f aca="false">IF(TRIM(B1429)="","",UPPER(TRIM(B1429)))</f>
        <v/>
      </c>
      <c r="J1429" s="17" t="str">
        <f aca="false">IF(H1429="","",IF(COUNTIF('Master Stock'!$A$5:$A$206,H1429)&gt;0,"Yes","Not on stock sheet"))</f>
        <v/>
      </c>
    </row>
    <row r="1430" customFormat="false" ht="14.25" hidden="false" customHeight="true" outlineLevel="0" collapsed="false">
      <c r="E1430" s="17"/>
      <c r="H1430" s="17" t="str">
        <f aca="false">IF(TRIM(C1430)="","",IFERROR(INDEX('Code Aliases'!$B:$B,MATCH(TRIM(C1430),'Code Aliases'!$A:$A,0)),TRIM(C1430)))</f>
        <v/>
      </c>
      <c r="I1430" s="17" t="str">
        <f aca="false">IF(TRIM(B1430)="","",UPPER(TRIM(B1430)))</f>
        <v/>
      </c>
      <c r="J1430" s="17" t="str">
        <f aca="false">IF(H1430="","",IF(COUNTIF('Master Stock'!$A$5:$A$206,H1430)&gt;0,"Yes","Not on stock sheet"))</f>
        <v/>
      </c>
    </row>
    <row r="1431" customFormat="false" ht="14.25" hidden="false" customHeight="true" outlineLevel="0" collapsed="false">
      <c r="E1431" s="17"/>
      <c r="H1431" s="17" t="str">
        <f aca="false">IF(TRIM(C1431)="","",IFERROR(INDEX('Code Aliases'!$B:$B,MATCH(TRIM(C1431),'Code Aliases'!$A:$A,0)),TRIM(C1431)))</f>
        <v/>
      </c>
      <c r="I1431" s="17" t="str">
        <f aca="false">IF(TRIM(B1431)="","",UPPER(TRIM(B1431)))</f>
        <v/>
      </c>
      <c r="J1431" s="17" t="str">
        <f aca="false">IF(H1431="","",IF(COUNTIF('Master Stock'!$A$5:$A$206,H1431)&gt;0,"Yes","Not on stock sheet"))</f>
        <v/>
      </c>
    </row>
    <row r="1432" customFormat="false" ht="14.25" hidden="false" customHeight="true" outlineLevel="0" collapsed="false">
      <c r="E1432" s="17"/>
      <c r="H1432" s="17" t="str">
        <f aca="false">IF(TRIM(C1432)="","",IFERROR(INDEX('Code Aliases'!$B:$B,MATCH(TRIM(C1432),'Code Aliases'!$A:$A,0)),TRIM(C1432)))</f>
        <v/>
      </c>
      <c r="I1432" s="17" t="str">
        <f aca="false">IF(TRIM(B1432)="","",UPPER(TRIM(B1432)))</f>
        <v/>
      </c>
      <c r="J1432" s="17" t="str">
        <f aca="false">IF(H1432="","",IF(COUNTIF('Master Stock'!$A$5:$A$206,H1432)&gt;0,"Yes","Not on stock sheet"))</f>
        <v/>
      </c>
    </row>
    <row r="1433" customFormat="false" ht="14.25" hidden="false" customHeight="true" outlineLevel="0" collapsed="false">
      <c r="E1433" s="17"/>
      <c r="H1433" s="17" t="str">
        <f aca="false">IF(TRIM(C1433)="","",IFERROR(INDEX('Code Aliases'!$B:$B,MATCH(TRIM(C1433),'Code Aliases'!$A:$A,0)),TRIM(C1433)))</f>
        <v/>
      </c>
      <c r="I1433" s="17" t="str">
        <f aca="false">IF(TRIM(B1433)="","",UPPER(TRIM(B1433)))</f>
        <v/>
      </c>
      <c r="J1433" s="17" t="str">
        <f aca="false">IF(H1433="","",IF(COUNTIF('Master Stock'!$A$5:$A$206,H1433)&gt;0,"Yes","Not on stock sheet"))</f>
        <v/>
      </c>
    </row>
    <row r="1434" customFormat="false" ht="14.25" hidden="false" customHeight="true" outlineLevel="0" collapsed="false">
      <c r="E1434" s="17"/>
      <c r="H1434" s="17" t="str">
        <f aca="false">IF(TRIM(C1434)="","",IFERROR(INDEX('Code Aliases'!$B:$B,MATCH(TRIM(C1434),'Code Aliases'!$A:$A,0)),TRIM(C1434)))</f>
        <v/>
      </c>
      <c r="I1434" s="17" t="str">
        <f aca="false">IF(TRIM(B1434)="","",UPPER(TRIM(B1434)))</f>
        <v/>
      </c>
      <c r="J1434" s="17" t="str">
        <f aca="false">IF(H1434="","",IF(COUNTIF('Master Stock'!$A$5:$A$206,H1434)&gt;0,"Yes","Not on stock sheet"))</f>
        <v/>
      </c>
    </row>
    <row r="1435" customFormat="false" ht="14.25" hidden="false" customHeight="true" outlineLevel="0" collapsed="false">
      <c r="E1435" s="17"/>
      <c r="H1435" s="17" t="str">
        <f aca="false">IF(TRIM(C1435)="","",IFERROR(INDEX('Code Aliases'!$B:$B,MATCH(TRIM(C1435),'Code Aliases'!$A:$A,0)),TRIM(C1435)))</f>
        <v/>
      </c>
      <c r="I1435" s="17" t="str">
        <f aca="false">IF(TRIM(B1435)="","",UPPER(TRIM(B1435)))</f>
        <v/>
      </c>
      <c r="J1435" s="17" t="str">
        <f aca="false">IF(H1435="","",IF(COUNTIF('Master Stock'!$A$5:$A$206,H1435)&gt;0,"Yes","Not on stock sheet"))</f>
        <v/>
      </c>
    </row>
    <row r="1436" customFormat="false" ht="14.25" hidden="false" customHeight="true" outlineLevel="0" collapsed="false">
      <c r="E1436" s="17"/>
      <c r="H1436" s="17" t="str">
        <f aca="false">IF(TRIM(C1436)="","",IFERROR(INDEX('Code Aliases'!$B:$B,MATCH(TRIM(C1436),'Code Aliases'!$A:$A,0)),TRIM(C1436)))</f>
        <v/>
      </c>
      <c r="I1436" s="17" t="str">
        <f aca="false">IF(TRIM(B1436)="","",UPPER(TRIM(B1436)))</f>
        <v/>
      </c>
      <c r="J1436" s="17" t="str">
        <f aca="false">IF(H1436="","",IF(COUNTIF('Master Stock'!$A$5:$A$206,H1436)&gt;0,"Yes","Not on stock sheet"))</f>
        <v/>
      </c>
    </row>
    <row r="1437" customFormat="false" ht="14.25" hidden="false" customHeight="true" outlineLevel="0" collapsed="false">
      <c r="E1437" s="17"/>
      <c r="H1437" s="17" t="str">
        <f aca="false">IF(TRIM(C1437)="","",IFERROR(INDEX('Code Aliases'!$B:$B,MATCH(TRIM(C1437),'Code Aliases'!$A:$A,0)),TRIM(C1437)))</f>
        <v/>
      </c>
      <c r="I1437" s="17" t="str">
        <f aca="false">IF(TRIM(B1437)="","",UPPER(TRIM(B1437)))</f>
        <v/>
      </c>
      <c r="J1437" s="17" t="str">
        <f aca="false">IF(H1437="","",IF(COUNTIF('Master Stock'!$A$5:$A$206,H1437)&gt;0,"Yes","Not on stock sheet"))</f>
        <v/>
      </c>
    </row>
    <row r="1438" customFormat="false" ht="14.25" hidden="false" customHeight="true" outlineLevel="0" collapsed="false">
      <c r="E1438" s="17"/>
      <c r="H1438" s="17" t="str">
        <f aca="false">IF(TRIM(C1438)="","",IFERROR(INDEX('Code Aliases'!$B:$B,MATCH(TRIM(C1438),'Code Aliases'!$A:$A,0)),TRIM(C1438)))</f>
        <v/>
      </c>
      <c r="I1438" s="17" t="str">
        <f aca="false">IF(TRIM(B1438)="","",UPPER(TRIM(B1438)))</f>
        <v/>
      </c>
      <c r="J1438" s="17" t="str">
        <f aca="false">IF(H1438="","",IF(COUNTIF('Master Stock'!$A$5:$A$206,H1438)&gt;0,"Yes","Not on stock sheet"))</f>
        <v/>
      </c>
    </row>
    <row r="1439" customFormat="false" ht="14.25" hidden="false" customHeight="true" outlineLevel="0" collapsed="false">
      <c r="E1439" s="17"/>
      <c r="H1439" s="17" t="str">
        <f aca="false">IF(TRIM(C1439)="","",IFERROR(INDEX('Code Aliases'!$B:$B,MATCH(TRIM(C1439),'Code Aliases'!$A:$A,0)),TRIM(C1439)))</f>
        <v/>
      </c>
      <c r="I1439" s="17" t="str">
        <f aca="false">IF(TRIM(B1439)="","",UPPER(TRIM(B1439)))</f>
        <v/>
      </c>
      <c r="J1439" s="17" t="str">
        <f aca="false">IF(H1439="","",IF(COUNTIF('Master Stock'!$A$5:$A$206,H1439)&gt;0,"Yes","Not on stock sheet"))</f>
        <v/>
      </c>
    </row>
    <row r="1440" customFormat="false" ht="14.25" hidden="false" customHeight="true" outlineLevel="0" collapsed="false">
      <c r="E1440" s="17"/>
      <c r="H1440" s="17" t="str">
        <f aca="false">IF(TRIM(C1440)="","",IFERROR(INDEX('Code Aliases'!$B:$B,MATCH(TRIM(C1440),'Code Aliases'!$A:$A,0)),TRIM(C1440)))</f>
        <v/>
      </c>
      <c r="I1440" s="17" t="str">
        <f aca="false">IF(TRIM(B1440)="","",UPPER(TRIM(B1440)))</f>
        <v/>
      </c>
      <c r="J1440" s="17" t="str">
        <f aca="false">IF(H1440="","",IF(COUNTIF('Master Stock'!$A$5:$A$206,H1440)&gt;0,"Yes","Not on stock sheet"))</f>
        <v/>
      </c>
    </row>
    <row r="1441" customFormat="false" ht="14.25" hidden="false" customHeight="true" outlineLevel="0" collapsed="false">
      <c r="E1441" s="17"/>
      <c r="H1441" s="17" t="str">
        <f aca="false">IF(TRIM(C1441)="","",IFERROR(INDEX('Code Aliases'!$B:$B,MATCH(TRIM(C1441),'Code Aliases'!$A:$A,0)),TRIM(C1441)))</f>
        <v/>
      </c>
      <c r="I1441" s="17" t="str">
        <f aca="false">IF(TRIM(B1441)="","",UPPER(TRIM(B1441)))</f>
        <v/>
      </c>
      <c r="J1441" s="17" t="str">
        <f aca="false">IF(H1441="","",IF(COUNTIF('Master Stock'!$A$5:$A$206,H1441)&gt;0,"Yes","Not on stock sheet"))</f>
        <v/>
      </c>
    </row>
    <row r="1442" customFormat="false" ht="14.25" hidden="false" customHeight="true" outlineLevel="0" collapsed="false">
      <c r="E1442" s="17"/>
      <c r="H1442" s="17" t="str">
        <f aca="false">IF(TRIM(C1442)="","",IFERROR(INDEX('Code Aliases'!$B:$B,MATCH(TRIM(C1442),'Code Aliases'!$A:$A,0)),TRIM(C1442)))</f>
        <v/>
      </c>
      <c r="I1442" s="17" t="str">
        <f aca="false">IF(TRIM(B1442)="","",UPPER(TRIM(B1442)))</f>
        <v/>
      </c>
      <c r="J1442" s="17" t="str">
        <f aca="false">IF(H1442="","",IF(COUNTIF('Master Stock'!$A$5:$A$206,H1442)&gt;0,"Yes","Not on stock sheet"))</f>
        <v/>
      </c>
    </row>
    <row r="1443" customFormat="false" ht="14.25" hidden="false" customHeight="true" outlineLevel="0" collapsed="false">
      <c r="E1443" s="17"/>
      <c r="H1443" s="17" t="str">
        <f aca="false">IF(TRIM(C1443)="","",IFERROR(INDEX('Code Aliases'!$B:$B,MATCH(TRIM(C1443),'Code Aliases'!$A:$A,0)),TRIM(C1443)))</f>
        <v/>
      </c>
      <c r="I1443" s="17" t="str">
        <f aca="false">IF(TRIM(B1443)="","",UPPER(TRIM(B1443)))</f>
        <v/>
      </c>
      <c r="J1443" s="17" t="str">
        <f aca="false">IF(H1443="","",IF(COUNTIF('Master Stock'!$A$5:$A$206,H1443)&gt;0,"Yes","Not on stock sheet"))</f>
        <v/>
      </c>
    </row>
    <row r="1444" customFormat="false" ht="14.25" hidden="false" customHeight="true" outlineLevel="0" collapsed="false">
      <c r="E1444" s="17"/>
      <c r="H1444" s="17" t="str">
        <f aca="false">IF(TRIM(C1444)="","",IFERROR(INDEX('Code Aliases'!$B:$B,MATCH(TRIM(C1444),'Code Aliases'!$A:$A,0)),TRIM(C1444)))</f>
        <v/>
      </c>
      <c r="I1444" s="17" t="str">
        <f aca="false">IF(TRIM(B1444)="","",UPPER(TRIM(B1444)))</f>
        <v/>
      </c>
      <c r="J1444" s="17" t="str">
        <f aca="false">IF(H1444="","",IF(COUNTIF('Master Stock'!$A$5:$A$206,H1444)&gt;0,"Yes","Not on stock sheet"))</f>
        <v/>
      </c>
    </row>
    <row r="1445" customFormat="false" ht="14.25" hidden="false" customHeight="true" outlineLevel="0" collapsed="false">
      <c r="E1445" s="17"/>
      <c r="H1445" s="17" t="str">
        <f aca="false">IF(TRIM(C1445)="","",IFERROR(INDEX('Code Aliases'!$B:$B,MATCH(TRIM(C1445),'Code Aliases'!$A:$A,0)),TRIM(C1445)))</f>
        <v/>
      </c>
      <c r="I1445" s="17" t="str">
        <f aca="false">IF(TRIM(B1445)="","",UPPER(TRIM(B1445)))</f>
        <v/>
      </c>
      <c r="J1445" s="17" t="str">
        <f aca="false">IF(H1445="","",IF(COUNTIF('Master Stock'!$A$5:$A$206,H1445)&gt;0,"Yes","Not on stock sheet"))</f>
        <v/>
      </c>
    </row>
    <row r="1446" customFormat="false" ht="14.25" hidden="false" customHeight="true" outlineLevel="0" collapsed="false">
      <c r="E1446" s="17"/>
      <c r="H1446" s="17" t="str">
        <f aca="false">IF(TRIM(C1446)="","",IFERROR(INDEX('Code Aliases'!$B:$B,MATCH(TRIM(C1446),'Code Aliases'!$A:$A,0)),TRIM(C1446)))</f>
        <v/>
      </c>
      <c r="I1446" s="17" t="str">
        <f aca="false">IF(TRIM(B1446)="","",UPPER(TRIM(B1446)))</f>
        <v/>
      </c>
      <c r="J1446" s="17" t="str">
        <f aca="false">IF(H1446="","",IF(COUNTIF('Master Stock'!$A$5:$A$206,H1446)&gt;0,"Yes","Not on stock sheet"))</f>
        <v/>
      </c>
    </row>
    <row r="1447" customFormat="false" ht="14.25" hidden="false" customHeight="true" outlineLevel="0" collapsed="false">
      <c r="E1447" s="17"/>
      <c r="H1447" s="17" t="str">
        <f aca="false">IF(TRIM(C1447)="","",IFERROR(INDEX('Code Aliases'!$B:$B,MATCH(TRIM(C1447),'Code Aliases'!$A:$A,0)),TRIM(C1447)))</f>
        <v/>
      </c>
      <c r="I1447" s="17" t="str">
        <f aca="false">IF(TRIM(B1447)="","",UPPER(TRIM(B1447)))</f>
        <v/>
      </c>
      <c r="J1447" s="17" t="str">
        <f aca="false">IF(H1447="","",IF(COUNTIF('Master Stock'!$A$5:$A$206,H1447)&gt;0,"Yes","Not on stock sheet"))</f>
        <v/>
      </c>
    </row>
    <row r="1448" customFormat="false" ht="14.25" hidden="false" customHeight="true" outlineLevel="0" collapsed="false">
      <c r="E1448" s="17"/>
      <c r="H1448" s="17" t="str">
        <f aca="false">IF(TRIM(C1448)="","",IFERROR(INDEX('Code Aliases'!$B:$B,MATCH(TRIM(C1448),'Code Aliases'!$A:$A,0)),TRIM(C1448)))</f>
        <v/>
      </c>
      <c r="I1448" s="17" t="str">
        <f aca="false">IF(TRIM(B1448)="","",UPPER(TRIM(B1448)))</f>
        <v/>
      </c>
      <c r="J1448" s="17" t="str">
        <f aca="false">IF(H1448="","",IF(COUNTIF('Master Stock'!$A$5:$A$206,H1448)&gt;0,"Yes","Not on stock sheet"))</f>
        <v/>
      </c>
    </row>
    <row r="1449" customFormat="false" ht="14.25" hidden="false" customHeight="true" outlineLevel="0" collapsed="false">
      <c r="E1449" s="17"/>
      <c r="H1449" s="17" t="str">
        <f aca="false">IF(TRIM(C1449)="","",IFERROR(INDEX('Code Aliases'!$B:$B,MATCH(TRIM(C1449),'Code Aliases'!$A:$A,0)),TRIM(C1449)))</f>
        <v/>
      </c>
      <c r="I1449" s="17" t="str">
        <f aca="false">IF(TRIM(B1449)="","",UPPER(TRIM(B1449)))</f>
        <v/>
      </c>
      <c r="J1449" s="17" t="str">
        <f aca="false">IF(H1449="","",IF(COUNTIF('Master Stock'!$A$5:$A$206,H1449)&gt;0,"Yes","Not on stock sheet"))</f>
        <v/>
      </c>
    </row>
    <row r="1450" customFormat="false" ht="14.25" hidden="false" customHeight="true" outlineLevel="0" collapsed="false">
      <c r="E1450" s="17"/>
      <c r="H1450" s="17" t="str">
        <f aca="false">IF(TRIM(C1450)="","",IFERROR(INDEX('Code Aliases'!$B:$B,MATCH(TRIM(C1450),'Code Aliases'!$A:$A,0)),TRIM(C1450)))</f>
        <v/>
      </c>
      <c r="I1450" s="17" t="str">
        <f aca="false">IF(TRIM(B1450)="","",UPPER(TRIM(B1450)))</f>
        <v/>
      </c>
      <c r="J1450" s="17" t="str">
        <f aca="false">IF(H1450="","",IF(COUNTIF('Master Stock'!$A$5:$A$206,H1450)&gt;0,"Yes","Not on stock sheet"))</f>
        <v/>
      </c>
    </row>
    <row r="1451" customFormat="false" ht="14.25" hidden="false" customHeight="true" outlineLevel="0" collapsed="false">
      <c r="E1451" s="17"/>
      <c r="H1451" s="17" t="str">
        <f aca="false">IF(TRIM(C1451)="","",IFERROR(INDEX('Code Aliases'!$B:$B,MATCH(TRIM(C1451),'Code Aliases'!$A:$A,0)),TRIM(C1451)))</f>
        <v/>
      </c>
      <c r="I1451" s="17" t="str">
        <f aca="false">IF(TRIM(B1451)="","",UPPER(TRIM(B1451)))</f>
        <v/>
      </c>
      <c r="J1451" s="17" t="str">
        <f aca="false">IF(H1451="","",IF(COUNTIF('Master Stock'!$A$5:$A$206,H1451)&gt;0,"Yes","Not on stock sheet"))</f>
        <v/>
      </c>
    </row>
    <row r="1452" customFormat="false" ht="14.25" hidden="false" customHeight="true" outlineLevel="0" collapsed="false">
      <c r="E1452" s="17"/>
      <c r="H1452" s="17" t="str">
        <f aca="false">IF(TRIM(C1452)="","",IFERROR(INDEX('Code Aliases'!$B:$B,MATCH(TRIM(C1452),'Code Aliases'!$A:$A,0)),TRIM(C1452)))</f>
        <v/>
      </c>
      <c r="I1452" s="17" t="str">
        <f aca="false">IF(TRIM(B1452)="","",UPPER(TRIM(B1452)))</f>
        <v/>
      </c>
      <c r="J1452" s="17" t="str">
        <f aca="false">IF(H1452="","",IF(COUNTIF('Master Stock'!$A$5:$A$206,H1452)&gt;0,"Yes","Not on stock sheet"))</f>
        <v/>
      </c>
    </row>
    <row r="1453" customFormat="false" ht="14.25" hidden="false" customHeight="true" outlineLevel="0" collapsed="false">
      <c r="E1453" s="17"/>
      <c r="H1453" s="17" t="str">
        <f aca="false">IF(TRIM(C1453)="","",IFERROR(INDEX('Code Aliases'!$B:$B,MATCH(TRIM(C1453),'Code Aliases'!$A:$A,0)),TRIM(C1453)))</f>
        <v/>
      </c>
      <c r="I1453" s="17" t="str">
        <f aca="false">IF(TRIM(B1453)="","",UPPER(TRIM(B1453)))</f>
        <v/>
      </c>
      <c r="J1453" s="17" t="str">
        <f aca="false">IF(H1453="","",IF(COUNTIF('Master Stock'!$A$5:$A$206,H1453)&gt;0,"Yes","Not on stock sheet"))</f>
        <v/>
      </c>
    </row>
    <row r="1454" customFormat="false" ht="14.25" hidden="false" customHeight="true" outlineLevel="0" collapsed="false">
      <c r="E1454" s="17"/>
      <c r="H1454" s="17" t="str">
        <f aca="false">IF(TRIM(C1454)="","",IFERROR(INDEX('Code Aliases'!$B:$B,MATCH(TRIM(C1454),'Code Aliases'!$A:$A,0)),TRIM(C1454)))</f>
        <v/>
      </c>
      <c r="I1454" s="17" t="str">
        <f aca="false">IF(TRIM(B1454)="","",UPPER(TRIM(B1454)))</f>
        <v/>
      </c>
      <c r="J1454" s="17" t="str">
        <f aca="false">IF(H1454="","",IF(COUNTIF('Master Stock'!$A$5:$A$206,H1454)&gt;0,"Yes","Not on stock sheet"))</f>
        <v/>
      </c>
    </row>
    <row r="1455" customFormat="false" ht="14.25" hidden="false" customHeight="true" outlineLevel="0" collapsed="false">
      <c r="E1455" s="17"/>
      <c r="H1455" s="17" t="str">
        <f aca="false">IF(TRIM(C1455)="","",IFERROR(INDEX('Code Aliases'!$B:$B,MATCH(TRIM(C1455),'Code Aliases'!$A:$A,0)),TRIM(C1455)))</f>
        <v/>
      </c>
      <c r="I1455" s="17" t="str">
        <f aca="false">IF(TRIM(B1455)="","",UPPER(TRIM(B1455)))</f>
        <v/>
      </c>
      <c r="J1455" s="17" t="str">
        <f aca="false">IF(H1455="","",IF(COUNTIF('Master Stock'!$A$5:$A$206,H1455)&gt;0,"Yes","Not on stock sheet"))</f>
        <v/>
      </c>
    </row>
    <row r="1456" customFormat="false" ht="14.25" hidden="false" customHeight="true" outlineLevel="0" collapsed="false">
      <c r="E1456" s="17"/>
      <c r="H1456" s="17" t="str">
        <f aca="false">IF(TRIM(C1456)="","",IFERROR(INDEX('Code Aliases'!$B:$B,MATCH(TRIM(C1456),'Code Aliases'!$A:$A,0)),TRIM(C1456)))</f>
        <v/>
      </c>
      <c r="I1456" s="17" t="str">
        <f aca="false">IF(TRIM(B1456)="","",UPPER(TRIM(B1456)))</f>
        <v/>
      </c>
      <c r="J1456" s="17" t="str">
        <f aca="false">IF(H1456="","",IF(COUNTIF('Master Stock'!$A$5:$A$206,H1456)&gt;0,"Yes","Not on stock sheet"))</f>
        <v/>
      </c>
    </row>
    <row r="1457" customFormat="false" ht="14.25" hidden="false" customHeight="true" outlineLevel="0" collapsed="false">
      <c r="E1457" s="17"/>
      <c r="H1457" s="17" t="str">
        <f aca="false">IF(TRIM(C1457)="","",IFERROR(INDEX('Code Aliases'!$B:$B,MATCH(TRIM(C1457),'Code Aliases'!$A:$A,0)),TRIM(C1457)))</f>
        <v/>
      </c>
      <c r="I1457" s="17" t="str">
        <f aca="false">IF(TRIM(B1457)="","",UPPER(TRIM(B1457)))</f>
        <v/>
      </c>
      <c r="J1457" s="17" t="str">
        <f aca="false">IF(H1457="","",IF(COUNTIF('Master Stock'!$A$5:$A$206,H1457)&gt;0,"Yes","Not on stock sheet"))</f>
        <v/>
      </c>
    </row>
    <row r="1458" customFormat="false" ht="14.25" hidden="false" customHeight="true" outlineLevel="0" collapsed="false">
      <c r="E1458" s="17"/>
      <c r="H1458" s="17" t="str">
        <f aca="false">IF(TRIM(C1458)="","",IFERROR(INDEX('Code Aliases'!$B:$B,MATCH(TRIM(C1458),'Code Aliases'!$A:$A,0)),TRIM(C1458)))</f>
        <v/>
      </c>
      <c r="I1458" s="17" t="str">
        <f aca="false">IF(TRIM(B1458)="","",UPPER(TRIM(B1458)))</f>
        <v/>
      </c>
      <c r="J1458" s="17" t="str">
        <f aca="false">IF(H1458="","",IF(COUNTIF('Master Stock'!$A$5:$A$206,H1458)&gt;0,"Yes","Not on stock sheet"))</f>
        <v/>
      </c>
    </row>
    <row r="1459" customFormat="false" ht="14.25" hidden="false" customHeight="true" outlineLevel="0" collapsed="false">
      <c r="E1459" s="17"/>
      <c r="H1459" s="17" t="str">
        <f aca="false">IF(TRIM(C1459)="","",IFERROR(INDEX('Code Aliases'!$B:$B,MATCH(TRIM(C1459),'Code Aliases'!$A:$A,0)),TRIM(C1459)))</f>
        <v/>
      </c>
      <c r="I1459" s="17" t="str">
        <f aca="false">IF(TRIM(B1459)="","",UPPER(TRIM(B1459)))</f>
        <v/>
      </c>
      <c r="J1459" s="17" t="str">
        <f aca="false">IF(H1459="","",IF(COUNTIF('Master Stock'!$A$5:$A$206,H1459)&gt;0,"Yes","Not on stock sheet"))</f>
        <v/>
      </c>
    </row>
    <row r="1460" customFormat="false" ht="14.25" hidden="false" customHeight="true" outlineLevel="0" collapsed="false">
      <c r="E1460" s="17"/>
      <c r="H1460" s="17" t="str">
        <f aca="false">IF(TRIM(C1460)="","",IFERROR(INDEX('Code Aliases'!$B:$B,MATCH(TRIM(C1460),'Code Aliases'!$A:$A,0)),TRIM(C1460)))</f>
        <v/>
      </c>
      <c r="I1460" s="17" t="str">
        <f aca="false">IF(TRIM(B1460)="","",UPPER(TRIM(B1460)))</f>
        <v/>
      </c>
      <c r="J1460" s="17" t="str">
        <f aca="false">IF(H1460="","",IF(COUNTIF('Master Stock'!$A$5:$A$206,H1460)&gt;0,"Yes","Not on stock sheet"))</f>
        <v/>
      </c>
    </row>
    <row r="1461" customFormat="false" ht="14.25" hidden="false" customHeight="true" outlineLevel="0" collapsed="false">
      <c r="E1461" s="17"/>
      <c r="H1461" s="17" t="str">
        <f aca="false">IF(TRIM(C1461)="","",IFERROR(INDEX('Code Aliases'!$B:$B,MATCH(TRIM(C1461),'Code Aliases'!$A:$A,0)),TRIM(C1461)))</f>
        <v/>
      </c>
      <c r="I1461" s="17" t="str">
        <f aca="false">IF(TRIM(B1461)="","",UPPER(TRIM(B1461)))</f>
        <v/>
      </c>
      <c r="J1461" s="17" t="str">
        <f aca="false">IF(H1461="","",IF(COUNTIF('Master Stock'!$A$5:$A$206,H1461)&gt;0,"Yes","Not on stock sheet"))</f>
        <v/>
      </c>
    </row>
    <row r="1462" customFormat="false" ht="14.25" hidden="false" customHeight="true" outlineLevel="0" collapsed="false">
      <c r="E1462" s="17"/>
      <c r="H1462" s="17" t="str">
        <f aca="false">IF(TRIM(C1462)="","",IFERROR(INDEX('Code Aliases'!$B:$B,MATCH(TRIM(C1462),'Code Aliases'!$A:$A,0)),TRIM(C1462)))</f>
        <v/>
      </c>
      <c r="I1462" s="17" t="str">
        <f aca="false">IF(TRIM(B1462)="","",UPPER(TRIM(B1462)))</f>
        <v/>
      </c>
      <c r="J1462" s="17" t="str">
        <f aca="false">IF(H1462="","",IF(COUNTIF('Master Stock'!$A$5:$A$206,H1462)&gt;0,"Yes","Not on stock sheet"))</f>
        <v/>
      </c>
    </row>
    <row r="1463" customFormat="false" ht="14.25" hidden="false" customHeight="true" outlineLevel="0" collapsed="false">
      <c r="E1463" s="17"/>
      <c r="H1463" s="17" t="str">
        <f aca="false">IF(TRIM(C1463)="","",IFERROR(INDEX('Code Aliases'!$B:$B,MATCH(TRIM(C1463),'Code Aliases'!$A:$A,0)),TRIM(C1463)))</f>
        <v/>
      </c>
      <c r="I1463" s="17" t="str">
        <f aca="false">IF(TRIM(B1463)="","",UPPER(TRIM(B1463)))</f>
        <v/>
      </c>
      <c r="J1463" s="17" t="str">
        <f aca="false">IF(H1463="","",IF(COUNTIF('Master Stock'!$A$5:$A$206,H1463)&gt;0,"Yes","Not on stock sheet"))</f>
        <v/>
      </c>
    </row>
    <row r="1464" customFormat="false" ht="14.25" hidden="false" customHeight="true" outlineLevel="0" collapsed="false">
      <c r="E1464" s="17"/>
      <c r="H1464" s="17" t="str">
        <f aca="false">IF(TRIM(C1464)="","",IFERROR(INDEX('Code Aliases'!$B:$B,MATCH(TRIM(C1464),'Code Aliases'!$A:$A,0)),TRIM(C1464)))</f>
        <v/>
      </c>
      <c r="I1464" s="17" t="str">
        <f aca="false">IF(TRIM(B1464)="","",UPPER(TRIM(B1464)))</f>
        <v/>
      </c>
      <c r="J1464" s="17" t="str">
        <f aca="false">IF(H1464="","",IF(COUNTIF('Master Stock'!$A$5:$A$206,H1464)&gt;0,"Yes","Not on stock sheet"))</f>
        <v/>
      </c>
    </row>
    <row r="1465" customFormat="false" ht="14.25" hidden="false" customHeight="true" outlineLevel="0" collapsed="false">
      <c r="E1465" s="17"/>
      <c r="H1465" s="17" t="str">
        <f aca="false">IF(TRIM(C1465)="","",IFERROR(INDEX('Code Aliases'!$B:$B,MATCH(TRIM(C1465),'Code Aliases'!$A:$A,0)),TRIM(C1465)))</f>
        <v/>
      </c>
      <c r="I1465" s="17" t="str">
        <f aca="false">IF(TRIM(B1465)="","",UPPER(TRIM(B1465)))</f>
        <v/>
      </c>
      <c r="J1465" s="17" t="str">
        <f aca="false">IF(H1465="","",IF(COUNTIF('Master Stock'!$A$5:$A$206,H1465)&gt;0,"Yes","Not on stock sheet"))</f>
        <v/>
      </c>
    </row>
    <row r="1466" customFormat="false" ht="14.25" hidden="false" customHeight="true" outlineLevel="0" collapsed="false">
      <c r="E1466" s="17"/>
      <c r="H1466" s="17" t="str">
        <f aca="false">IF(TRIM(C1466)="","",IFERROR(INDEX('Code Aliases'!$B:$B,MATCH(TRIM(C1466),'Code Aliases'!$A:$A,0)),TRIM(C1466)))</f>
        <v/>
      </c>
      <c r="I1466" s="17" t="str">
        <f aca="false">IF(TRIM(B1466)="","",UPPER(TRIM(B1466)))</f>
        <v/>
      </c>
      <c r="J1466" s="17" t="str">
        <f aca="false">IF(H1466="","",IF(COUNTIF('Master Stock'!$A$5:$A$206,H1466)&gt;0,"Yes","Not on stock sheet"))</f>
        <v/>
      </c>
    </row>
    <row r="1467" customFormat="false" ht="14.25" hidden="false" customHeight="true" outlineLevel="0" collapsed="false">
      <c r="E1467" s="17"/>
      <c r="H1467" s="17" t="str">
        <f aca="false">IF(TRIM(C1467)="","",IFERROR(INDEX('Code Aliases'!$B:$B,MATCH(TRIM(C1467),'Code Aliases'!$A:$A,0)),TRIM(C1467)))</f>
        <v/>
      </c>
      <c r="I1467" s="17" t="str">
        <f aca="false">IF(TRIM(B1467)="","",UPPER(TRIM(B1467)))</f>
        <v/>
      </c>
      <c r="J1467" s="17" t="str">
        <f aca="false">IF(H1467="","",IF(COUNTIF('Master Stock'!$A$5:$A$206,H1467)&gt;0,"Yes","Not on stock sheet"))</f>
        <v/>
      </c>
    </row>
    <row r="1468" customFormat="false" ht="14.25" hidden="false" customHeight="true" outlineLevel="0" collapsed="false">
      <c r="E1468" s="17"/>
      <c r="H1468" s="17" t="str">
        <f aca="false">IF(TRIM(C1468)="","",IFERROR(INDEX('Code Aliases'!$B:$B,MATCH(TRIM(C1468),'Code Aliases'!$A:$A,0)),TRIM(C1468)))</f>
        <v/>
      </c>
      <c r="I1468" s="17" t="str">
        <f aca="false">IF(TRIM(B1468)="","",UPPER(TRIM(B1468)))</f>
        <v/>
      </c>
      <c r="J1468" s="17" t="str">
        <f aca="false">IF(H1468="","",IF(COUNTIF('Master Stock'!$A$5:$A$206,H1468)&gt;0,"Yes","Not on stock sheet"))</f>
        <v/>
      </c>
    </row>
    <row r="1469" customFormat="false" ht="14.25" hidden="false" customHeight="true" outlineLevel="0" collapsed="false">
      <c r="E1469" s="17"/>
      <c r="H1469" s="17" t="str">
        <f aca="false">IF(TRIM(C1469)="","",IFERROR(INDEX('Code Aliases'!$B:$B,MATCH(TRIM(C1469),'Code Aliases'!$A:$A,0)),TRIM(C1469)))</f>
        <v/>
      </c>
      <c r="I1469" s="17" t="str">
        <f aca="false">IF(TRIM(B1469)="","",UPPER(TRIM(B1469)))</f>
        <v/>
      </c>
      <c r="J1469" s="17" t="str">
        <f aca="false">IF(H1469="","",IF(COUNTIF('Master Stock'!$A$5:$A$206,H1469)&gt;0,"Yes","Not on stock sheet"))</f>
        <v/>
      </c>
    </row>
    <row r="1470" customFormat="false" ht="14.25" hidden="false" customHeight="true" outlineLevel="0" collapsed="false">
      <c r="E1470" s="17"/>
      <c r="H1470" s="17" t="str">
        <f aca="false">IF(TRIM(C1470)="","",IFERROR(INDEX('Code Aliases'!$B:$B,MATCH(TRIM(C1470),'Code Aliases'!$A:$A,0)),TRIM(C1470)))</f>
        <v/>
      </c>
      <c r="I1470" s="17" t="str">
        <f aca="false">IF(TRIM(B1470)="","",UPPER(TRIM(B1470)))</f>
        <v/>
      </c>
      <c r="J1470" s="17" t="str">
        <f aca="false">IF(H1470="","",IF(COUNTIF('Master Stock'!$A$5:$A$206,H1470)&gt;0,"Yes","Not on stock sheet"))</f>
        <v/>
      </c>
    </row>
    <row r="1471" customFormat="false" ht="14.25" hidden="false" customHeight="true" outlineLevel="0" collapsed="false">
      <c r="E1471" s="17"/>
      <c r="H1471" s="17" t="str">
        <f aca="false">IF(TRIM(C1471)="","",IFERROR(INDEX('Code Aliases'!$B:$B,MATCH(TRIM(C1471),'Code Aliases'!$A:$A,0)),TRIM(C1471)))</f>
        <v/>
      </c>
      <c r="I1471" s="17" t="str">
        <f aca="false">IF(TRIM(B1471)="","",UPPER(TRIM(B1471)))</f>
        <v/>
      </c>
      <c r="J1471" s="17" t="str">
        <f aca="false">IF(H1471="","",IF(COUNTIF('Master Stock'!$A$5:$A$206,H1471)&gt;0,"Yes","Not on stock sheet"))</f>
        <v/>
      </c>
    </row>
    <row r="1472" customFormat="false" ht="14.25" hidden="false" customHeight="true" outlineLevel="0" collapsed="false">
      <c r="E1472" s="17"/>
      <c r="H1472" s="17" t="str">
        <f aca="false">IF(TRIM(C1472)="","",IFERROR(INDEX('Code Aliases'!$B:$B,MATCH(TRIM(C1472),'Code Aliases'!$A:$A,0)),TRIM(C1472)))</f>
        <v/>
      </c>
      <c r="I1472" s="17" t="str">
        <f aca="false">IF(TRIM(B1472)="","",UPPER(TRIM(B1472)))</f>
        <v/>
      </c>
      <c r="J1472" s="17" t="str">
        <f aca="false">IF(H1472="","",IF(COUNTIF('Master Stock'!$A$5:$A$206,H1472)&gt;0,"Yes","Not on stock sheet"))</f>
        <v/>
      </c>
    </row>
    <row r="1473" customFormat="false" ht="14.25" hidden="false" customHeight="true" outlineLevel="0" collapsed="false">
      <c r="E1473" s="17"/>
      <c r="H1473" s="17" t="str">
        <f aca="false">IF(TRIM(C1473)="","",IFERROR(INDEX('Code Aliases'!$B:$B,MATCH(TRIM(C1473),'Code Aliases'!$A:$A,0)),TRIM(C1473)))</f>
        <v/>
      </c>
      <c r="I1473" s="17" t="str">
        <f aca="false">IF(TRIM(B1473)="","",UPPER(TRIM(B1473)))</f>
        <v/>
      </c>
      <c r="J1473" s="17" t="str">
        <f aca="false">IF(H1473="","",IF(COUNTIF('Master Stock'!$A$5:$A$206,H1473)&gt;0,"Yes","Not on stock sheet"))</f>
        <v/>
      </c>
    </row>
    <row r="1474" customFormat="false" ht="14.25" hidden="false" customHeight="true" outlineLevel="0" collapsed="false">
      <c r="E1474" s="17"/>
      <c r="H1474" s="17" t="str">
        <f aca="false">IF(TRIM(C1474)="","",IFERROR(INDEX('Code Aliases'!$B:$B,MATCH(TRIM(C1474),'Code Aliases'!$A:$A,0)),TRIM(C1474)))</f>
        <v/>
      </c>
      <c r="I1474" s="17" t="str">
        <f aca="false">IF(TRIM(B1474)="","",UPPER(TRIM(B1474)))</f>
        <v/>
      </c>
      <c r="J1474" s="17" t="str">
        <f aca="false">IF(H1474="","",IF(COUNTIF('Master Stock'!$A$5:$A$206,H1474)&gt;0,"Yes","Not on stock sheet"))</f>
        <v/>
      </c>
    </row>
    <row r="1475" customFormat="false" ht="14.25" hidden="false" customHeight="true" outlineLevel="0" collapsed="false">
      <c r="E1475" s="17"/>
      <c r="H1475" s="17" t="str">
        <f aca="false">IF(TRIM(C1475)="","",IFERROR(INDEX('Code Aliases'!$B:$B,MATCH(TRIM(C1475),'Code Aliases'!$A:$A,0)),TRIM(C1475)))</f>
        <v/>
      </c>
      <c r="I1475" s="17" t="str">
        <f aca="false">IF(TRIM(B1475)="","",UPPER(TRIM(B1475)))</f>
        <v/>
      </c>
      <c r="J1475" s="17" t="str">
        <f aca="false">IF(H1475="","",IF(COUNTIF('Master Stock'!$A$5:$A$206,H1475)&gt;0,"Yes","Not on stock sheet"))</f>
        <v/>
      </c>
    </row>
    <row r="1476" customFormat="false" ht="14.25" hidden="false" customHeight="true" outlineLevel="0" collapsed="false">
      <c r="E1476" s="17"/>
      <c r="H1476" s="17" t="str">
        <f aca="false">IF(TRIM(C1476)="","",IFERROR(INDEX('Code Aliases'!$B:$B,MATCH(TRIM(C1476),'Code Aliases'!$A:$A,0)),TRIM(C1476)))</f>
        <v/>
      </c>
      <c r="I1476" s="17" t="str">
        <f aca="false">IF(TRIM(B1476)="","",UPPER(TRIM(B1476)))</f>
        <v/>
      </c>
      <c r="J1476" s="17" t="str">
        <f aca="false">IF(H1476="","",IF(COUNTIF('Master Stock'!$A$5:$A$206,H1476)&gt;0,"Yes","Not on stock sheet"))</f>
        <v/>
      </c>
    </row>
    <row r="1477" customFormat="false" ht="14.25" hidden="false" customHeight="true" outlineLevel="0" collapsed="false">
      <c r="E1477" s="17"/>
      <c r="H1477" s="17" t="str">
        <f aca="false">IF(TRIM(C1477)="","",IFERROR(INDEX('Code Aliases'!$B:$B,MATCH(TRIM(C1477),'Code Aliases'!$A:$A,0)),TRIM(C1477)))</f>
        <v/>
      </c>
      <c r="I1477" s="17" t="str">
        <f aca="false">IF(TRIM(B1477)="","",UPPER(TRIM(B1477)))</f>
        <v/>
      </c>
      <c r="J1477" s="17" t="str">
        <f aca="false">IF(H1477="","",IF(COUNTIF('Master Stock'!$A$5:$A$206,H1477)&gt;0,"Yes","Not on stock sheet"))</f>
        <v/>
      </c>
    </row>
    <row r="1478" customFormat="false" ht="14.25" hidden="false" customHeight="true" outlineLevel="0" collapsed="false">
      <c r="E1478" s="17"/>
      <c r="H1478" s="17" t="str">
        <f aca="false">IF(TRIM(C1478)="","",IFERROR(INDEX('Code Aliases'!$B:$B,MATCH(TRIM(C1478),'Code Aliases'!$A:$A,0)),TRIM(C1478)))</f>
        <v/>
      </c>
      <c r="I1478" s="17" t="str">
        <f aca="false">IF(TRIM(B1478)="","",UPPER(TRIM(B1478)))</f>
        <v/>
      </c>
      <c r="J1478" s="17" t="str">
        <f aca="false">IF(H1478="","",IF(COUNTIF('Master Stock'!$A$5:$A$206,H1478)&gt;0,"Yes","Not on stock sheet"))</f>
        <v/>
      </c>
    </row>
    <row r="1479" customFormat="false" ht="14.25" hidden="false" customHeight="true" outlineLevel="0" collapsed="false">
      <c r="E1479" s="17"/>
      <c r="H1479" s="17" t="str">
        <f aca="false">IF(TRIM(C1479)="","",IFERROR(INDEX('Code Aliases'!$B:$B,MATCH(TRIM(C1479),'Code Aliases'!$A:$A,0)),TRIM(C1479)))</f>
        <v/>
      </c>
      <c r="I1479" s="17" t="str">
        <f aca="false">IF(TRIM(B1479)="","",UPPER(TRIM(B1479)))</f>
        <v/>
      </c>
      <c r="J1479" s="17" t="str">
        <f aca="false">IF(H1479="","",IF(COUNTIF('Master Stock'!$A$5:$A$206,H1479)&gt;0,"Yes","Not on stock sheet"))</f>
        <v/>
      </c>
    </row>
    <row r="1480" customFormat="false" ht="14.25" hidden="false" customHeight="true" outlineLevel="0" collapsed="false">
      <c r="E1480" s="17"/>
      <c r="H1480" s="17" t="str">
        <f aca="false">IF(TRIM(C1480)="","",IFERROR(INDEX('Code Aliases'!$B:$B,MATCH(TRIM(C1480),'Code Aliases'!$A:$A,0)),TRIM(C1480)))</f>
        <v/>
      </c>
      <c r="I1480" s="17" t="str">
        <f aca="false">IF(TRIM(B1480)="","",UPPER(TRIM(B1480)))</f>
        <v/>
      </c>
      <c r="J1480" s="17" t="str">
        <f aca="false">IF(H1480="","",IF(COUNTIF('Master Stock'!$A$5:$A$206,H1480)&gt;0,"Yes","Not on stock sheet"))</f>
        <v/>
      </c>
    </row>
    <row r="1481" customFormat="false" ht="14.25" hidden="false" customHeight="true" outlineLevel="0" collapsed="false">
      <c r="E1481" s="17"/>
      <c r="H1481" s="17" t="str">
        <f aca="false">IF(TRIM(C1481)="","",IFERROR(INDEX('Code Aliases'!$B:$B,MATCH(TRIM(C1481),'Code Aliases'!$A:$A,0)),TRIM(C1481)))</f>
        <v/>
      </c>
      <c r="I1481" s="17" t="str">
        <f aca="false">IF(TRIM(B1481)="","",UPPER(TRIM(B1481)))</f>
        <v/>
      </c>
      <c r="J1481" s="17" t="str">
        <f aca="false">IF(H1481="","",IF(COUNTIF('Master Stock'!$A$5:$A$206,H1481)&gt;0,"Yes","Not on stock sheet"))</f>
        <v/>
      </c>
    </row>
    <row r="1482" customFormat="false" ht="14.25" hidden="false" customHeight="true" outlineLevel="0" collapsed="false">
      <c r="E1482" s="17"/>
      <c r="H1482" s="17" t="str">
        <f aca="false">IF(TRIM(C1482)="","",IFERROR(INDEX('Code Aliases'!$B:$B,MATCH(TRIM(C1482),'Code Aliases'!$A:$A,0)),TRIM(C1482)))</f>
        <v/>
      </c>
      <c r="I1482" s="17" t="str">
        <f aca="false">IF(TRIM(B1482)="","",UPPER(TRIM(B1482)))</f>
        <v/>
      </c>
      <c r="J1482" s="17" t="str">
        <f aca="false">IF(H1482="","",IF(COUNTIF('Master Stock'!$A$5:$A$206,H1482)&gt;0,"Yes","Not on stock sheet"))</f>
        <v/>
      </c>
    </row>
    <row r="1483" customFormat="false" ht="14.25" hidden="false" customHeight="true" outlineLevel="0" collapsed="false">
      <c r="E1483" s="17"/>
      <c r="H1483" s="17" t="str">
        <f aca="false">IF(TRIM(C1483)="","",IFERROR(INDEX('Code Aliases'!$B:$B,MATCH(TRIM(C1483),'Code Aliases'!$A:$A,0)),TRIM(C1483)))</f>
        <v/>
      </c>
      <c r="I1483" s="17" t="str">
        <f aca="false">IF(TRIM(B1483)="","",UPPER(TRIM(B1483)))</f>
        <v/>
      </c>
      <c r="J1483" s="17" t="str">
        <f aca="false">IF(H1483="","",IF(COUNTIF('Master Stock'!$A$5:$A$206,H1483)&gt;0,"Yes","Not on stock sheet"))</f>
        <v/>
      </c>
    </row>
    <row r="1484" customFormat="false" ht="14.25" hidden="false" customHeight="true" outlineLevel="0" collapsed="false">
      <c r="E1484" s="17"/>
      <c r="H1484" s="17" t="str">
        <f aca="false">IF(TRIM(C1484)="","",IFERROR(INDEX('Code Aliases'!$B:$B,MATCH(TRIM(C1484),'Code Aliases'!$A:$A,0)),TRIM(C1484)))</f>
        <v/>
      </c>
      <c r="I1484" s="17" t="str">
        <f aca="false">IF(TRIM(B1484)="","",UPPER(TRIM(B1484)))</f>
        <v/>
      </c>
      <c r="J1484" s="17" t="str">
        <f aca="false">IF(H1484="","",IF(COUNTIF('Master Stock'!$A$5:$A$206,H1484)&gt;0,"Yes","Not on stock sheet"))</f>
        <v/>
      </c>
    </row>
    <row r="1485" customFormat="false" ht="14.25" hidden="false" customHeight="true" outlineLevel="0" collapsed="false">
      <c r="E1485" s="17"/>
      <c r="H1485" s="17" t="str">
        <f aca="false">IF(TRIM(C1485)="","",IFERROR(INDEX('Code Aliases'!$B:$B,MATCH(TRIM(C1485),'Code Aliases'!$A:$A,0)),TRIM(C1485)))</f>
        <v/>
      </c>
      <c r="I1485" s="17" t="str">
        <f aca="false">IF(TRIM(B1485)="","",UPPER(TRIM(B1485)))</f>
        <v/>
      </c>
      <c r="J1485" s="17" t="str">
        <f aca="false">IF(H1485="","",IF(COUNTIF('Master Stock'!$A$5:$A$206,H1485)&gt;0,"Yes","Not on stock sheet"))</f>
        <v/>
      </c>
    </row>
    <row r="1486" customFormat="false" ht="14.25" hidden="false" customHeight="true" outlineLevel="0" collapsed="false">
      <c r="E1486" s="17"/>
      <c r="H1486" s="17" t="str">
        <f aca="false">IF(TRIM(C1486)="","",IFERROR(INDEX('Code Aliases'!$B:$B,MATCH(TRIM(C1486),'Code Aliases'!$A:$A,0)),TRIM(C1486)))</f>
        <v/>
      </c>
      <c r="I1486" s="17" t="str">
        <f aca="false">IF(TRIM(B1486)="","",UPPER(TRIM(B1486)))</f>
        <v/>
      </c>
      <c r="J1486" s="17" t="str">
        <f aca="false">IF(H1486="","",IF(COUNTIF('Master Stock'!$A$5:$A$206,H1486)&gt;0,"Yes","Not on stock sheet"))</f>
        <v/>
      </c>
    </row>
    <row r="1487" customFormat="false" ht="14.25" hidden="false" customHeight="true" outlineLevel="0" collapsed="false">
      <c r="E1487" s="17"/>
      <c r="H1487" s="17" t="str">
        <f aca="false">IF(TRIM(C1487)="","",IFERROR(INDEX('Code Aliases'!$B:$B,MATCH(TRIM(C1487),'Code Aliases'!$A:$A,0)),TRIM(C1487)))</f>
        <v/>
      </c>
      <c r="I1487" s="17" t="str">
        <f aca="false">IF(TRIM(B1487)="","",UPPER(TRIM(B1487)))</f>
        <v/>
      </c>
      <c r="J1487" s="17" t="str">
        <f aca="false">IF(H1487="","",IF(COUNTIF('Master Stock'!$A$5:$A$206,H1487)&gt;0,"Yes","Not on stock sheet"))</f>
        <v/>
      </c>
    </row>
    <row r="1488" customFormat="false" ht="14.25" hidden="false" customHeight="true" outlineLevel="0" collapsed="false">
      <c r="E1488" s="17"/>
      <c r="H1488" s="17" t="str">
        <f aca="false">IF(TRIM(C1488)="","",IFERROR(INDEX('Code Aliases'!$B:$B,MATCH(TRIM(C1488),'Code Aliases'!$A:$A,0)),TRIM(C1488)))</f>
        <v/>
      </c>
      <c r="I1488" s="17" t="str">
        <f aca="false">IF(TRIM(B1488)="","",UPPER(TRIM(B1488)))</f>
        <v/>
      </c>
      <c r="J1488" s="17" t="str">
        <f aca="false">IF(H1488="","",IF(COUNTIF('Master Stock'!$A$5:$A$206,H1488)&gt;0,"Yes","Not on stock sheet"))</f>
        <v/>
      </c>
    </row>
    <row r="1489" customFormat="false" ht="14.25" hidden="false" customHeight="true" outlineLevel="0" collapsed="false">
      <c r="E1489" s="17"/>
      <c r="H1489" s="17" t="str">
        <f aca="false">IF(TRIM(C1489)="","",IFERROR(INDEX('Code Aliases'!$B:$B,MATCH(TRIM(C1489),'Code Aliases'!$A:$A,0)),TRIM(C1489)))</f>
        <v/>
      </c>
      <c r="I1489" s="17" t="str">
        <f aca="false">IF(TRIM(B1489)="","",UPPER(TRIM(B1489)))</f>
        <v/>
      </c>
      <c r="J1489" s="17" t="str">
        <f aca="false">IF(H1489="","",IF(COUNTIF('Master Stock'!$A$5:$A$206,H1489)&gt;0,"Yes","Not on stock sheet"))</f>
        <v/>
      </c>
    </row>
    <row r="1490" customFormat="false" ht="14.25" hidden="false" customHeight="true" outlineLevel="0" collapsed="false">
      <c r="E1490" s="17"/>
      <c r="H1490" s="17" t="str">
        <f aca="false">IF(TRIM(C1490)="","",IFERROR(INDEX('Code Aliases'!$B:$B,MATCH(TRIM(C1490),'Code Aliases'!$A:$A,0)),TRIM(C1490)))</f>
        <v/>
      </c>
      <c r="I1490" s="17" t="str">
        <f aca="false">IF(TRIM(B1490)="","",UPPER(TRIM(B1490)))</f>
        <v/>
      </c>
      <c r="J1490" s="17" t="str">
        <f aca="false">IF(H1490="","",IF(COUNTIF('Master Stock'!$A$5:$A$206,H1490)&gt;0,"Yes","Not on stock sheet"))</f>
        <v/>
      </c>
    </row>
    <row r="1491" customFormat="false" ht="14.25" hidden="false" customHeight="true" outlineLevel="0" collapsed="false">
      <c r="E1491" s="17"/>
      <c r="H1491" s="17" t="str">
        <f aca="false">IF(TRIM(C1491)="","",IFERROR(INDEX('Code Aliases'!$B:$B,MATCH(TRIM(C1491),'Code Aliases'!$A:$A,0)),TRIM(C1491)))</f>
        <v/>
      </c>
      <c r="I1491" s="17" t="str">
        <f aca="false">IF(TRIM(B1491)="","",UPPER(TRIM(B1491)))</f>
        <v/>
      </c>
      <c r="J1491" s="17" t="str">
        <f aca="false">IF(H1491="","",IF(COUNTIF('Master Stock'!$A$5:$A$206,H1491)&gt;0,"Yes","Not on stock sheet"))</f>
        <v/>
      </c>
    </row>
    <row r="1492" customFormat="false" ht="14.25" hidden="false" customHeight="true" outlineLevel="0" collapsed="false">
      <c r="E1492" s="17"/>
      <c r="H1492" s="17" t="str">
        <f aca="false">IF(TRIM(C1492)="","",IFERROR(INDEX('Code Aliases'!$B:$B,MATCH(TRIM(C1492),'Code Aliases'!$A:$A,0)),TRIM(C1492)))</f>
        <v/>
      </c>
      <c r="I1492" s="17" t="str">
        <f aca="false">IF(TRIM(B1492)="","",UPPER(TRIM(B1492)))</f>
        <v/>
      </c>
      <c r="J1492" s="17" t="str">
        <f aca="false">IF(H1492="","",IF(COUNTIF('Master Stock'!$A$5:$A$206,H1492)&gt;0,"Yes","Not on stock sheet"))</f>
        <v/>
      </c>
    </row>
    <row r="1493" customFormat="false" ht="14.25" hidden="false" customHeight="true" outlineLevel="0" collapsed="false">
      <c r="E1493" s="17"/>
      <c r="H1493" s="17" t="str">
        <f aca="false">IF(TRIM(C1493)="","",IFERROR(INDEX('Code Aliases'!$B:$B,MATCH(TRIM(C1493),'Code Aliases'!$A:$A,0)),TRIM(C1493)))</f>
        <v/>
      </c>
      <c r="I1493" s="17" t="str">
        <f aca="false">IF(TRIM(B1493)="","",UPPER(TRIM(B1493)))</f>
        <v/>
      </c>
      <c r="J1493" s="17" t="str">
        <f aca="false">IF(H1493="","",IF(COUNTIF('Master Stock'!$A$5:$A$206,H1493)&gt;0,"Yes","Not on stock sheet"))</f>
        <v/>
      </c>
    </row>
    <row r="1494" customFormat="false" ht="14.25" hidden="false" customHeight="true" outlineLevel="0" collapsed="false">
      <c r="E1494" s="17"/>
      <c r="H1494" s="17" t="str">
        <f aca="false">IF(TRIM(C1494)="","",IFERROR(INDEX('Code Aliases'!$B:$B,MATCH(TRIM(C1494),'Code Aliases'!$A:$A,0)),TRIM(C1494)))</f>
        <v/>
      </c>
      <c r="I1494" s="17" t="str">
        <f aca="false">IF(TRIM(B1494)="","",UPPER(TRIM(B1494)))</f>
        <v/>
      </c>
      <c r="J1494" s="17" t="str">
        <f aca="false">IF(H1494="","",IF(COUNTIF('Master Stock'!$A$5:$A$206,H1494)&gt;0,"Yes","Not on stock sheet"))</f>
        <v/>
      </c>
    </row>
    <row r="1495" customFormat="false" ht="14.25" hidden="false" customHeight="true" outlineLevel="0" collapsed="false">
      <c r="E1495" s="17"/>
      <c r="H1495" s="17" t="str">
        <f aca="false">IF(TRIM(C1495)="","",IFERROR(INDEX('Code Aliases'!$B:$B,MATCH(TRIM(C1495),'Code Aliases'!$A:$A,0)),TRIM(C1495)))</f>
        <v/>
      </c>
      <c r="I1495" s="17" t="str">
        <f aca="false">IF(TRIM(B1495)="","",UPPER(TRIM(B1495)))</f>
        <v/>
      </c>
      <c r="J1495" s="17" t="str">
        <f aca="false">IF(H1495="","",IF(COUNTIF('Master Stock'!$A$5:$A$206,H1495)&gt;0,"Yes","Not on stock sheet"))</f>
        <v/>
      </c>
    </row>
    <row r="1496" customFormat="false" ht="14.25" hidden="false" customHeight="true" outlineLevel="0" collapsed="false">
      <c r="E1496" s="17"/>
      <c r="H1496" s="17" t="str">
        <f aca="false">IF(TRIM(C1496)="","",IFERROR(INDEX('Code Aliases'!$B:$B,MATCH(TRIM(C1496),'Code Aliases'!$A:$A,0)),TRIM(C1496)))</f>
        <v/>
      </c>
      <c r="I1496" s="17" t="str">
        <f aca="false">IF(TRIM(B1496)="","",UPPER(TRIM(B1496)))</f>
        <v/>
      </c>
      <c r="J1496" s="17" t="str">
        <f aca="false">IF(H1496="","",IF(COUNTIF('Master Stock'!$A$5:$A$206,H1496)&gt;0,"Yes","Not on stock sheet"))</f>
        <v/>
      </c>
    </row>
    <row r="1497" customFormat="false" ht="14.25" hidden="false" customHeight="true" outlineLevel="0" collapsed="false">
      <c r="E1497" s="17"/>
      <c r="H1497" s="17" t="str">
        <f aca="false">IF(TRIM(C1497)="","",IFERROR(INDEX('Code Aliases'!$B:$B,MATCH(TRIM(C1497),'Code Aliases'!$A:$A,0)),TRIM(C1497)))</f>
        <v/>
      </c>
      <c r="I1497" s="17" t="str">
        <f aca="false">IF(TRIM(B1497)="","",UPPER(TRIM(B1497)))</f>
        <v/>
      </c>
      <c r="J1497" s="17" t="str">
        <f aca="false">IF(H1497="","",IF(COUNTIF('Master Stock'!$A$5:$A$206,H1497)&gt;0,"Yes","Not on stock sheet"))</f>
        <v/>
      </c>
    </row>
    <row r="1498" customFormat="false" ht="14.25" hidden="false" customHeight="true" outlineLevel="0" collapsed="false">
      <c r="E1498" s="17"/>
      <c r="H1498" s="17" t="str">
        <f aca="false">IF(TRIM(C1498)="","",IFERROR(INDEX('Code Aliases'!$B:$B,MATCH(TRIM(C1498),'Code Aliases'!$A:$A,0)),TRIM(C1498)))</f>
        <v/>
      </c>
      <c r="I1498" s="17" t="str">
        <f aca="false">IF(TRIM(B1498)="","",UPPER(TRIM(B1498)))</f>
        <v/>
      </c>
      <c r="J1498" s="17" t="str">
        <f aca="false">IF(H1498="","",IF(COUNTIF('Master Stock'!$A$5:$A$206,H1498)&gt;0,"Yes","Not on stock sheet"))</f>
        <v/>
      </c>
    </row>
    <row r="1499" customFormat="false" ht="14.25" hidden="false" customHeight="true" outlineLevel="0" collapsed="false">
      <c r="E1499" s="17"/>
      <c r="H1499" s="17" t="str">
        <f aca="false">IF(TRIM(C1499)="","",IFERROR(INDEX('Code Aliases'!$B:$B,MATCH(TRIM(C1499),'Code Aliases'!$A:$A,0)),TRIM(C1499)))</f>
        <v/>
      </c>
      <c r="I1499" s="17" t="str">
        <f aca="false">IF(TRIM(B1499)="","",UPPER(TRIM(B1499)))</f>
        <v/>
      </c>
      <c r="J1499" s="17" t="str">
        <f aca="false">IF(H1499="","",IF(COUNTIF('Master Stock'!$A$5:$A$206,H1499)&gt;0,"Yes","Not on stock sheet"))</f>
        <v/>
      </c>
    </row>
    <row r="1500" customFormat="false" ht="14.25" hidden="false" customHeight="true" outlineLevel="0" collapsed="false">
      <c r="E1500" s="17"/>
      <c r="H1500" s="17" t="str">
        <f aca="false">IF(TRIM(C1500)="","",IFERROR(INDEX('Code Aliases'!$B:$B,MATCH(TRIM(C1500),'Code Aliases'!$A:$A,0)),TRIM(C1500)))</f>
        <v/>
      </c>
      <c r="I1500" s="17" t="str">
        <f aca="false">IF(TRIM(B1500)="","",UPPER(TRIM(B1500)))</f>
        <v/>
      </c>
      <c r="J1500" s="17" t="str">
        <f aca="false">IF(H1500="","",IF(COUNTIF('Master Stock'!$A$5:$A$206,H1500)&gt;0,"Yes","Not on stock sheet"))</f>
        <v/>
      </c>
    </row>
  </sheetData>
  <conditionalFormatting sqref="J6:J1500">
    <cfRule type="expression" priority="2" aboveAverage="0" equalAverage="0" bottom="0" percent="0" rank="0" text="" dxfId="32">
      <formula>$J6="Not on stock sheet"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F16" activeCellId="0" sqref="F16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0"/>
    <col collapsed="false" customWidth="true" hidden="false" outlineLevel="0" max="6" min="6" style="1" width="11"/>
    <col collapsed="false" customWidth="true" hidden="false" outlineLevel="0" max="7" min="7" style="1" width="40"/>
    <col collapsed="false" customWidth="true" hidden="false" outlineLevel="0" max="8" min="8" style="1" width="16"/>
    <col collapsed="false" customWidth="true" hidden="false" outlineLevel="0" max="10" min="9" style="1" width="10"/>
  </cols>
  <sheetData>
    <row r="1" customFormat="false" ht="18" hidden="false" customHeight="true" outlineLevel="0" collapsed="false">
      <c r="A1" s="2" t="s">
        <v>947</v>
      </c>
    </row>
    <row r="2" customFormat="false" ht="14.25" hidden="false" customHeight="true" outlineLevel="0" collapsed="false">
      <c r="A2" s="37" t="s">
        <v>948</v>
      </c>
    </row>
    <row r="4" customFormat="false" ht="42" hidden="false" customHeight="true" outlineLevel="0" collapsed="false">
      <c r="A4" s="23" t="s">
        <v>949</v>
      </c>
      <c r="B4" s="23" t="s">
        <v>673</v>
      </c>
      <c r="C4" s="23" t="s">
        <v>676</v>
      </c>
      <c r="D4" s="23" t="s">
        <v>950</v>
      </c>
      <c r="E4" s="23" t="s">
        <v>951</v>
      </c>
      <c r="F4" s="23" t="s">
        <v>506</v>
      </c>
      <c r="G4" s="23" t="s">
        <v>509</v>
      </c>
      <c r="H4" s="23" t="s">
        <v>952</v>
      </c>
      <c r="I4" s="23" t="s">
        <v>953</v>
      </c>
      <c r="J4" s="23" t="s">
        <v>954</v>
      </c>
    </row>
    <row r="5" customFormat="false" ht="14.25" hidden="false" customHeight="true" outlineLevel="0" collapsed="false">
      <c r="A5" s="62" t="n">
        <v>46309</v>
      </c>
      <c r="B5" s="63" t="s">
        <v>141</v>
      </c>
      <c r="C5" s="63"/>
      <c r="D5" s="63" t="s">
        <v>679</v>
      </c>
      <c r="E5" s="63" t="s">
        <v>28</v>
      </c>
      <c r="F5" s="63" t="n">
        <v>100</v>
      </c>
      <c r="G5" s="63" t="s">
        <v>955</v>
      </c>
    </row>
    <row r="6" customFormat="false" ht="14.25" hidden="false" customHeight="true" outlineLevel="0" collapsed="false">
      <c r="A6" s="65" t="n">
        <v>46300</v>
      </c>
      <c r="B6" s="1" t="s">
        <v>117</v>
      </c>
      <c r="C6" s="17" t="str">
        <f aca="false">IF(TRIM(B6)="","",IFERROR(INDEX('Code Aliases'!$B:$B,MATCH(TRIM(B6),'Code Aliases'!$A:$A,0)),TRIM(B6)))</f>
        <v>SAN018</v>
      </c>
      <c r="D6" s="1" t="s">
        <v>956</v>
      </c>
      <c r="E6" s="1" t="s">
        <v>28</v>
      </c>
      <c r="F6" s="1" t="n">
        <v>33</v>
      </c>
      <c r="H6" s="66" t="s">
        <v>957</v>
      </c>
      <c r="I6" s="67" t="str">
        <f aca="false">IF(TRIM(D6)="","",UPPER(TRIM(D6)))</f>
        <v>CPT</v>
      </c>
      <c r="J6" s="67" t="str">
        <f aca="false">IF(TRIM(E6)="","",UPPER(TRIM(E6)))</f>
        <v>JHB</v>
      </c>
    </row>
    <row r="7" customFormat="false" ht="14.25" hidden="false" customHeight="true" outlineLevel="0" collapsed="false">
      <c r="B7" s="1" t="s">
        <v>200</v>
      </c>
      <c r="C7" s="17" t="str">
        <f aca="false">IF(TRIM(B7)="","",IFERROR(INDEX('Code Aliases'!$B:$B,MATCH(TRIM(B7),'Code Aliases'!$A:$A,0)),TRIM(B7)))</f>
        <v>ETO001</v>
      </c>
      <c r="D7" s="1" t="s">
        <v>956</v>
      </c>
      <c r="E7" s="1" t="s">
        <v>28</v>
      </c>
      <c r="F7" s="1" t="n">
        <v>201.1</v>
      </c>
      <c r="H7" s="66" t="s">
        <v>957</v>
      </c>
      <c r="I7" s="67" t="str">
        <f aca="false">IF(TRIM(D7)="","",UPPER(TRIM(D7)))</f>
        <v>CPT</v>
      </c>
      <c r="J7" s="67" t="str">
        <f aca="false">IF(TRIM(E7)="","",UPPER(TRIM(E7)))</f>
        <v>JHB</v>
      </c>
    </row>
    <row r="8" customFormat="false" ht="14.25" hidden="false" customHeight="true" outlineLevel="0" collapsed="false">
      <c r="B8" s="1" t="s">
        <v>329</v>
      </c>
      <c r="C8" s="17" t="str">
        <f aca="false">IF(TRIM(B8)="","",IFERROR(INDEX('Code Aliases'!$B:$B,MATCH(TRIM(B8),'Code Aliases'!$A:$A,0)),TRIM(B8)))</f>
        <v>TUS001</v>
      </c>
      <c r="D8" s="1" t="s">
        <v>956</v>
      </c>
      <c r="E8" s="1" t="s">
        <v>28</v>
      </c>
      <c r="F8" s="1" t="n">
        <v>4</v>
      </c>
      <c r="H8" s="66" t="s">
        <v>957</v>
      </c>
      <c r="I8" s="67" t="str">
        <f aca="false">IF(TRIM(D8)="","",UPPER(TRIM(D8)))</f>
        <v>CPT</v>
      </c>
      <c r="J8" s="67" t="str">
        <f aca="false">IF(TRIM(E8)="","",UPPER(TRIM(E8)))</f>
        <v>JHB</v>
      </c>
    </row>
    <row r="9" customFormat="false" ht="14.25" hidden="false" customHeight="true" outlineLevel="0" collapsed="false">
      <c r="B9" s="1" t="s">
        <v>348</v>
      </c>
      <c r="C9" s="17" t="str">
        <f aca="false">IF(TRIM(B9)="","",IFERROR(INDEX('Code Aliases'!$B:$B,MATCH(TRIM(B9),'Code Aliases'!$A:$A,0)),TRIM(B9)))</f>
        <v>CRU003</v>
      </c>
      <c r="D9" s="1" t="s">
        <v>956</v>
      </c>
      <c r="E9" s="1" t="s">
        <v>28</v>
      </c>
      <c r="F9" s="1" t="n">
        <v>4</v>
      </c>
      <c r="H9" s="66" t="s">
        <v>957</v>
      </c>
      <c r="I9" s="67" t="str">
        <f aca="false">IF(TRIM(D9)="","",UPPER(TRIM(D9)))</f>
        <v>CPT</v>
      </c>
      <c r="J9" s="67" t="str">
        <f aca="false">IF(TRIM(E9)="","",UPPER(TRIM(E9)))</f>
        <v>JHB</v>
      </c>
    </row>
    <row r="10" customFormat="false" ht="14.25" hidden="false" customHeight="true" outlineLevel="0" collapsed="false">
      <c r="B10" s="1" t="s">
        <v>359</v>
      </c>
      <c r="C10" s="17" t="str">
        <f aca="false">IF(TRIM(B10)="","",IFERROR(INDEX('Code Aliases'!$B:$B,MATCH(TRIM(B10),'Code Aliases'!$A:$A,0)),TRIM(B10)))</f>
        <v>COS004</v>
      </c>
      <c r="D10" s="1" t="s">
        <v>956</v>
      </c>
      <c r="E10" s="1" t="s">
        <v>28</v>
      </c>
      <c r="F10" s="1" t="n">
        <v>24.3</v>
      </c>
      <c r="H10" s="66" t="s">
        <v>957</v>
      </c>
      <c r="I10" s="67" t="str">
        <f aca="false">IF(TRIM(D10)="","",UPPER(TRIM(D10)))</f>
        <v>CPT</v>
      </c>
      <c r="J10" s="67" t="str">
        <f aca="false">IF(TRIM(E10)="","",UPPER(TRIM(E10)))</f>
        <v>JHB</v>
      </c>
    </row>
    <row r="11" customFormat="false" ht="14.25" hidden="false" customHeight="true" outlineLevel="0" collapsed="false">
      <c r="B11" s="1" t="s">
        <v>452</v>
      </c>
      <c r="C11" s="17" t="str">
        <f aca="false">IF(TRIM(B11)="","",IFERROR(INDEX('Code Aliases'!$B:$B,MATCH(TRIM(B11),'Code Aliases'!$A:$A,0)),TRIM(B11)))</f>
        <v>VEG017</v>
      </c>
      <c r="D11" s="1" t="s">
        <v>956</v>
      </c>
      <c r="E11" s="1" t="s">
        <v>28</v>
      </c>
      <c r="F11" s="1" t="n">
        <v>2</v>
      </c>
      <c r="H11" s="66" t="s">
        <v>957</v>
      </c>
      <c r="I11" s="67" t="str">
        <f aca="false">IF(TRIM(D11)="","",UPPER(TRIM(D11)))</f>
        <v>CPT</v>
      </c>
      <c r="J11" s="67" t="str">
        <f aca="false">IF(TRIM(E11)="","",UPPER(TRIM(E11)))</f>
        <v>JHB</v>
      </c>
    </row>
    <row r="12" customFormat="false" ht="14.25" hidden="false" customHeight="true" outlineLevel="0" collapsed="false">
      <c r="B12" s="1" t="s">
        <v>454</v>
      </c>
      <c r="C12" s="17" t="str">
        <f aca="false">IF(TRIM(B12)="","",IFERROR(INDEX('Code Aliases'!$B:$B,MATCH(TRIM(B12),'Code Aliases'!$A:$A,0)),TRIM(B12)))</f>
        <v>VEG018</v>
      </c>
      <c r="D12" s="1" t="s">
        <v>956</v>
      </c>
      <c r="E12" s="1" t="s">
        <v>28</v>
      </c>
      <c r="F12" s="1" t="n">
        <v>1.7</v>
      </c>
      <c r="H12" s="66" t="s">
        <v>957</v>
      </c>
      <c r="I12" s="67" t="str">
        <f aca="false">IF(TRIM(D12)="","",UPPER(TRIM(D12)))</f>
        <v>CPT</v>
      </c>
      <c r="J12" s="67" t="str">
        <f aca="false">IF(TRIM(E12)="","",UPPER(TRIM(E12)))</f>
        <v>JHB</v>
      </c>
    </row>
    <row r="13" customFormat="false" ht="14.25" hidden="false" customHeight="true" outlineLevel="0" collapsed="false">
      <c r="B13" s="1" t="s">
        <v>468</v>
      </c>
      <c r="C13" s="17" t="str">
        <f aca="false">IF(TRIM(B13)="","",IFERROR(INDEX('Code Aliases'!$B:$B,MATCH(TRIM(B13),'Code Aliases'!$A:$A,0)),TRIM(B13)))</f>
        <v>DAL009</v>
      </c>
      <c r="D13" s="1" t="s">
        <v>956</v>
      </c>
      <c r="E13" s="1" t="s">
        <v>28</v>
      </c>
      <c r="F13" s="1" t="n">
        <v>5.9</v>
      </c>
      <c r="H13" s="66" t="s">
        <v>957</v>
      </c>
      <c r="I13" s="67" t="str">
        <f aca="false">IF(TRIM(D13)="","",UPPER(TRIM(D13)))</f>
        <v>CPT</v>
      </c>
      <c r="J13" s="67" t="str">
        <f aca="false">IF(TRIM(E13)="","",UPPER(TRIM(E13)))</f>
        <v>JHB</v>
      </c>
    </row>
    <row r="14" customFormat="false" ht="14.25" hidden="false" customHeight="true" outlineLevel="0" collapsed="false">
      <c r="B14" s="1" t="s">
        <v>476</v>
      </c>
      <c r="C14" s="17" t="str">
        <f aca="false">IF(TRIM(B14)="","",IFERROR(INDEX('Code Aliases'!$B:$B,MATCH(TRIM(B14),'Code Aliases'!$A:$A,0)),TRIM(B14)))</f>
        <v>SHE021</v>
      </c>
      <c r="D14" s="1" t="s">
        <v>956</v>
      </c>
      <c r="E14" s="1" t="s">
        <v>28</v>
      </c>
      <c r="F14" s="1" t="n">
        <v>0.1</v>
      </c>
      <c r="H14" s="66" t="s">
        <v>957</v>
      </c>
      <c r="I14" s="67" t="str">
        <f aca="false">IF(TRIM(D14)="","",UPPER(TRIM(D14)))</f>
        <v>CPT</v>
      </c>
      <c r="J14" s="67" t="str">
        <f aca="false">IF(TRIM(E14)="","",UPPER(TRIM(E14)))</f>
        <v>JHB</v>
      </c>
    </row>
    <row r="15" customFormat="false" ht="14.25" hidden="false" customHeight="true" outlineLevel="0" collapsed="false">
      <c r="B15" s="1" t="s">
        <v>486</v>
      </c>
      <c r="C15" s="17" t="str">
        <f aca="false">IF(TRIM(B15)="","",IFERROR(INDEX('Code Aliases'!$B:$B,MATCH(TRIM(B15),'Code Aliases'!$A:$A,0)),TRIM(B15)))</f>
        <v>SAN009</v>
      </c>
      <c r="D15" s="1" t="s">
        <v>956</v>
      </c>
      <c r="E15" s="1" t="s">
        <v>28</v>
      </c>
      <c r="F15" s="1" t="n">
        <v>9.2</v>
      </c>
      <c r="H15" s="66" t="s">
        <v>957</v>
      </c>
      <c r="I15" s="67" t="str">
        <f aca="false">IF(TRIM(D15)="","",UPPER(TRIM(D15)))</f>
        <v>CPT</v>
      </c>
      <c r="J15" s="67" t="str">
        <f aca="false">IF(TRIM(E15)="","",UPPER(TRIM(E15)))</f>
        <v>JHB</v>
      </c>
    </row>
    <row r="16" customFormat="false" ht="14.25" hidden="false" customHeight="true" outlineLevel="0" collapsed="false">
      <c r="B16" s="1" t="s">
        <v>131</v>
      </c>
      <c r="C16" s="17" t="str">
        <f aca="false">IF(TRIM(B16)="","",IFERROR(INDEX('Code Aliases'!$B:$B,MATCH(TRIM(B16),'Code Aliases'!$A:$A,0)),TRIM(B16)))</f>
        <v>SAN011</v>
      </c>
      <c r="D16" s="1" t="s">
        <v>956</v>
      </c>
      <c r="E16" s="1" t="s">
        <v>28</v>
      </c>
      <c r="F16" s="1" t="n">
        <v>18.5</v>
      </c>
      <c r="H16" s="66" t="s">
        <v>957</v>
      </c>
      <c r="I16" s="67" t="str">
        <f aca="false">IF(TRIM(D16)="","",UPPER(TRIM(D16)))</f>
        <v>CPT</v>
      </c>
      <c r="J16" s="67" t="str">
        <f aca="false">IF(TRIM(E16)="","",UPPER(TRIM(E16)))</f>
        <v>JHB</v>
      </c>
    </row>
    <row r="17" customFormat="false" ht="14.25" hidden="false" customHeight="true" outlineLevel="0" collapsed="false">
      <c r="B17" s="1" t="s">
        <v>177</v>
      </c>
      <c r="C17" s="17" t="str">
        <f aca="false">IF(TRIM(B17)="","",IFERROR(INDEX('Code Aliases'!$B:$B,MATCH(TRIM(B17),'Code Aliases'!$A:$A,0)),TRIM(B17)))</f>
        <v>DAY011</v>
      </c>
      <c r="D17" s="1" t="s">
        <v>956</v>
      </c>
      <c r="E17" s="1" t="s">
        <v>28</v>
      </c>
      <c r="F17" s="1" t="n">
        <v>16.3</v>
      </c>
      <c r="H17" s="66" t="s">
        <v>957</v>
      </c>
      <c r="I17" s="67" t="str">
        <f aca="false">IF(TRIM(D17)="","",UPPER(TRIM(D17)))</f>
        <v>CPT</v>
      </c>
      <c r="J17" s="67" t="str">
        <f aca="false">IF(TRIM(E17)="","",UPPER(TRIM(E17)))</f>
        <v>JHB</v>
      </c>
    </row>
    <row r="18" customFormat="false" ht="14.25" hidden="false" customHeight="true" outlineLevel="0" collapsed="false">
      <c r="B18" s="1" t="s">
        <v>186</v>
      </c>
      <c r="C18" s="17" t="str">
        <f aca="false">IF(TRIM(B18)="","",IFERROR(INDEX('Code Aliases'!$B:$B,MATCH(TRIM(B18),'Code Aliases'!$A:$A,0)),TRIM(B18)))</f>
        <v>NAV004</v>
      </c>
      <c r="D18" s="1" t="s">
        <v>956</v>
      </c>
      <c r="E18" s="1" t="s">
        <v>28</v>
      </c>
      <c r="F18" s="1" t="n">
        <v>14.8</v>
      </c>
      <c r="H18" s="66" t="s">
        <v>957</v>
      </c>
      <c r="I18" s="67" t="str">
        <f aca="false">IF(TRIM(D18)="","",UPPER(TRIM(D18)))</f>
        <v>CPT</v>
      </c>
      <c r="J18" s="67" t="str">
        <f aca="false">IF(TRIM(E18)="","",UPPER(TRIM(E18)))</f>
        <v>JHB</v>
      </c>
    </row>
    <row r="19" customFormat="false" ht="14.25" hidden="false" customHeight="true" outlineLevel="0" collapsed="false">
      <c r="A19" s="68"/>
      <c r="B19" s="68" t="s">
        <v>228</v>
      </c>
      <c r="C19" s="17" t="str">
        <f aca="false">IF(TRIM(B19)="","",IFERROR(INDEX('Code Aliases'!$B:$B,MATCH(TRIM(B19),'Code Aliases'!$A:$A,0)),TRIM(B19)))</f>
        <v>WLS001</v>
      </c>
      <c r="D19" s="68" t="s">
        <v>956</v>
      </c>
      <c r="E19" s="68" t="s">
        <v>28</v>
      </c>
      <c r="F19" s="68" t="n">
        <v>304.2</v>
      </c>
      <c r="G19" s="68" t="s">
        <v>958</v>
      </c>
      <c r="H19" s="66" t="s">
        <v>957</v>
      </c>
      <c r="I19" s="67" t="str">
        <f aca="false">IF(TRIM(D19)="","",UPPER(TRIM(D19)))</f>
        <v>CPT</v>
      </c>
      <c r="J19" s="67" t="str">
        <f aca="false">IF(TRIM(E19)="","",UPPER(TRIM(E19)))</f>
        <v>JHB</v>
      </c>
    </row>
    <row r="20" customFormat="false" ht="14.25" hidden="false" customHeight="true" outlineLevel="0" collapsed="false">
      <c r="C20" s="17" t="str">
        <f aca="false">IF(TRIM(B20)="","",IFERROR(INDEX('Code Aliases'!$B:$B,MATCH(TRIM(B20),'Code Aliases'!$A:$A,0)),TRIM(B20)))</f>
        <v/>
      </c>
      <c r="I20" s="67" t="str">
        <f aca="false">IF(TRIM(D20)="","",UPPER(TRIM(D20)))</f>
        <v/>
      </c>
      <c r="J20" s="67" t="str">
        <f aca="false">IF(TRIM(E20)="","",UPPER(TRIM(E20)))</f>
        <v/>
      </c>
    </row>
    <row r="21" customFormat="false" ht="14.25" hidden="false" customHeight="true" outlineLevel="0" collapsed="false">
      <c r="C21" s="17" t="str">
        <f aca="false">IF(TRIM(B21)="","",IFERROR(INDEX('Code Aliases'!$B:$B,MATCH(TRIM(B21),'Code Aliases'!$A:$A,0)),TRIM(B21)))</f>
        <v/>
      </c>
      <c r="I21" s="67" t="str">
        <f aca="false">IF(TRIM(D21)="","",UPPER(TRIM(D21)))</f>
        <v/>
      </c>
      <c r="J21" s="67" t="str">
        <f aca="false">IF(TRIM(E21)="","",UPPER(TRIM(E21)))</f>
        <v/>
      </c>
    </row>
    <row r="22" customFormat="false" ht="14.25" hidden="false" customHeight="true" outlineLevel="0" collapsed="false">
      <c r="C22" s="17" t="str">
        <f aca="false">IF(TRIM(B22)="","",IFERROR(INDEX('Code Aliases'!$B:$B,MATCH(TRIM(B22),'Code Aliases'!$A:$A,0)),TRIM(B22)))</f>
        <v/>
      </c>
      <c r="I22" s="67" t="str">
        <f aca="false">IF(TRIM(D22)="","",UPPER(TRIM(D22)))</f>
        <v/>
      </c>
      <c r="J22" s="67" t="str">
        <f aca="false">IF(TRIM(E22)="","",UPPER(TRIM(E22)))</f>
        <v/>
      </c>
    </row>
    <row r="23" customFormat="false" ht="14.25" hidden="false" customHeight="true" outlineLevel="0" collapsed="false">
      <c r="C23" s="17" t="str">
        <f aca="false">IF(TRIM(B23)="","",IFERROR(INDEX('Code Aliases'!$B:$B,MATCH(TRIM(B23),'Code Aliases'!$A:$A,0)),TRIM(B23)))</f>
        <v/>
      </c>
      <c r="I23" s="67" t="str">
        <f aca="false">IF(TRIM(D23)="","",UPPER(TRIM(D23)))</f>
        <v/>
      </c>
      <c r="J23" s="67" t="str">
        <f aca="false">IF(TRIM(E23)="","",UPPER(TRIM(E23)))</f>
        <v/>
      </c>
    </row>
    <row r="24" customFormat="false" ht="14.25" hidden="false" customHeight="true" outlineLevel="0" collapsed="false">
      <c r="C24" s="17" t="str">
        <f aca="false">IF(TRIM(B24)="","",IFERROR(INDEX('Code Aliases'!$B:$B,MATCH(TRIM(B24),'Code Aliases'!$A:$A,0)),TRIM(B24)))</f>
        <v/>
      </c>
      <c r="I24" s="67" t="str">
        <f aca="false">IF(TRIM(D24)="","",UPPER(TRIM(D24)))</f>
        <v/>
      </c>
      <c r="J24" s="67" t="str">
        <f aca="false">IF(TRIM(E24)="","",UPPER(TRIM(E24)))</f>
        <v/>
      </c>
    </row>
    <row r="25" customFormat="false" ht="14.25" hidden="false" customHeight="true" outlineLevel="0" collapsed="false">
      <c r="C25" s="17" t="str">
        <f aca="false">IF(TRIM(B25)="","",IFERROR(INDEX('Code Aliases'!$B:$B,MATCH(TRIM(B25),'Code Aliases'!$A:$A,0)),TRIM(B25)))</f>
        <v/>
      </c>
      <c r="I25" s="67" t="str">
        <f aca="false">IF(TRIM(D25)="","",UPPER(TRIM(D25)))</f>
        <v/>
      </c>
      <c r="J25" s="67" t="str">
        <f aca="false">IF(TRIM(E25)="","",UPPER(TRIM(E25)))</f>
        <v/>
      </c>
    </row>
    <row r="26" customFormat="false" ht="14.25" hidden="false" customHeight="true" outlineLevel="0" collapsed="false">
      <c r="C26" s="17" t="str">
        <f aca="false">IF(TRIM(B26)="","",IFERROR(INDEX('Code Aliases'!$B:$B,MATCH(TRIM(B26),'Code Aliases'!$A:$A,0)),TRIM(B26)))</f>
        <v/>
      </c>
      <c r="I26" s="67" t="str">
        <f aca="false">IF(TRIM(D26)="","",UPPER(TRIM(D26)))</f>
        <v/>
      </c>
      <c r="J26" s="67" t="str">
        <f aca="false">IF(TRIM(E26)="","",UPPER(TRIM(E26)))</f>
        <v/>
      </c>
    </row>
    <row r="27" customFormat="false" ht="14.25" hidden="false" customHeight="true" outlineLevel="0" collapsed="false">
      <c r="C27" s="17" t="str">
        <f aca="false">IF(TRIM(B27)="","",IFERROR(INDEX('Code Aliases'!$B:$B,MATCH(TRIM(B27),'Code Aliases'!$A:$A,0)),TRIM(B27)))</f>
        <v/>
      </c>
      <c r="I27" s="67" t="str">
        <f aca="false">IF(TRIM(D27)="","",UPPER(TRIM(D27)))</f>
        <v/>
      </c>
      <c r="J27" s="67" t="str">
        <f aca="false">IF(TRIM(E27)="","",UPPER(TRIM(E27)))</f>
        <v/>
      </c>
    </row>
    <row r="28" customFormat="false" ht="14.25" hidden="false" customHeight="true" outlineLevel="0" collapsed="false">
      <c r="C28" s="17" t="str">
        <f aca="false">IF(TRIM(B28)="","",IFERROR(INDEX('Code Aliases'!$B:$B,MATCH(TRIM(B28),'Code Aliases'!$A:$A,0)),TRIM(B28)))</f>
        <v/>
      </c>
      <c r="I28" s="67" t="str">
        <f aca="false">IF(TRIM(D28)="","",UPPER(TRIM(D28)))</f>
        <v/>
      </c>
      <c r="J28" s="67" t="str">
        <f aca="false">IF(TRIM(E28)="","",UPPER(TRIM(E28)))</f>
        <v/>
      </c>
    </row>
    <row r="29" customFormat="false" ht="14.25" hidden="false" customHeight="true" outlineLevel="0" collapsed="false">
      <c r="C29" s="17" t="str">
        <f aca="false">IF(TRIM(B29)="","",IFERROR(INDEX('Code Aliases'!$B:$B,MATCH(TRIM(B29),'Code Aliases'!$A:$A,0)),TRIM(B29)))</f>
        <v/>
      </c>
      <c r="I29" s="67" t="str">
        <f aca="false">IF(TRIM(D29)="","",UPPER(TRIM(D29)))</f>
        <v/>
      </c>
      <c r="J29" s="67" t="str">
        <f aca="false">IF(TRIM(E29)="","",UPPER(TRIM(E29)))</f>
        <v/>
      </c>
    </row>
    <row r="30" customFormat="false" ht="14.25" hidden="false" customHeight="true" outlineLevel="0" collapsed="false">
      <c r="C30" s="17" t="str">
        <f aca="false">IF(TRIM(B30)="","",IFERROR(INDEX('Code Aliases'!$B:$B,MATCH(TRIM(B30),'Code Aliases'!$A:$A,0)),TRIM(B30)))</f>
        <v/>
      </c>
      <c r="I30" s="67" t="str">
        <f aca="false">IF(TRIM(D30)="","",UPPER(TRIM(D30)))</f>
        <v/>
      </c>
      <c r="J30" s="67" t="str">
        <f aca="false">IF(TRIM(E30)="","",UPPER(TRIM(E30)))</f>
        <v/>
      </c>
    </row>
    <row r="31" customFormat="false" ht="14.25" hidden="false" customHeight="true" outlineLevel="0" collapsed="false">
      <c r="C31" s="17" t="str">
        <f aca="false">IF(TRIM(B31)="","",IFERROR(INDEX('Code Aliases'!$B:$B,MATCH(TRIM(B31),'Code Aliases'!$A:$A,0)),TRIM(B31)))</f>
        <v/>
      </c>
      <c r="I31" s="67" t="str">
        <f aca="false">IF(TRIM(D31)="","",UPPER(TRIM(D31)))</f>
        <v/>
      </c>
      <c r="J31" s="67" t="str">
        <f aca="false">IF(TRIM(E31)="","",UPPER(TRIM(E31)))</f>
        <v/>
      </c>
    </row>
    <row r="32" customFormat="false" ht="14.25" hidden="false" customHeight="true" outlineLevel="0" collapsed="false">
      <c r="C32" s="17" t="str">
        <f aca="false">IF(TRIM(B32)="","",IFERROR(INDEX('Code Aliases'!$B:$B,MATCH(TRIM(B32),'Code Aliases'!$A:$A,0)),TRIM(B32)))</f>
        <v/>
      </c>
      <c r="I32" s="67" t="str">
        <f aca="false">IF(TRIM(D32)="","",UPPER(TRIM(D32)))</f>
        <v/>
      </c>
      <c r="J32" s="67" t="str">
        <f aca="false">IF(TRIM(E32)="","",UPPER(TRIM(E32)))</f>
        <v/>
      </c>
    </row>
    <row r="33" customFormat="false" ht="14.25" hidden="false" customHeight="true" outlineLevel="0" collapsed="false">
      <c r="C33" s="17" t="str">
        <f aca="false">IF(TRIM(B33)="","",IFERROR(INDEX('Code Aliases'!$B:$B,MATCH(TRIM(B33),'Code Aliases'!$A:$A,0)),TRIM(B33)))</f>
        <v/>
      </c>
      <c r="I33" s="67" t="str">
        <f aca="false">IF(TRIM(D33)="","",UPPER(TRIM(D33)))</f>
        <v/>
      </c>
      <c r="J33" s="67" t="str">
        <f aca="false">IF(TRIM(E33)="","",UPPER(TRIM(E33)))</f>
        <v/>
      </c>
    </row>
    <row r="34" customFormat="false" ht="14.25" hidden="false" customHeight="true" outlineLevel="0" collapsed="false">
      <c r="C34" s="17" t="str">
        <f aca="false">IF(TRIM(B34)="","",IFERROR(INDEX('Code Aliases'!$B:$B,MATCH(TRIM(B34),'Code Aliases'!$A:$A,0)),TRIM(B34)))</f>
        <v/>
      </c>
      <c r="I34" s="67" t="str">
        <f aca="false">IF(TRIM(D34)="","",UPPER(TRIM(D34)))</f>
        <v/>
      </c>
      <c r="J34" s="67" t="str">
        <f aca="false">IF(TRIM(E34)="","",UPPER(TRIM(E34)))</f>
        <v/>
      </c>
    </row>
    <row r="35" customFormat="false" ht="14.25" hidden="false" customHeight="true" outlineLevel="0" collapsed="false">
      <c r="C35" s="17" t="str">
        <f aca="false">IF(TRIM(B35)="","",IFERROR(INDEX('Code Aliases'!$B:$B,MATCH(TRIM(B35),'Code Aliases'!$A:$A,0)),TRIM(B35)))</f>
        <v/>
      </c>
      <c r="I35" s="67" t="str">
        <f aca="false">IF(TRIM(D35)="","",UPPER(TRIM(D35)))</f>
        <v/>
      </c>
      <c r="J35" s="67" t="str">
        <f aca="false">IF(TRIM(E35)="","",UPPER(TRIM(E35)))</f>
        <v/>
      </c>
    </row>
    <row r="36" customFormat="false" ht="14.25" hidden="false" customHeight="true" outlineLevel="0" collapsed="false">
      <c r="C36" s="17" t="str">
        <f aca="false">IF(TRIM(B36)="","",IFERROR(INDEX('Code Aliases'!$B:$B,MATCH(TRIM(B36),'Code Aliases'!$A:$A,0)),TRIM(B36)))</f>
        <v/>
      </c>
      <c r="I36" s="67" t="str">
        <f aca="false">IF(TRIM(D36)="","",UPPER(TRIM(D36)))</f>
        <v/>
      </c>
      <c r="J36" s="67" t="str">
        <f aca="false">IF(TRIM(E36)="","",UPPER(TRIM(E36)))</f>
        <v/>
      </c>
    </row>
    <row r="37" customFormat="false" ht="14.25" hidden="false" customHeight="true" outlineLevel="0" collapsed="false">
      <c r="C37" s="17" t="str">
        <f aca="false">IF(TRIM(B37)="","",IFERROR(INDEX('Code Aliases'!$B:$B,MATCH(TRIM(B37),'Code Aliases'!$A:$A,0)),TRIM(B37)))</f>
        <v/>
      </c>
      <c r="I37" s="67" t="str">
        <f aca="false">IF(TRIM(D37)="","",UPPER(TRIM(D37)))</f>
        <v/>
      </c>
      <c r="J37" s="67" t="str">
        <f aca="false">IF(TRIM(E37)="","",UPPER(TRIM(E37)))</f>
        <v/>
      </c>
    </row>
    <row r="38" customFormat="false" ht="14.25" hidden="false" customHeight="true" outlineLevel="0" collapsed="false">
      <c r="C38" s="17" t="str">
        <f aca="false">IF(TRIM(B38)="","",IFERROR(INDEX('Code Aliases'!$B:$B,MATCH(TRIM(B38),'Code Aliases'!$A:$A,0)),TRIM(B38)))</f>
        <v/>
      </c>
      <c r="I38" s="67" t="str">
        <f aca="false">IF(TRIM(D38)="","",UPPER(TRIM(D38)))</f>
        <v/>
      </c>
      <c r="J38" s="67" t="str">
        <f aca="false">IF(TRIM(E38)="","",UPPER(TRIM(E38)))</f>
        <v/>
      </c>
    </row>
    <row r="39" customFormat="false" ht="14.25" hidden="false" customHeight="true" outlineLevel="0" collapsed="false">
      <c r="C39" s="17" t="str">
        <f aca="false">IF(TRIM(B39)="","",IFERROR(INDEX('Code Aliases'!$B:$B,MATCH(TRIM(B39),'Code Aliases'!$A:$A,0)),TRIM(B39)))</f>
        <v/>
      </c>
      <c r="I39" s="67" t="str">
        <f aca="false">IF(TRIM(D39)="","",UPPER(TRIM(D39)))</f>
        <v/>
      </c>
      <c r="J39" s="67" t="str">
        <f aca="false">IF(TRIM(E39)="","",UPPER(TRIM(E39)))</f>
        <v/>
      </c>
    </row>
    <row r="40" customFormat="false" ht="14.25" hidden="false" customHeight="true" outlineLevel="0" collapsed="false">
      <c r="C40" s="17" t="str">
        <f aca="false">IF(TRIM(B40)="","",IFERROR(INDEX('Code Aliases'!$B:$B,MATCH(TRIM(B40),'Code Aliases'!$A:$A,0)),TRIM(B40)))</f>
        <v/>
      </c>
      <c r="I40" s="67" t="str">
        <f aca="false">IF(TRIM(D40)="","",UPPER(TRIM(D40)))</f>
        <v/>
      </c>
      <c r="J40" s="67" t="str">
        <f aca="false">IF(TRIM(E40)="","",UPPER(TRIM(E40)))</f>
        <v/>
      </c>
    </row>
    <row r="41" customFormat="false" ht="14.25" hidden="false" customHeight="true" outlineLevel="0" collapsed="false">
      <c r="C41" s="17" t="str">
        <f aca="false">IF(TRIM(B41)="","",IFERROR(INDEX('Code Aliases'!$B:$B,MATCH(TRIM(B41),'Code Aliases'!$A:$A,0)),TRIM(B41)))</f>
        <v/>
      </c>
      <c r="I41" s="67" t="str">
        <f aca="false">IF(TRIM(D41)="","",UPPER(TRIM(D41)))</f>
        <v/>
      </c>
      <c r="J41" s="67" t="str">
        <f aca="false">IF(TRIM(E41)="","",UPPER(TRIM(E41)))</f>
        <v/>
      </c>
    </row>
    <row r="42" customFormat="false" ht="14.25" hidden="false" customHeight="true" outlineLevel="0" collapsed="false">
      <c r="C42" s="17" t="str">
        <f aca="false">IF(TRIM(B42)="","",IFERROR(INDEX('Code Aliases'!$B:$B,MATCH(TRIM(B42),'Code Aliases'!$A:$A,0)),TRIM(B42)))</f>
        <v/>
      </c>
      <c r="I42" s="67" t="str">
        <f aca="false">IF(TRIM(D42)="","",UPPER(TRIM(D42)))</f>
        <v/>
      </c>
      <c r="J42" s="67" t="str">
        <f aca="false">IF(TRIM(E42)="","",UPPER(TRIM(E42)))</f>
        <v/>
      </c>
    </row>
    <row r="43" customFormat="false" ht="14.25" hidden="false" customHeight="true" outlineLevel="0" collapsed="false">
      <c r="C43" s="17" t="str">
        <f aca="false">IF(TRIM(B43)="","",IFERROR(INDEX('Code Aliases'!$B:$B,MATCH(TRIM(B43),'Code Aliases'!$A:$A,0)),TRIM(B43)))</f>
        <v/>
      </c>
      <c r="I43" s="67" t="str">
        <f aca="false">IF(TRIM(D43)="","",UPPER(TRIM(D43)))</f>
        <v/>
      </c>
      <c r="J43" s="67" t="str">
        <f aca="false">IF(TRIM(E43)="","",UPPER(TRIM(E43)))</f>
        <v/>
      </c>
    </row>
    <row r="44" customFormat="false" ht="14.25" hidden="false" customHeight="true" outlineLevel="0" collapsed="false">
      <c r="C44" s="17" t="str">
        <f aca="false">IF(TRIM(B44)="","",IFERROR(INDEX('Code Aliases'!$B:$B,MATCH(TRIM(B44),'Code Aliases'!$A:$A,0)),TRIM(B44)))</f>
        <v/>
      </c>
      <c r="I44" s="67" t="str">
        <f aca="false">IF(TRIM(D44)="","",UPPER(TRIM(D44)))</f>
        <v/>
      </c>
      <c r="J44" s="67" t="str">
        <f aca="false">IF(TRIM(E44)="","",UPPER(TRIM(E44)))</f>
        <v/>
      </c>
    </row>
    <row r="45" customFormat="false" ht="14.25" hidden="false" customHeight="true" outlineLevel="0" collapsed="false">
      <c r="C45" s="17" t="str">
        <f aca="false">IF(TRIM(B45)="","",IFERROR(INDEX('Code Aliases'!$B:$B,MATCH(TRIM(B45),'Code Aliases'!$A:$A,0)),TRIM(B45)))</f>
        <v/>
      </c>
      <c r="I45" s="67" t="str">
        <f aca="false">IF(TRIM(D45)="","",UPPER(TRIM(D45)))</f>
        <v/>
      </c>
      <c r="J45" s="67" t="str">
        <f aca="false">IF(TRIM(E45)="","",UPPER(TRIM(E45)))</f>
        <v/>
      </c>
    </row>
    <row r="46" customFormat="false" ht="14.25" hidden="false" customHeight="true" outlineLevel="0" collapsed="false">
      <c r="C46" s="17" t="str">
        <f aca="false">IF(TRIM(B46)="","",IFERROR(INDEX('Code Aliases'!$B:$B,MATCH(TRIM(B46),'Code Aliases'!$A:$A,0)),TRIM(B46)))</f>
        <v/>
      </c>
      <c r="I46" s="67" t="str">
        <f aca="false">IF(TRIM(D46)="","",UPPER(TRIM(D46)))</f>
        <v/>
      </c>
      <c r="J46" s="67" t="str">
        <f aca="false">IF(TRIM(E46)="","",UPPER(TRIM(E46)))</f>
        <v/>
      </c>
    </row>
    <row r="47" customFormat="false" ht="14.25" hidden="false" customHeight="true" outlineLevel="0" collapsed="false">
      <c r="C47" s="17" t="str">
        <f aca="false">IF(TRIM(B47)="","",IFERROR(INDEX('Code Aliases'!$B:$B,MATCH(TRIM(B47),'Code Aliases'!$A:$A,0)),TRIM(B47)))</f>
        <v/>
      </c>
      <c r="I47" s="67" t="str">
        <f aca="false">IF(TRIM(D47)="","",UPPER(TRIM(D47)))</f>
        <v/>
      </c>
      <c r="J47" s="67" t="str">
        <f aca="false">IF(TRIM(E47)="","",UPPER(TRIM(E47)))</f>
        <v/>
      </c>
    </row>
    <row r="48" customFormat="false" ht="14.25" hidden="false" customHeight="true" outlineLevel="0" collapsed="false">
      <c r="C48" s="17" t="str">
        <f aca="false">IF(TRIM(B48)="","",IFERROR(INDEX('Code Aliases'!$B:$B,MATCH(TRIM(B48),'Code Aliases'!$A:$A,0)),TRIM(B48)))</f>
        <v/>
      </c>
      <c r="I48" s="67" t="str">
        <f aca="false">IF(TRIM(D48)="","",UPPER(TRIM(D48)))</f>
        <v/>
      </c>
      <c r="J48" s="67" t="str">
        <f aca="false">IF(TRIM(E48)="","",UPPER(TRIM(E48)))</f>
        <v/>
      </c>
    </row>
    <row r="49" customFormat="false" ht="14.25" hidden="false" customHeight="true" outlineLevel="0" collapsed="false">
      <c r="C49" s="17" t="str">
        <f aca="false">IF(TRIM(B49)="","",IFERROR(INDEX('Code Aliases'!$B:$B,MATCH(TRIM(B49),'Code Aliases'!$A:$A,0)),TRIM(B49)))</f>
        <v/>
      </c>
      <c r="I49" s="67" t="str">
        <f aca="false">IF(TRIM(D49)="","",UPPER(TRIM(D49)))</f>
        <v/>
      </c>
      <c r="J49" s="67" t="str">
        <f aca="false">IF(TRIM(E49)="","",UPPER(TRIM(E49)))</f>
        <v/>
      </c>
    </row>
    <row r="50" customFormat="false" ht="14.25" hidden="false" customHeight="true" outlineLevel="0" collapsed="false">
      <c r="C50" s="17" t="str">
        <f aca="false">IF(TRIM(B50)="","",IFERROR(INDEX('Code Aliases'!$B:$B,MATCH(TRIM(B50),'Code Aliases'!$A:$A,0)),TRIM(B50)))</f>
        <v/>
      </c>
      <c r="I50" s="67" t="str">
        <f aca="false">IF(TRIM(D50)="","",UPPER(TRIM(D50)))</f>
        <v/>
      </c>
      <c r="J50" s="67" t="str">
        <f aca="false">IF(TRIM(E50)="","",UPPER(TRIM(E50)))</f>
        <v/>
      </c>
    </row>
    <row r="51" customFormat="false" ht="14.25" hidden="false" customHeight="true" outlineLevel="0" collapsed="false">
      <c r="C51" s="17" t="str">
        <f aca="false">IF(TRIM(B51)="","",IFERROR(INDEX('Code Aliases'!$B:$B,MATCH(TRIM(B51),'Code Aliases'!$A:$A,0)),TRIM(B51)))</f>
        <v/>
      </c>
      <c r="I51" s="67" t="str">
        <f aca="false">IF(TRIM(D51)="","",UPPER(TRIM(D51)))</f>
        <v/>
      </c>
      <c r="J51" s="67" t="str">
        <f aca="false">IF(TRIM(E51)="","",UPPER(TRIM(E51)))</f>
        <v/>
      </c>
    </row>
    <row r="52" customFormat="false" ht="14.25" hidden="false" customHeight="true" outlineLevel="0" collapsed="false">
      <c r="C52" s="17" t="str">
        <f aca="false">IF(TRIM(B52)="","",IFERROR(INDEX('Code Aliases'!$B:$B,MATCH(TRIM(B52),'Code Aliases'!$A:$A,0)),TRIM(B52)))</f>
        <v/>
      </c>
      <c r="I52" s="67" t="str">
        <f aca="false">IF(TRIM(D52)="","",UPPER(TRIM(D52)))</f>
        <v/>
      </c>
      <c r="J52" s="67" t="str">
        <f aca="false">IF(TRIM(E52)="","",UPPER(TRIM(E52)))</f>
        <v/>
      </c>
    </row>
    <row r="53" customFormat="false" ht="14.25" hidden="false" customHeight="true" outlineLevel="0" collapsed="false">
      <c r="C53" s="17" t="str">
        <f aca="false">IF(TRIM(B53)="","",IFERROR(INDEX('Code Aliases'!$B:$B,MATCH(TRIM(B53),'Code Aliases'!$A:$A,0)),TRIM(B53)))</f>
        <v/>
      </c>
      <c r="I53" s="67" t="str">
        <f aca="false">IF(TRIM(D53)="","",UPPER(TRIM(D53)))</f>
        <v/>
      </c>
      <c r="J53" s="67" t="str">
        <f aca="false">IF(TRIM(E53)="","",UPPER(TRIM(E53)))</f>
        <v/>
      </c>
    </row>
    <row r="54" customFormat="false" ht="14.25" hidden="false" customHeight="true" outlineLevel="0" collapsed="false">
      <c r="C54" s="17" t="str">
        <f aca="false">IF(TRIM(B54)="","",IFERROR(INDEX('Code Aliases'!$B:$B,MATCH(TRIM(B54),'Code Aliases'!$A:$A,0)),TRIM(B54)))</f>
        <v/>
      </c>
      <c r="I54" s="67" t="str">
        <f aca="false">IF(TRIM(D54)="","",UPPER(TRIM(D54)))</f>
        <v/>
      </c>
      <c r="J54" s="67" t="str">
        <f aca="false">IF(TRIM(E54)="","",UPPER(TRIM(E54)))</f>
        <v/>
      </c>
    </row>
    <row r="55" customFormat="false" ht="14.25" hidden="false" customHeight="true" outlineLevel="0" collapsed="false">
      <c r="C55" s="17" t="str">
        <f aca="false">IF(TRIM(B55)="","",IFERROR(INDEX('Code Aliases'!$B:$B,MATCH(TRIM(B55),'Code Aliases'!$A:$A,0)),TRIM(B55)))</f>
        <v/>
      </c>
      <c r="I55" s="67" t="str">
        <f aca="false">IF(TRIM(D55)="","",UPPER(TRIM(D55)))</f>
        <v/>
      </c>
      <c r="J55" s="67" t="str">
        <f aca="false">IF(TRIM(E55)="","",UPPER(TRIM(E55)))</f>
        <v/>
      </c>
    </row>
    <row r="56" customFormat="false" ht="14.25" hidden="false" customHeight="true" outlineLevel="0" collapsed="false">
      <c r="C56" s="17" t="str">
        <f aca="false">IF(TRIM(B56)="","",IFERROR(INDEX('Code Aliases'!$B:$B,MATCH(TRIM(B56),'Code Aliases'!$A:$A,0)),TRIM(B56)))</f>
        <v/>
      </c>
      <c r="I56" s="67" t="str">
        <f aca="false">IF(TRIM(D56)="","",UPPER(TRIM(D56)))</f>
        <v/>
      </c>
      <c r="J56" s="67" t="str">
        <f aca="false">IF(TRIM(E56)="","",UPPER(TRIM(E56)))</f>
        <v/>
      </c>
    </row>
    <row r="57" customFormat="false" ht="14.25" hidden="false" customHeight="true" outlineLevel="0" collapsed="false">
      <c r="C57" s="17" t="str">
        <f aca="false">IF(TRIM(B57)="","",IFERROR(INDEX('Code Aliases'!$B:$B,MATCH(TRIM(B57),'Code Aliases'!$A:$A,0)),TRIM(B57)))</f>
        <v/>
      </c>
      <c r="I57" s="67" t="str">
        <f aca="false">IF(TRIM(D57)="","",UPPER(TRIM(D57)))</f>
        <v/>
      </c>
      <c r="J57" s="67" t="str">
        <f aca="false">IF(TRIM(E57)="","",UPPER(TRIM(E57)))</f>
        <v/>
      </c>
    </row>
    <row r="58" customFormat="false" ht="14.25" hidden="false" customHeight="true" outlineLevel="0" collapsed="false">
      <c r="C58" s="17" t="str">
        <f aca="false">IF(TRIM(B58)="","",IFERROR(INDEX('Code Aliases'!$B:$B,MATCH(TRIM(B58),'Code Aliases'!$A:$A,0)),TRIM(B58)))</f>
        <v/>
      </c>
      <c r="I58" s="67" t="str">
        <f aca="false">IF(TRIM(D58)="","",UPPER(TRIM(D58)))</f>
        <v/>
      </c>
      <c r="J58" s="67" t="str">
        <f aca="false">IF(TRIM(E58)="","",UPPER(TRIM(E58)))</f>
        <v/>
      </c>
    </row>
    <row r="59" customFormat="false" ht="14.25" hidden="false" customHeight="true" outlineLevel="0" collapsed="false">
      <c r="C59" s="17" t="str">
        <f aca="false">IF(TRIM(B59)="","",IFERROR(INDEX('Code Aliases'!$B:$B,MATCH(TRIM(B59),'Code Aliases'!$A:$A,0)),TRIM(B59)))</f>
        <v/>
      </c>
      <c r="I59" s="67" t="str">
        <f aca="false">IF(TRIM(D59)="","",UPPER(TRIM(D59)))</f>
        <v/>
      </c>
      <c r="J59" s="67" t="str">
        <f aca="false">IF(TRIM(E59)="","",UPPER(TRIM(E59)))</f>
        <v/>
      </c>
    </row>
    <row r="60" customFormat="false" ht="14.25" hidden="false" customHeight="true" outlineLevel="0" collapsed="false">
      <c r="C60" s="17" t="str">
        <f aca="false">IF(TRIM(B60)="","",IFERROR(INDEX('Code Aliases'!$B:$B,MATCH(TRIM(B60),'Code Aliases'!$A:$A,0)),TRIM(B60)))</f>
        <v/>
      </c>
      <c r="I60" s="67" t="str">
        <f aca="false">IF(TRIM(D60)="","",UPPER(TRIM(D60)))</f>
        <v/>
      </c>
      <c r="J60" s="67" t="str">
        <f aca="false">IF(TRIM(E60)="","",UPPER(TRIM(E60)))</f>
        <v/>
      </c>
    </row>
    <row r="61" customFormat="false" ht="14.25" hidden="false" customHeight="true" outlineLevel="0" collapsed="false">
      <c r="C61" s="17" t="str">
        <f aca="false">IF(TRIM(B61)="","",IFERROR(INDEX('Code Aliases'!$B:$B,MATCH(TRIM(B61),'Code Aliases'!$A:$A,0)),TRIM(B61)))</f>
        <v/>
      </c>
      <c r="I61" s="67" t="str">
        <f aca="false">IF(TRIM(D61)="","",UPPER(TRIM(D61)))</f>
        <v/>
      </c>
      <c r="J61" s="67" t="str">
        <f aca="false">IF(TRIM(E61)="","",UPPER(TRIM(E61)))</f>
        <v/>
      </c>
    </row>
    <row r="62" customFormat="false" ht="14.25" hidden="false" customHeight="true" outlineLevel="0" collapsed="false">
      <c r="C62" s="17" t="str">
        <f aca="false">IF(TRIM(B62)="","",IFERROR(INDEX('Code Aliases'!$B:$B,MATCH(TRIM(B62),'Code Aliases'!$A:$A,0)),TRIM(B62)))</f>
        <v/>
      </c>
      <c r="I62" s="67" t="str">
        <f aca="false">IF(TRIM(D62)="","",UPPER(TRIM(D62)))</f>
        <v/>
      </c>
      <c r="J62" s="67" t="str">
        <f aca="false">IF(TRIM(E62)="","",UPPER(TRIM(E62)))</f>
        <v/>
      </c>
    </row>
    <row r="63" customFormat="false" ht="14.25" hidden="false" customHeight="true" outlineLevel="0" collapsed="false">
      <c r="C63" s="17" t="str">
        <f aca="false">IF(TRIM(B63)="","",IFERROR(INDEX('Code Aliases'!$B:$B,MATCH(TRIM(B63),'Code Aliases'!$A:$A,0)),TRIM(B63)))</f>
        <v/>
      </c>
      <c r="I63" s="67" t="str">
        <f aca="false">IF(TRIM(D63)="","",UPPER(TRIM(D63)))</f>
        <v/>
      </c>
      <c r="J63" s="67" t="str">
        <f aca="false">IF(TRIM(E63)="","",UPPER(TRIM(E63)))</f>
        <v/>
      </c>
    </row>
    <row r="64" customFormat="false" ht="14.25" hidden="false" customHeight="true" outlineLevel="0" collapsed="false">
      <c r="C64" s="17" t="str">
        <f aca="false">IF(TRIM(B64)="","",IFERROR(INDEX('Code Aliases'!$B:$B,MATCH(TRIM(B64),'Code Aliases'!$A:$A,0)),TRIM(B64)))</f>
        <v/>
      </c>
      <c r="I64" s="67" t="str">
        <f aca="false">IF(TRIM(D64)="","",UPPER(TRIM(D64)))</f>
        <v/>
      </c>
      <c r="J64" s="67" t="str">
        <f aca="false">IF(TRIM(E64)="","",UPPER(TRIM(E64)))</f>
        <v/>
      </c>
    </row>
    <row r="65" customFormat="false" ht="14.25" hidden="false" customHeight="true" outlineLevel="0" collapsed="false">
      <c r="C65" s="17" t="str">
        <f aca="false">IF(TRIM(B65)="","",IFERROR(INDEX('Code Aliases'!$B:$B,MATCH(TRIM(B65),'Code Aliases'!$A:$A,0)),TRIM(B65)))</f>
        <v/>
      </c>
      <c r="I65" s="67" t="str">
        <f aca="false">IF(TRIM(D65)="","",UPPER(TRIM(D65)))</f>
        <v/>
      </c>
      <c r="J65" s="67" t="str">
        <f aca="false">IF(TRIM(E65)="","",UPPER(TRIM(E65)))</f>
        <v/>
      </c>
    </row>
    <row r="66" customFormat="false" ht="14.25" hidden="false" customHeight="true" outlineLevel="0" collapsed="false">
      <c r="C66" s="17" t="str">
        <f aca="false">IF(TRIM(B66)="","",IFERROR(INDEX('Code Aliases'!$B:$B,MATCH(TRIM(B66),'Code Aliases'!$A:$A,0)),TRIM(B66)))</f>
        <v/>
      </c>
      <c r="I66" s="67" t="str">
        <f aca="false">IF(TRIM(D66)="","",UPPER(TRIM(D66)))</f>
        <v/>
      </c>
      <c r="J66" s="67" t="str">
        <f aca="false">IF(TRIM(E66)="","",UPPER(TRIM(E66)))</f>
        <v/>
      </c>
    </row>
    <row r="67" customFormat="false" ht="14.25" hidden="false" customHeight="true" outlineLevel="0" collapsed="false">
      <c r="C67" s="17" t="str">
        <f aca="false">IF(TRIM(B67)="","",IFERROR(INDEX('Code Aliases'!$B:$B,MATCH(TRIM(B67),'Code Aliases'!$A:$A,0)),TRIM(B67)))</f>
        <v/>
      </c>
      <c r="I67" s="67" t="str">
        <f aca="false">IF(TRIM(D67)="","",UPPER(TRIM(D67)))</f>
        <v/>
      </c>
      <c r="J67" s="67" t="str">
        <f aca="false">IF(TRIM(E67)="","",UPPER(TRIM(E67)))</f>
        <v/>
      </c>
    </row>
    <row r="68" customFormat="false" ht="14.25" hidden="false" customHeight="true" outlineLevel="0" collapsed="false">
      <c r="C68" s="17" t="str">
        <f aca="false">IF(TRIM(B68)="","",IFERROR(INDEX('Code Aliases'!$B:$B,MATCH(TRIM(B68),'Code Aliases'!$A:$A,0)),TRIM(B68)))</f>
        <v/>
      </c>
      <c r="I68" s="67" t="str">
        <f aca="false">IF(TRIM(D68)="","",UPPER(TRIM(D68)))</f>
        <v/>
      </c>
      <c r="J68" s="67" t="str">
        <f aca="false">IF(TRIM(E68)="","",UPPER(TRIM(E68)))</f>
        <v/>
      </c>
    </row>
    <row r="69" customFormat="false" ht="14.25" hidden="false" customHeight="true" outlineLevel="0" collapsed="false">
      <c r="C69" s="17" t="str">
        <f aca="false">IF(TRIM(B69)="","",IFERROR(INDEX('Code Aliases'!$B:$B,MATCH(TRIM(B69),'Code Aliases'!$A:$A,0)),TRIM(B69)))</f>
        <v/>
      </c>
      <c r="I69" s="67" t="str">
        <f aca="false">IF(TRIM(D69)="","",UPPER(TRIM(D69)))</f>
        <v/>
      </c>
      <c r="J69" s="67" t="str">
        <f aca="false">IF(TRIM(E69)="","",UPPER(TRIM(E69)))</f>
        <v/>
      </c>
    </row>
    <row r="70" customFormat="false" ht="14.25" hidden="false" customHeight="true" outlineLevel="0" collapsed="false">
      <c r="C70" s="17" t="str">
        <f aca="false">IF(TRIM(B70)="","",IFERROR(INDEX('Code Aliases'!$B:$B,MATCH(TRIM(B70),'Code Aliases'!$A:$A,0)),TRIM(B70)))</f>
        <v/>
      </c>
      <c r="I70" s="67" t="str">
        <f aca="false">IF(TRIM(D70)="","",UPPER(TRIM(D70)))</f>
        <v/>
      </c>
      <c r="J70" s="67" t="str">
        <f aca="false">IF(TRIM(E70)="","",UPPER(TRIM(E70)))</f>
        <v/>
      </c>
    </row>
    <row r="71" customFormat="false" ht="14.25" hidden="false" customHeight="true" outlineLevel="0" collapsed="false">
      <c r="C71" s="17" t="str">
        <f aca="false">IF(TRIM(B71)="","",IFERROR(INDEX('Code Aliases'!$B:$B,MATCH(TRIM(B71),'Code Aliases'!$A:$A,0)),TRIM(B71)))</f>
        <v/>
      </c>
      <c r="I71" s="67" t="str">
        <f aca="false">IF(TRIM(D71)="","",UPPER(TRIM(D71)))</f>
        <v/>
      </c>
      <c r="J71" s="67" t="str">
        <f aca="false">IF(TRIM(E71)="","",UPPER(TRIM(E71)))</f>
        <v/>
      </c>
    </row>
    <row r="72" customFormat="false" ht="14.25" hidden="false" customHeight="true" outlineLevel="0" collapsed="false">
      <c r="C72" s="17" t="str">
        <f aca="false">IF(TRIM(B72)="","",IFERROR(INDEX('Code Aliases'!$B:$B,MATCH(TRIM(B72),'Code Aliases'!$A:$A,0)),TRIM(B72)))</f>
        <v/>
      </c>
      <c r="I72" s="67" t="str">
        <f aca="false">IF(TRIM(D72)="","",UPPER(TRIM(D72)))</f>
        <v/>
      </c>
      <c r="J72" s="67" t="str">
        <f aca="false">IF(TRIM(E72)="","",UPPER(TRIM(E72)))</f>
        <v/>
      </c>
    </row>
    <row r="73" customFormat="false" ht="14.25" hidden="false" customHeight="true" outlineLevel="0" collapsed="false">
      <c r="C73" s="17" t="str">
        <f aca="false">IF(TRIM(B73)="","",IFERROR(INDEX('Code Aliases'!$B:$B,MATCH(TRIM(B73),'Code Aliases'!$A:$A,0)),TRIM(B73)))</f>
        <v/>
      </c>
      <c r="I73" s="67" t="str">
        <f aca="false">IF(TRIM(D73)="","",UPPER(TRIM(D73)))</f>
        <v/>
      </c>
      <c r="J73" s="67" t="str">
        <f aca="false">IF(TRIM(E73)="","",UPPER(TRIM(E73)))</f>
        <v/>
      </c>
    </row>
    <row r="74" customFormat="false" ht="14.25" hidden="false" customHeight="true" outlineLevel="0" collapsed="false">
      <c r="C74" s="17" t="str">
        <f aca="false">IF(TRIM(B74)="","",IFERROR(INDEX('Code Aliases'!$B:$B,MATCH(TRIM(B74),'Code Aliases'!$A:$A,0)),TRIM(B74)))</f>
        <v/>
      </c>
      <c r="I74" s="67" t="str">
        <f aca="false">IF(TRIM(D74)="","",UPPER(TRIM(D74)))</f>
        <v/>
      </c>
      <c r="J74" s="67" t="str">
        <f aca="false">IF(TRIM(E74)="","",UPPER(TRIM(E74)))</f>
        <v/>
      </c>
    </row>
    <row r="75" customFormat="false" ht="14.25" hidden="false" customHeight="true" outlineLevel="0" collapsed="false">
      <c r="C75" s="17" t="str">
        <f aca="false">IF(TRIM(B75)="","",IFERROR(INDEX('Code Aliases'!$B:$B,MATCH(TRIM(B75),'Code Aliases'!$A:$A,0)),TRIM(B75)))</f>
        <v/>
      </c>
      <c r="I75" s="67" t="str">
        <f aca="false">IF(TRIM(D75)="","",UPPER(TRIM(D75)))</f>
        <v/>
      </c>
      <c r="J75" s="67" t="str">
        <f aca="false">IF(TRIM(E75)="","",UPPER(TRIM(E75)))</f>
        <v/>
      </c>
    </row>
    <row r="76" customFormat="false" ht="14.25" hidden="false" customHeight="true" outlineLevel="0" collapsed="false">
      <c r="C76" s="17" t="str">
        <f aca="false">IF(TRIM(B76)="","",IFERROR(INDEX('Code Aliases'!$B:$B,MATCH(TRIM(B76),'Code Aliases'!$A:$A,0)),TRIM(B76)))</f>
        <v/>
      </c>
      <c r="I76" s="67" t="str">
        <f aca="false">IF(TRIM(D76)="","",UPPER(TRIM(D76)))</f>
        <v/>
      </c>
      <c r="J76" s="67" t="str">
        <f aca="false">IF(TRIM(E76)="","",UPPER(TRIM(E76)))</f>
        <v/>
      </c>
    </row>
    <row r="77" customFormat="false" ht="14.25" hidden="false" customHeight="true" outlineLevel="0" collapsed="false">
      <c r="C77" s="17" t="str">
        <f aca="false">IF(TRIM(B77)="","",IFERROR(INDEX('Code Aliases'!$B:$B,MATCH(TRIM(B77),'Code Aliases'!$A:$A,0)),TRIM(B77)))</f>
        <v/>
      </c>
      <c r="I77" s="67" t="str">
        <f aca="false">IF(TRIM(D77)="","",UPPER(TRIM(D77)))</f>
        <v/>
      </c>
      <c r="J77" s="67" t="str">
        <f aca="false">IF(TRIM(E77)="","",UPPER(TRIM(E77)))</f>
        <v/>
      </c>
    </row>
    <row r="78" customFormat="false" ht="14.25" hidden="false" customHeight="true" outlineLevel="0" collapsed="false">
      <c r="C78" s="17" t="str">
        <f aca="false">IF(TRIM(B78)="","",IFERROR(INDEX('Code Aliases'!$B:$B,MATCH(TRIM(B78),'Code Aliases'!$A:$A,0)),TRIM(B78)))</f>
        <v/>
      </c>
      <c r="I78" s="67" t="str">
        <f aca="false">IF(TRIM(D78)="","",UPPER(TRIM(D78)))</f>
        <v/>
      </c>
      <c r="J78" s="67" t="str">
        <f aca="false">IF(TRIM(E78)="","",UPPER(TRIM(E78)))</f>
        <v/>
      </c>
    </row>
    <row r="79" customFormat="false" ht="14.25" hidden="false" customHeight="true" outlineLevel="0" collapsed="false">
      <c r="C79" s="17" t="str">
        <f aca="false">IF(TRIM(B79)="","",IFERROR(INDEX('Code Aliases'!$B:$B,MATCH(TRIM(B79),'Code Aliases'!$A:$A,0)),TRIM(B79)))</f>
        <v/>
      </c>
      <c r="I79" s="67" t="str">
        <f aca="false">IF(TRIM(D79)="","",UPPER(TRIM(D79)))</f>
        <v/>
      </c>
      <c r="J79" s="67" t="str">
        <f aca="false">IF(TRIM(E79)="","",UPPER(TRIM(E79)))</f>
        <v/>
      </c>
    </row>
    <row r="80" customFormat="false" ht="14.25" hidden="false" customHeight="true" outlineLevel="0" collapsed="false">
      <c r="C80" s="17" t="str">
        <f aca="false">IF(TRIM(B80)="","",IFERROR(INDEX('Code Aliases'!$B:$B,MATCH(TRIM(B80),'Code Aliases'!$A:$A,0)),TRIM(B80)))</f>
        <v/>
      </c>
      <c r="I80" s="67" t="str">
        <f aca="false">IF(TRIM(D80)="","",UPPER(TRIM(D80)))</f>
        <v/>
      </c>
      <c r="J80" s="67" t="str">
        <f aca="false">IF(TRIM(E80)="","",UPPER(TRIM(E80)))</f>
        <v/>
      </c>
    </row>
    <row r="81" customFormat="false" ht="14.25" hidden="false" customHeight="true" outlineLevel="0" collapsed="false">
      <c r="C81" s="17" t="str">
        <f aca="false">IF(TRIM(B81)="","",IFERROR(INDEX('Code Aliases'!$B:$B,MATCH(TRIM(B81),'Code Aliases'!$A:$A,0)),TRIM(B81)))</f>
        <v/>
      </c>
      <c r="I81" s="67" t="str">
        <f aca="false">IF(TRIM(D81)="","",UPPER(TRIM(D81)))</f>
        <v/>
      </c>
      <c r="J81" s="67" t="str">
        <f aca="false">IF(TRIM(E81)="","",UPPER(TRIM(E81)))</f>
        <v/>
      </c>
    </row>
    <row r="82" customFormat="false" ht="14.25" hidden="false" customHeight="true" outlineLevel="0" collapsed="false">
      <c r="C82" s="17" t="str">
        <f aca="false">IF(TRIM(B82)="","",IFERROR(INDEX('Code Aliases'!$B:$B,MATCH(TRIM(B82),'Code Aliases'!$A:$A,0)),TRIM(B82)))</f>
        <v/>
      </c>
      <c r="I82" s="67" t="str">
        <f aca="false">IF(TRIM(D82)="","",UPPER(TRIM(D82)))</f>
        <v/>
      </c>
      <c r="J82" s="67" t="str">
        <f aca="false">IF(TRIM(E82)="","",UPPER(TRIM(E82)))</f>
        <v/>
      </c>
    </row>
    <row r="83" customFormat="false" ht="14.25" hidden="false" customHeight="true" outlineLevel="0" collapsed="false">
      <c r="C83" s="17" t="str">
        <f aca="false">IF(TRIM(B83)="","",IFERROR(INDEX('Code Aliases'!$B:$B,MATCH(TRIM(B83),'Code Aliases'!$A:$A,0)),TRIM(B83)))</f>
        <v/>
      </c>
      <c r="I83" s="67" t="str">
        <f aca="false">IF(TRIM(D83)="","",UPPER(TRIM(D83)))</f>
        <v/>
      </c>
      <c r="J83" s="67" t="str">
        <f aca="false">IF(TRIM(E83)="","",UPPER(TRIM(E83)))</f>
        <v/>
      </c>
    </row>
    <row r="84" customFormat="false" ht="14.25" hidden="false" customHeight="true" outlineLevel="0" collapsed="false">
      <c r="C84" s="17" t="str">
        <f aca="false">IF(TRIM(B84)="","",IFERROR(INDEX('Code Aliases'!$B:$B,MATCH(TRIM(B84),'Code Aliases'!$A:$A,0)),TRIM(B84)))</f>
        <v/>
      </c>
      <c r="I84" s="67" t="str">
        <f aca="false">IF(TRIM(D84)="","",UPPER(TRIM(D84)))</f>
        <v/>
      </c>
      <c r="J84" s="67" t="str">
        <f aca="false">IF(TRIM(E84)="","",UPPER(TRIM(E84)))</f>
        <v/>
      </c>
    </row>
    <row r="85" customFormat="false" ht="14.25" hidden="false" customHeight="true" outlineLevel="0" collapsed="false">
      <c r="C85" s="17" t="str">
        <f aca="false">IF(TRIM(B85)="","",IFERROR(INDEX('Code Aliases'!$B:$B,MATCH(TRIM(B85),'Code Aliases'!$A:$A,0)),TRIM(B85)))</f>
        <v/>
      </c>
      <c r="I85" s="67" t="str">
        <f aca="false">IF(TRIM(D85)="","",UPPER(TRIM(D85)))</f>
        <v/>
      </c>
      <c r="J85" s="67" t="str">
        <f aca="false">IF(TRIM(E85)="","",UPPER(TRIM(E85)))</f>
        <v/>
      </c>
    </row>
    <row r="86" customFormat="false" ht="14.25" hidden="false" customHeight="true" outlineLevel="0" collapsed="false">
      <c r="C86" s="17" t="str">
        <f aca="false">IF(TRIM(B86)="","",IFERROR(INDEX('Code Aliases'!$B:$B,MATCH(TRIM(B86),'Code Aliases'!$A:$A,0)),TRIM(B86)))</f>
        <v/>
      </c>
      <c r="I86" s="67" t="str">
        <f aca="false">IF(TRIM(D86)="","",UPPER(TRIM(D86)))</f>
        <v/>
      </c>
      <c r="J86" s="67" t="str">
        <f aca="false">IF(TRIM(E86)="","",UPPER(TRIM(E86)))</f>
        <v/>
      </c>
    </row>
    <row r="87" customFormat="false" ht="14.25" hidden="false" customHeight="true" outlineLevel="0" collapsed="false">
      <c r="C87" s="17" t="str">
        <f aca="false">IF(TRIM(B87)="","",IFERROR(INDEX('Code Aliases'!$B:$B,MATCH(TRIM(B87),'Code Aliases'!$A:$A,0)),TRIM(B87)))</f>
        <v/>
      </c>
      <c r="I87" s="67" t="str">
        <f aca="false">IF(TRIM(D87)="","",UPPER(TRIM(D87)))</f>
        <v/>
      </c>
      <c r="J87" s="67" t="str">
        <f aca="false">IF(TRIM(E87)="","",UPPER(TRIM(E87)))</f>
        <v/>
      </c>
    </row>
    <row r="88" customFormat="false" ht="14.25" hidden="false" customHeight="true" outlineLevel="0" collapsed="false">
      <c r="C88" s="17" t="str">
        <f aca="false">IF(TRIM(B88)="","",IFERROR(INDEX('Code Aliases'!$B:$B,MATCH(TRIM(B88),'Code Aliases'!$A:$A,0)),TRIM(B88)))</f>
        <v/>
      </c>
      <c r="I88" s="67" t="str">
        <f aca="false">IF(TRIM(D88)="","",UPPER(TRIM(D88)))</f>
        <v/>
      </c>
      <c r="J88" s="67" t="str">
        <f aca="false">IF(TRIM(E88)="","",UPPER(TRIM(E88)))</f>
        <v/>
      </c>
    </row>
    <row r="89" customFormat="false" ht="14.25" hidden="false" customHeight="true" outlineLevel="0" collapsed="false">
      <c r="C89" s="17" t="str">
        <f aca="false">IF(TRIM(B89)="","",IFERROR(INDEX('Code Aliases'!$B:$B,MATCH(TRIM(B89),'Code Aliases'!$A:$A,0)),TRIM(B89)))</f>
        <v/>
      </c>
      <c r="I89" s="67" t="str">
        <f aca="false">IF(TRIM(D89)="","",UPPER(TRIM(D89)))</f>
        <v/>
      </c>
      <c r="J89" s="67" t="str">
        <f aca="false">IF(TRIM(E89)="","",UPPER(TRIM(E89)))</f>
        <v/>
      </c>
    </row>
    <row r="90" customFormat="false" ht="14.25" hidden="false" customHeight="true" outlineLevel="0" collapsed="false">
      <c r="C90" s="17" t="str">
        <f aca="false">IF(TRIM(B90)="","",IFERROR(INDEX('Code Aliases'!$B:$B,MATCH(TRIM(B90),'Code Aliases'!$A:$A,0)),TRIM(B90)))</f>
        <v/>
      </c>
      <c r="I90" s="67" t="str">
        <f aca="false">IF(TRIM(D90)="","",UPPER(TRIM(D90)))</f>
        <v/>
      </c>
      <c r="J90" s="67" t="str">
        <f aca="false">IF(TRIM(E90)="","",UPPER(TRIM(E90)))</f>
        <v/>
      </c>
    </row>
    <row r="91" customFormat="false" ht="14.25" hidden="false" customHeight="true" outlineLevel="0" collapsed="false">
      <c r="C91" s="17" t="str">
        <f aca="false">IF(TRIM(B91)="","",IFERROR(INDEX('Code Aliases'!$B:$B,MATCH(TRIM(B91),'Code Aliases'!$A:$A,0)),TRIM(B91)))</f>
        <v/>
      </c>
      <c r="I91" s="67" t="str">
        <f aca="false">IF(TRIM(D91)="","",UPPER(TRIM(D91)))</f>
        <v/>
      </c>
      <c r="J91" s="67" t="str">
        <f aca="false">IF(TRIM(E91)="","",UPPER(TRIM(E91)))</f>
        <v/>
      </c>
    </row>
    <row r="92" customFormat="false" ht="14.25" hidden="false" customHeight="true" outlineLevel="0" collapsed="false">
      <c r="C92" s="17" t="str">
        <f aca="false">IF(TRIM(B92)="","",IFERROR(INDEX('Code Aliases'!$B:$B,MATCH(TRIM(B92),'Code Aliases'!$A:$A,0)),TRIM(B92)))</f>
        <v/>
      </c>
      <c r="I92" s="67" t="str">
        <f aca="false">IF(TRIM(D92)="","",UPPER(TRIM(D92)))</f>
        <v/>
      </c>
      <c r="J92" s="67" t="str">
        <f aca="false">IF(TRIM(E92)="","",UPPER(TRIM(E92)))</f>
        <v/>
      </c>
    </row>
    <row r="93" customFormat="false" ht="14.25" hidden="false" customHeight="true" outlineLevel="0" collapsed="false">
      <c r="C93" s="17" t="str">
        <f aca="false">IF(TRIM(B93)="","",IFERROR(INDEX('Code Aliases'!$B:$B,MATCH(TRIM(B93),'Code Aliases'!$A:$A,0)),TRIM(B93)))</f>
        <v/>
      </c>
      <c r="I93" s="67" t="str">
        <f aca="false">IF(TRIM(D93)="","",UPPER(TRIM(D93)))</f>
        <v/>
      </c>
      <c r="J93" s="67" t="str">
        <f aca="false">IF(TRIM(E93)="","",UPPER(TRIM(E93)))</f>
        <v/>
      </c>
    </row>
    <row r="94" customFormat="false" ht="14.25" hidden="false" customHeight="true" outlineLevel="0" collapsed="false">
      <c r="C94" s="17" t="str">
        <f aca="false">IF(TRIM(B94)="","",IFERROR(INDEX('Code Aliases'!$B:$B,MATCH(TRIM(B94),'Code Aliases'!$A:$A,0)),TRIM(B94)))</f>
        <v/>
      </c>
      <c r="I94" s="67" t="str">
        <f aca="false">IF(TRIM(D94)="","",UPPER(TRIM(D94)))</f>
        <v/>
      </c>
      <c r="J94" s="67" t="str">
        <f aca="false">IF(TRIM(E94)="","",UPPER(TRIM(E94)))</f>
        <v/>
      </c>
    </row>
    <row r="95" customFormat="false" ht="14.25" hidden="false" customHeight="true" outlineLevel="0" collapsed="false">
      <c r="C95" s="17" t="str">
        <f aca="false">IF(TRIM(B95)="","",IFERROR(INDEX('Code Aliases'!$B:$B,MATCH(TRIM(B95),'Code Aliases'!$A:$A,0)),TRIM(B95)))</f>
        <v/>
      </c>
      <c r="I95" s="67" t="str">
        <f aca="false">IF(TRIM(D95)="","",UPPER(TRIM(D95)))</f>
        <v/>
      </c>
      <c r="J95" s="67" t="str">
        <f aca="false">IF(TRIM(E95)="","",UPPER(TRIM(E95)))</f>
        <v/>
      </c>
    </row>
    <row r="96" customFormat="false" ht="14.25" hidden="false" customHeight="true" outlineLevel="0" collapsed="false">
      <c r="C96" s="17" t="str">
        <f aca="false">IF(TRIM(B96)="","",IFERROR(INDEX('Code Aliases'!$B:$B,MATCH(TRIM(B96),'Code Aliases'!$A:$A,0)),TRIM(B96)))</f>
        <v/>
      </c>
      <c r="I96" s="67" t="str">
        <f aca="false">IF(TRIM(D96)="","",UPPER(TRIM(D96)))</f>
        <v/>
      </c>
      <c r="J96" s="67" t="str">
        <f aca="false">IF(TRIM(E96)="","",UPPER(TRIM(E96)))</f>
        <v/>
      </c>
    </row>
    <row r="97" customFormat="false" ht="14.25" hidden="false" customHeight="true" outlineLevel="0" collapsed="false">
      <c r="C97" s="17" t="str">
        <f aca="false">IF(TRIM(B97)="","",IFERROR(INDEX('Code Aliases'!$B:$B,MATCH(TRIM(B97),'Code Aliases'!$A:$A,0)),TRIM(B97)))</f>
        <v/>
      </c>
      <c r="I97" s="67" t="str">
        <f aca="false">IF(TRIM(D97)="","",UPPER(TRIM(D97)))</f>
        <v/>
      </c>
      <c r="J97" s="67" t="str">
        <f aca="false">IF(TRIM(E97)="","",UPPER(TRIM(E97)))</f>
        <v/>
      </c>
    </row>
    <row r="98" customFormat="false" ht="14.25" hidden="false" customHeight="true" outlineLevel="0" collapsed="false">
      <c r="C98" s="17" t="str">
        <f aca="false">IF(TRIM(B98)="","",IFERROR(INDEX('Code Aliases'!$B:$B,MATCH(TRIM(B98),'Code Aliases'!$A:$A,0)),TRIM(B98)))</f>
        <v/>
      </c>
      <c r="I98" s="67" t="str">
        <f aca="false">IF(TRIM(D98)="","",UPPER(TRIM(D98)))</f>
        <v/>
      </c>
      <c r="J98" s="67" t="str">
        <f aca="false">IF(TRIM(E98)="","",UPPER(TRIM(E98)))</f>
        <v/>
      </c>
    </row>
    <row r="99" customFormat="false" ht="14.25" hidden="false" customHeight="true" outlineLevel="0" collapsed="false">
      <c r="C99" s="17" t="str">
        <f aca="false">IF(TRIM(B99)="","",IFERROR(INDEX('Code Aliases'!$B:$B,MATCH(TRIM(B99),'Code Aliases'!$A:$A,0)),TRIM(B99)))</f>
        <v/>
      </c>
      <c r="I99" s="67" t="str">
        <f aca="false">IF(TRIM(D99)="","",UPPER(TRIM(D99)))</f>
        <v/>
      </c>
      <c r="J99" s="67" t="str">
        <f aca="false">IF(TRIM(E99)="","",UPPER(TRIM(E99)))</f>
        <v/>
      </c>
    </row>
    <row r="100" customFormat="false" ht="14.25" hidden="false" customHeight="true" outlineLevel="0" collapsed="false">
      <c r="C100" s="17" t="str">
        <f aca="false">IF(TRIM(B100)="","",IFERROR(INDEX('Code Aliases'!$B:$B,MATCH(TRIM(B100),'Code Aliases'!$A:$A,0)),TRIM(B100)))</f>
        <v/>
      </c>
      <c r="I100" s="67" t="str">
        <f aca="false">IF(TRIM(D100)="","",UPPER(TRIM(D100)))</f>
        <v/>
      </c>
      <c r="J100" s="67" t="str">
        <f aca="false">IF(TRIM(E100)="","",UPPER(TRIM(E100)))</f>
        <v/>
      </c>
    </row>
    <row r="101" customFormat="false" ht="14.25" hidden="false" customHeight="true" outlineLevel="0" collapsed="false">
      <c r="C101" s="17" t="str">
        <f aca="false">IF(TRIM(B101)="","",IFERROR(INDEX('Code Aliases'!$B:$B,MATCH(TRIM(B101),'Code Aliases'!$A:$A,0)),TRIM(B101)))</f>
        <v/>
      </c>
      <c r="I101" s="67" t="str">
        <f aca="false">IF(TRIM(D101)="","",UPPER(TRIM(D101)))</f>
        <v/>
      </c>
      <c r="J101" s="67" t="str">
        <f aca="false">IF(TRIM(E101)="","",UPPER(TRIM(E101)))</f>
        <v/>
      </c>
    </row>
    <row r="102" customFormat="false" ht="14.25" hidden="false" customHeight="true" outlineLevel="0" collapsed="false">
      <c r="C102" s="17" t="str">
        <f aca="false">IF(TRIM(B102)="","",IFERROR(INDEX('Code Aliases'!$B:$B,MATCH(TRIM(B102),'Code Aliases'!$A:$A,0)),TRIM(B102)))</f>
        <v/>
      </c>
      <c r="I102" s="67" t="str">
        <f aca="false">IF(TRIM(D102)="","",UPPER(TRIM(D102)))</f>
        <v/>
      </c>
      <c r="J102" s="67" t="str">
        <f aca="false">IF(TRIM(E102)="","",UPPER(TRIM(E102)))</f>
        <v/>
      </c>
    </row>
    <row r="103" customFormat="false" ht="14.25" hidden="false" customHeight="true" outlineLevel="0" collapsed="false">
      <c r="C103" s="17" t="str">
        <f aca="false">IF(TRIM(B103)="","",IFERROR(INDEX('Code Aliases'!$B:$B,MATCH(TRIM(B103),'Code Aliases'!$A:$A,0)),TRIM(B103)))</f>
        <v/>
      </c>
      <c r="I103" s="67" t="str">
        <f aca="false">IF(TRIM(D103)="","",UPPER(TRIM(D103)))</f>
        <v/>
      </c>
      <c r="J103" s="67" t="str">
        <f aca="false">IF(TRIM(E103)="","",UPPER(TRIM(E103)))</f>
        <v/>
      </c>
    </row>
    <row r="104" customFormat="false" ht="14.25" hidden="false" customHeight="true" outlineLevel="0" collapsed="false">
      <c r="C104" s="17" t="str">
        <f aca="false">IF(TRIM(B104)="","",IFERROR(INDEX('Code Aliases'!$B:$B,MATCH(TRIM(B104),'Code Aliases'!$A:$A,0)),TRIM(B104)))</f>
        <v/>
      </c>
      <c r="I104" s="67" t="str">
        <f aca="false">IF(TRIM(D104)="","",UPPER(TRIM(D104)))</f>
        <v/>
      </c>
      <c r="J104" s="67" t="str">
        <f aca="false">IF(TRIM(E104)="","",UPPER(TRIM(E104)))</f>
        <v/>
      </c>
    </row>
    <row r="105" customFormat="false" ht="14.25" hidden="false" customHeight="true" outlineLevel="0" collapsed="false">
      <c r="C105" s="17" t="str">
        <f aca="false">IF(TRIM(B105)="","",IFERROR(INDEX('Code Aliases'!$B:$B,MATCH(TRIM(B105),'Code Aliases'!$A:$A,0)),TRIM(B105)))</f>
        <v/>
      </c>
      <c r="I105" s="67" t="str">
        <f aca="false">IF(TRIM(D105)="","",UPPER(TRIM(D105)))</f>
        <v/>
      </c>
      <c r="J105" s="67" t="str">
        <f aca="false">IF(TRIM(E105)="","",UPPER(TRIM(E105)))</f>
        <v/>
      </c>
    </row>
    <row r="106" customFormat="false" ht="14.25" hidden="false" customHeight="true" outlineLevel="0" collapsed="false">
      <c r="C106" s="17" t="str">
        <f aca="false">IF(TRIM(B106)="","",IFERROR(INDEX('Code Aliases'!$B:$B,MATCH(TRIM(B106),'Code Aliases'!$A:$A,0)),TRIM(B106)))</f>
        <v/>
      </c>
      <c r="I106" s="67" t="str">
        <f aca="false">IF(TRIM(D106)="","",UPPER(TRIM(D106)))</f>
        <v/>
      </c>
      <c r="J106" s="67" t="str">
        <f aca="false">IF(TRIM(E106)="","",UPPER(TRIM(E106)))</f>
        <v/>
      </c>
    </row>
    <row r="107" customFormat="false" ht="14.25" hidden="false" customHeight="true" outlineLevel="0" collapsed="false">
      <c r="C107" s="17" t="str">
        <f aca="false">IF(TRIM(B107)="","",IFERROR(INDEX('Code Aliases'!$B:$B,MATCH(TRIM(B107),'Code Aliases'!$A:$A,0)),TRIM(B107)))</f>
        <v/>
      </c>
      <c r="I107" s="67" t="str">
        <f aca="false">IF(TRIM(D107)="","",UPPER(TRIM(D107)))</f>
        <v/>
      </c>
      <c r="J107" s="67" t="str">
        <f aca="false">IF(TRIM(E107)="","",UPPER(TRIM(E107)))</f>
        <v/>
      </c>
    </row>
    <row r="108" customFormat="false" ht="14.25" hidden="false" customHeight="true" outlineLevel="0" collapsed="false">
      <c r="C108" s="17" t="str">
        <f aca="false">IF(TRIM(B108)="","",IFERROR(INDEX('Code Aliases'!$B:$B,MATCH(TRIM(B108),'Code Aliases'!$A:$A,0)),TRIM(B108)))</f>
        <v/>
      </c>
      <c r="I108" s="67" t="str">
        <f aca="false">IF(TRIM(D108)="","",UPPER(TRIM(D108)))</f>
        <v/>
      </c>
      <c r="J108" s="67" t="str">
        <f aca="false">IF(TRIM(E108)="","",UPPER(TRIM(E108)))</f>
        <v/>
      </c>
    </row>
    <row r="109" customFormat="false" ht="14.25" hidden="false" customHeight="true" outlineLevel="0" collapsed="false">
      <c r="C109" s="17" t="str">
        <f aca="false">IF(TRIM(B109)="","",IFERROR(INDEX('Code Aliases'!$B:$B,MATCH(TRIM(B109),'Code Aliases'!$A:$A,0)),TRIM(B109)))</f>
        <v/>
      </c>
      <c r="I109" s="67" t="str">
        <f aca="false">IF(TRIM(D109)="","",UPPER(TRIM(D109)))</f>
        <v/>
      </c>
      <c r="J109" s="67" t="str">
        <f aca="false">IF(TRIM(E109)="","",UPPER(TRIM(E109)))</f>
        <v/>
      </c>
    </row>
    <row r="110" customFormat="false" ht="14.25" hidden="false" customHeight="true" outlineLevel="0" collapsed="false">
      <c r="C110" s="17" t="str">
        <f aca="false">IF(TRIM(B110)="","",IFERROR(INDEX('Code Aliases'!$B:$B,MATCH(TRIM(B110),'Code Aliases'!$A:$A,0)),TRIM(B110)))</f>
        <v/>
      </c>
      <c r="I110" s="67" t="str">
        <f aca="false">IF(TRIM(D110)="","",UPPER(TRIM(D110)))</f>
        <v/>
      </c>
      <c r="J110" s="67" t="str">
        <f aca="false">IF(TRIM(E110)="","",UPPER(TRIM(E110)))</f>
        <v/>
      </c>
    </row>
    <row r="111" customFormat="false" ht="14.25" hidden="false" customHeight="true" outlineLevel="0" collapsed="false">
      <c r="C111" s="17" t="str">
        <f aca="false">IF(TRIM(B111)="","",IFERROR(INDEX('Code Aliases'!$B:$B,MATCH(TRIM(B111),'Code Aliases'!$A:$A,0)),TRIM(B111)))</f>
        <v/>
      </c>
      <c r="I111" s="67" t="str">
        <f aca="false">IF(TRIM(D111)="","",UPPER(TRIM(D111)))</f>
        <v/>
      </c>
      <c r="J111" s="67" t="str">
        <f aca="false">IF(TRIM(E111)="","",UPPER(TRIM(E111)))</f>
        <v/>
      </c>
    </row>
    <row r="112" customFormat="false" ht="14.25" hidden="false" customHeight="true" outlineLevel="0" collapsed="false">
      <c r="C112" s="17" t="str">
        <f aca="false">IF(TRIM(B112)="","",IFERROR(INDEX('Code Aliases'!$B:$B,MATCH(TRIM(B112),'Code Aliases'!$A:$A,0)),TRIM(B112)))</f>
        <v/>
      </c>
      <c r="I112" s="67" t="str">
        <f aca="false">IF(TRIM(D112)="","",UPPER(TRIM(D112)))</f>
        <v/>
      </c>
      <c r="J112" s="67" t="str">
        <f aca="false">IF(TRIM(E112)="","",UPPER(TRIM(E112)))</f>
        <v/>
      </c>
    </row>
    <row r="113" customFormat="false" ht="14.25" hidden="false" customHeight="true" outlineLevel="0" collapsed="false">
      <c r="C113" s="17" t="str">
        <f aca="false">IF(TRIM(B113)="","",IFERROR(INDEX('Code Aliases'!$B:$B,MATCH(TRIM(B113),'Code Aliases'!$A:$A,0)),TRIM(B113)))</f>
        <v/>
      </c>
      <c r="I113" s="67" t="str">
        <f aca="false">IF(TRIM(D113)="","",UPPER(TRIM(D113)))</f>
        <v/>
      </c>
      <c r="J113" s="67" t="str">
        <f aca="false">IF(TRIM(E113)="","",UPPER(TRIM(E113)))</f>
        <v/>
      </c>
    </row>
    <row r="114" customFormat="false" ht="14.25" hidden="false" customHeight="true" outlineLevel="0" collapsed="false">
      <c r="C114" s="17" t="str">
        <f aca="false">IF(TRIM(B114)="","",IFERROR(INDEX('Code Aliases'!$B:$B,MATCH(TRIM(B114),'Code Aliases'!$A:$A,0)),TRIM(B114)))</f>
        <v/>
      </c>
      <c r="I114" s="67" t="str">
        <f aca="false">IF(TRIM(D114)="","",UPPER(TRIM(D114)))</f>
        <v/>
      </c>
      <c r="J114" s="67" t="str">
        <f aca="false">IF(TRIM(E114)="","",UPPER(TRIM(E114)))</f>
        <v/>
      </c>
    </row>
    <row r="115" customFormat="false" ht="14.25" hidden="false" customHeight="true" outlineLevel="0" collapsed="false">
      <c r="C115" s="17" t="str">
        <f aca="false">IF(TRIM(B115)="","",IFERROR(INDEX('Code Aliases'!$B:$B,MATCH(TRIM(B115),'Code Aliases'!$A:$A,0)),TRIM(B115)))</f>
        <v/>
      </c>
      <c r="I115" s="67" t="str">
        <f aca="false">IF(TRIM(D115)="","",UPPER(TRIM(D115)))</f>
        <v/>
      </c>
      <c r="J115" s="67" t="str">
        <f aca="false">IF(TRIM(E115)="","",UPPER(TRIM(E115)))</f>
        <v/>
      </c>
    </row>
    <row r="116" customFormat="false" ht="14.25" hidden="false" customHeight="true" outlineLevel="0" collapsed="false">
      <c r="C116" s="17" t="str">
        <f aca="false">IF(TRIM(B116)="","",IFERROR(INDEX('Code Aliases'!$B:$B,MATCH(TRIM(B116),'Code Aliases'!$A:$A,0)),TRIM(B116)))</f>
        <v/>
      </c>
      <c r="I116" s="67" t="str">
        <f aca="false">IF(TRIM(D116)="","",UPPER(TRIM(D116)))</f>
        <v/>
      </c>
      <c r="J116" s="67" t="str">
        <f aca="false">IF(TRIM(E116)="","",UPPER(TRIM(E116)))</f>
        <v/>
      </c>
    </row>
    <row r="117" customFormat="false" ht="14.25" hidden="false" customHeight="true" outlineLevel="0" collapsed="false">
      <c r="C117" s="17" t="str">
        <f aca="false">IF(TRIM(B117)="","",IFERROR(INDEX('Code Aliases'!$B:$B,MATCH(TRIM(B117),'Code Aliases'!$A:$A,0)),TRIM(B117)))</f>
        <v/>
      </c>
      <c r="I117" s="67" t="str">
        <f aca="false">IF(TRIM(D117)="","",UPPER(TRIM(D117)))</f>
        <v/>
      </c>
      <c r="J117" s="67" t="str">
        <f aca="false">IF(TRIM(E117)="","",UPPER(TRIM(E117)))</f>
        <v/>
      </c>
    </row>
    <row r="118" customFormat="false" ht="14.25" hidden="false" customHeight="true" outlineLevel="0" collapsed="false">
      <c r="C118" s="17" t="str">
        <f aca="false">IF(TRIM(B118)="","",IFERROR(INDEX('Code Aliases'!$B:$B,MATCH(TRIM(B118),'Code Aliases'!$A:$A,0)),TRIM(B118)))</f>
        <v/>
      </c>
      <c r="I118" s="67" t="str">
        <f aca="false">IF(TRIM(D118)="","",UPPER(TRIM(D118)))</f>
        <v/>
      </c>
      <c r="J118" s="67" t="str">
        <f aca="false">IF(TRIM(E118)="","",UPPER(TRIM(E118)))</f>
        <v/>
      </c>
    </row>
    <row r="119" customFormat="false" ht="14.25" hidden="false" customHeight="true" outlineLevel="0" collapsed="false">
      <c r="C119" s="17" t="str">
        <f aca="false">IF(TRIM(B119)="","",IFERROR(INDEX('Code Aliases'!$B:$B,MATCH(TRIM(B119),'Code Aliases'!$A:$A,0)),TRIM(B119)))</f>
        <v/>
      </c>
      <c r="I119" s="67" t="str">
        <f aca="false">IF(TRIM(D119)="","",UPPER(TRIM(D119)))</f>
        <v/>
      </c>
      <c r="J119" s="67" t="str">
        <f aca="false">IF(TRIM(E119)="","",UPPER(TRIM(E119)))</f>
        <v/>
      </c>
    </row>
    <row r="120" customFormat="false" ht="14.25" hidden="false" customHeight="true" outlineLevel="0" collapsed="false">
      <c r="C120" s="17" t="str">
        <f aca="false">IF(TRIM(B120)="","",IFERROR(INDEX('Code Aliases'!$B:$B,MATCH(TRIM(B120),'Code Aliases'!$A:$A,0)),TRIM(B120)))</f>
        <v/>
      </c>
      <c r="I120" s="67" t="str">
        <f aca="false">IF(TRIM(D120)="","",UPPER(TRIM(D120)))</f>
        <v/>
      </c>
      <c r="J120" s="67" t="str">
        <f aca="false">IF(TRIM(E120)="","",UPPER(TRIM(E120)))</f>
        <v/>
      </c>
    </row>
    <row r="121" customFormat="false" ht="14.25" hidden="false" customHeight="true" outlineLevel="0" collapsed="false">
      <c r="C121" s="17" t="str">
        <f aca="false">IF(TRIM(B121)="","",IFERROR(INDEX('Code Aliases'!$B:$B,MATCH(TRIM(B121),'Code Aliases'!$A:$A,0)),TRIM(B121)))</f>
        <v/>
      </c>
      <c r="I121" s="67" t="str">
        <f aca="false">IF(TRIM(D121)="","",UPPER(TRIM(D121)))</f>
        <v/>
      </c>
      <c r="J121" s="67" t="str">
        <f aca="false">IF(TRIM(E121)="","",UPPER(TRIM(E121)))</f>
        <v/>
      </c>
    </row>
    <row r="122" customFormat="false" ht="14.25" hidden="false" customHeight="true" outlineLevel="0" collapsed="false">
      <c r="C122" s="17" t="str">
        <f aca="false">IF(TRIM(B122)="","",IFERROR(INDEX('Code Aliases'!$B:$B,MATCH(TRIM(B122),'Code Aliases'!$A:$A,0)),TRIM(B122)))</f>
        <v/>
      </c>
      <c r="I122" s="67" t="str">
        <f aca="false">IF(TRIM(D122)="","",UPPER(TRIM(D122)))</f>
        <v/>
      </c>
      <c r="J122" s="67" t="str">
        <f aca="false">IF(TRIM(E122)="","",UPPER(TRIM(E122)))</f>
        <v/>
      </c>
    </row>
    <row r="123" customFormat="false" ht="14.25" hidden="false" customHeight="true" outlineLevel="0" collapsed="false">
      <c r="C123" s="17" t="str">
        <f aca="false">IF(TRIM(B123)="","",IFERROR(INDEX('Code Aliases'!$B:$B,MATCH(TRIM(B123),'Code Aliases'!$A:$A,0)),TRIM(B123)))</f>
        <v/>
      </c>
      <c r="I123" s="67" t="str">
        <f aca="false">IF(TRIM(D123)="","",UPPER(TRIM(D123)))</f>
        <v/>
      </c>
      <c r="J123" s="67" t="str">
        <f aca="false">IF(TRIM(E123)="","",UPPER(TRIM(E123)))</f>
        <v/>
      </c>
    </row>
    <row r="124" customFormat="false" ht="14.25" hidden="false" customHeight="true" outlineLevel="0" collapsed="false">
      <c r="C124" s="17" t="str">
        <f aca="false">IF(TRIM(B124)="","",IFERROR(INDEX('Code Aliases'!$B:$B,MATCH(TRIM(B124),'Code Aliases'!$A:$A,0)),TRIM(B124)))</f>
        <v/>
      </c>
      <c r="I124" s="67" t="str">
        <f aca="false">IF(TRIM(D124)="","",UPPER(TRIM(D124)))</f>
        <v/>
      </c>
      <c r="J124" s="67" t="str">
        <f aca="false">IF(TRIM(E124)="","",UPPER(TRIM(E124)))</f>
        <v/>
      </c>
    </row>
    <row r="125" customFormat="false" ht="14.25" hidden="false" customHeight="true" outlineLevel="0" collapsed="false">
      <c r="C125" s="17" t="str">
        <f aca="false">IF(TRIM(B125)="","",IFERROR(INDEX('Code Aliases'!$B:$B,MATCH(TRIM(B125),'Code Aliases'!$A:$A,0)),TRIM(B125)))</f>
        <v/>
      </c>
      <c r="I125" s="67" t="str">
        <f aca="false">IF(TRIM(D125)="","",UPPER(TRIM(D125)))</f>
        <v/>
      </c>
      <c r="J125" s="67" t="str">
        <f aca="false">IF(TRIM(E125)="","",UPPER(TRIM(E125)))</f>
        <v/>
      </c>
    </row>
    <row r="126" customFormat="false" ht="14.25" hidden="false" customHeight="true" outlineLevel="0" collapsed="false">
      <c r="C126" s="17" t="str">
        <f aca="false">IF(TRIM(B126)="","",IFERROR(INDEX('Code Aliases'!$B:$B,MATCH(TRIM(B126),'Code Aliases'!$A:$A,0)),TRIM(B126)))</f>
        <v/>
      </c>
      <c r="I126" s="67" t="str">
        <f aca="false">IF(TRIM(D126)="","",UPPER(TRIM(D126)))</f>
        <v/>
      </c>
      <c r="J126" s="67" t="str">
        <f aca="false">IF(TRIM(E126)="","",UPPER(TRIM(E126)))</f>
        <v/>
      </c>
    </row>
    <row r="127" customFormat="false" ht="14.25" hidden="false" customHeight="true" outlineLevel="0" collapsed="false">
      <c r="C127" s="17" t="str">
        <f aca="false">IF(TRIM(B127)="","",IFERROR(INDEX('Code Aliases'!$B:$B,MATCH(TRIM(B127),'Code Aliases'!$A:$A,0)),TRIM(B127)))</f>
        <v/>
      </c>
      <c r="I127" s="67" t="str">
        <f aca="false">IF(TRIM(D127)="","",UPPER(TRIM(D127)))</f>
        <v/>
      </c>
      <c r="J127" s="67" t="str">
        <f aca="false">IF(TRIM(E127)="","",UPPER(TRIM(E127)))</f>
        <v/>
      </c>
    </row>
    <row r="128" customFormat="false" ht="14.25" hidden="false" customHeight="true" outlineLevel="0" collapsed="false">
      <c r="C128" s="17" t="str">
        <f aca="false">IF(TRIM(B128)="","",IFERROR(INDEX('Code Aliases'!$B:$B,MATCH(TRIM(B128),'Code Aliases'!$A:$A,0)),TRIM(B128)))</f>
        <v/>
      </c>
      <c r="I128" s="67" t="str">
        <f aca="false">IF(TRIM(D128)="","",UPPER(TRIM(D128)))</f>
        <v/>
      </c>
      <c r="J128" s="67" t="str">
        <f aca="false">IF(TRIM(E128)="","",UPPER(TRIM(E128)))</f>
        <v/>
      </c>
    </row>
    <row r="129" customFormat="false" ht="14.25" hidden="false" customHeight="true" outlineLevel="0" collapsed="false">
      <c r="C129" s="17" t="str">
        <f aca="false">IF(TRIM(B129)="","",IFERROR(INDEX('Code Aliases'!$B:$B,MATCH(TRIM(B129),'Code Aliases'!$A:$A,0)),TRIM(B129)))</f>
        <v/>
      </c>
      <c r="I129" s="67" t="str">
        <f aca="false">IF(TRIM(D129)="","",UPPER(TRIM(D129)))</f>
        <v/>
      </c>
      <c r="J129" s="67" t="str">
        <f aca="false">IF(TRIM(E129)="","",UPPER(TRIM(E129)))</f>
        <v/>
      </c>
    </row>
    <row r="130" customFormat="false" ht="14.25" hidden="false" customHeight="true" outlineLevel="0" collapsed="false">
      <c r="C130" s="17" t="str">
        <f aca="false">IF(TRIM(B130)="","",IFERROR(INDEX('Code Aliases'!$B:$B,MATCH(TRIM(B130),'Code Aliases'!$A:$A,0)),TRIM(B130)))</f>
        <v/>
      </c>
      <c r="I130" s="67" t="str">
        <f aca="false">IF(TRIM(D130)="","",UPPER(TRIM(D130)))</f>
        <v/>
      </c>
      <c r="J130" s="67" t="str">
        <f aca="false">IF(TRIM(E130)="","",UPPER(TRIM(E130)))</f>
        <v/>
      </c>
    </row>
    <row r="131" customFormat="false" ht="14.25" hidden="false" customHeight="true" outlineLevel="0" collapsed="false">
      <c r="C131" s="17" t="str">
        <f aca="false">IF(TRIM(B131)="","",IFERROR(INDEX('Code Aliases'!$B:$B,MATCH(TRIM(B131),'Code Aliases'!$A:$A,0)),TRIM(B131)))</f>
        <v/>
      </c>
      <c r="I131" s="67" t="str">
        <f aca="false">IF(TRIM(D131)="","",UPPER(TRIM(D131)))</f>
        <v/>
      </c>
      <c r="J131" s="67" t="str">
        <f aca="false">IF(TRIM(E131)="","",UPPER(TRIM(E131)))</f>
        <v/>
      </c>
    </row>
    <row r="132" customFormat="false" ht="14.25" hidden="false" customHeight="true" outlineLevel="0" collapsed="false">
      <c r="C132" s="17" t="str">
        <f aca="false">IF(TRIM(B132)="","",IFERROR(INDEX('Code Aliases'!$B:$B,MATCH(TRIM(B132),'Code Aliases'!$A:$A,0)),TRIM(B132)))</f>
        <v/>
      </c>
      <c r="I132" s="67" t="str">
        <f aca="false">IF(TRIM(D132)="","",UPPER(TRIM(D132)))</f>
        <v/>
      </c>
      <c r="J132" s="67" t="str">
        <f aca="false">IF(TRIM(E132)="","",UPPER(TRIM(E132)))</f>
        <v/>
      </c>
    </row>
    <row r="133" customFormat="false" ht="14.25" hidden="false" customHeight="true" outlineLevel="0" collapsed="false">
      <c r="C133" s="17" t="str">
        <f aca="false">IF(TRIM(B133)="","",IFERROR(INDEX('Code Aliases'!$B:$B,MATCH(TRIM(B133),'Code Aliases'!$A:$A,0)),TRIM(B133)))</f>
        <v/>
      </c>
      <c r="I133" s="67" t="str">
        <f aca="false">IF(TRIM(D133)="","",UPPER(TRIM(D133)))</f>
        <v/>
      </c>
      <c r="J133" s="67" t="str">
        <f aca="false">IF(TRIM(E133)="","",UPPER(TRIM(E133)))</f>
        <v/>
      </c>
    </row>
    <row r="134" customFormat="false" ht="14.25" hidden="false" customHeight="true" outlineLevel="0" collapsed="false">
      <c r="C134" s="17" t="str">
        <f aca="false">IF(TRIM(B134)="","",IFERROR(INDEX('Code Aliases'!$B:$B,MATCH(TRIM(B134),'Code Aliases'!$A:$A,0)),TRIM(B134)))</f>
        <v/>
      </c>
      <c r="I134" s="67" t="str">
        <f aca="false">IF(TRIM(D134)="","",UPPER(TRIM(D134)))</f>
        <v/>
      </c>
      <c r="J134" s="67" t="str">
        <f aca="false">IF(TRIM(E134)="","",UPPER(TRIM(E134)))</f>
        <v/>
      </c>
    </row>
    <row r="135" customFormat="false" ht="14.25" hidden="false" customHeight="true" outlineLevel="0" collapsed="false">
      <c r="C135" s="17" t="str">
        <f aca="false">IF(TRIM(B135)="","",IFERROR(INDEX('Code Aliases'!$B:$B,MATCH(TRIM(B135),'Code Aliases'!$A:$A,0)),TRIM(B135)))</f>
        <v/>
      </c>
      <c r="I135" s="67" t="str">
        <f aca="false">IF(TRIM(D135)="","",UPPER(TRIM(D135)))</f>
        <v/>
      </c>
      <c r="J135" s="67" t="str">
        <f aca="false">IF(TRIM(E135)="","",UPPER(TRIM(E135)))</f>
        <v/>
      </c>
    </row>
    <row r="136" customFormat="false" ht="14.25" hidden="false" customHeight="true" outlineLevel="0" collapsed="false">
      <c r="C136" s="17" t="str">
        <f aca="false">IF(TRIM(B136)="","",IFERROR(INDEX('Code Aliases'!$B:$B,MATCH(TRIM(B136),'Code Aliases'!$A:$A,0)),TRIM(B136)))</f>
        <v/>
      </c>
      <c r="I136" s="67" t="str">
        <f aca="false">IF(TRIM(D136)="","",UPPER(TRIM(D136)))</f>
        <v/>
      </c>
      <c r="J136" s="67" t="str">
        <f aca="false">IF(TRIM(E136)="","",UPPER(TRIM(E136)))</f>
        <v/>
      </c>
    </row>
    <row r="137" customFormat="false" ht="14.25" hidden="false" customHeight="true" outlineLevel="0" collapsed="false">
      <c r="C137" s="17" t="str">
        <f aca="false">IF(TRIM(B137)="","",IFERROR(INDEX('Code Aliases'!$B:$B,MATCH(TRIM(B137),'Code Aliases'!$A:$A,0)),TRIM(B137)))</f>
        <v/>
      </c>
      <c r="I137" s="67" t="str">
        <f aca="false">IF(TRIM(D137)="","",UPPER(TRIM(D137)))</f>
        <v/>
      </c>
      <c r="J137" s="67" t="str">
        <f aca="false">IF(TRIM(E137)="","",UPPER(TRIM(E137)))</f>
        <v/>
      </c>
    </row>
    <row r="138" customFormat="false" ht="14.25" hidden="false" customHeight="true" outlineLevel="0" collapsed="false">
      <c r="C138" s="17" t="str">
        <f aca="false">IF(TRIM(B138)="","",IFERROR(INDEX('Code Aliases'!$B:$B,MATCH(TRIM(B138),'Code Aliases'!$A:$A,0)),TRIM(B138)))</f>
        <v/>
      </c>
      <c r="I138" s="67" t="str">
        <f aca="false">IF(TRIM(D138)="","",UPPER(TRIM(D138)))</f>
        <v/>
      </c>
      <c r="J138" s="67" t="str">
        <f aca="false">IF(TRIM(E138)="","",UPPER(TRIM(E138)))</f>
        <v/>
      </c>
    </row>
    <row r="139" customFormat="false" ht="14.25" hidden="false" customHeight="true" outlineLevel="0" collapsed="false">
      <c r="C139" s="17" t="str">
        <f aca="false">IF(TRIM(B139)="","",IFERROR(INDEX('Code Aliases'!$B:$B,MATCH(TRIM(B139),'Code Aliases'!$A:$A,0)),TRIM(B139)))</f>
        <v/>
      </c>
      <c r="I139" s="67" t="str">
        <f aca="false">IF(TRIM(D139)="","",UPPER(TRIM(D139)))</f>
        <v/>
      </c>
      <c r="J139" s="67" t="str">
        <f aca="false">IF(TRIM(E139)="","",UPPER(TRIM(E139)))</f>
        <v/>
      </c>
    </row>
    <row r="140" customFormat="false" ht="14.25" hidden="false" customHeight="true" outlineLevel="0" collapsed="false">
      <c r="C140" s="17" t="str">
        <f aca="false">IF(TRIM(B140)="","",IFERROR(INDEX('Code Aliases'!$B:$B,MATCH(TRIM(B140),'Code Aliases'!$A:$A,0)),TRIM(B140)))</f>
        <v/>
      </c>
      <c r="I140" s="67" t="str">
        <f aca="false">IF(TRIM(D140)="","",UPPER(TRIM(D140)))</f>
        <v/>
      </c>
      <c r="J140" s="67" t="str">
        <f aca="false">IF(TRIM(E140)="","",UPPER(TRIM(E140)))</f>
        <v/>
      </c>
    </row>
    <row r="141" customFormat="false" ht="14.25" hidden="false" customHeight="true" outlineLevel="0" collapsed="false">
      <c r="C141" s="17" t="str">
        <f aca="false">IF(TRIM(B141)="","",IFERROR(INDEX('Code Aliases'!$B:$B,MATCH(TRIM(B141),'Code Aliases'!$A:$A,0)),TRIM(B141)))</f>
        <v/>
      </c>
      <c r="I141" s="67" t="str">
        <f aca="false">IF(TRIM(D141)="","",UPPER(TRIM(D141)))</f>
        <v/>
      </c>
      <c r="J141" s="67" t="str">
        <f aca="false">IF(TRIM(E141)="","",UPPER(TRIM(E141)))</f>
        <v/>
      </c>
    </row>
    <row r="142" customFormat="false" ht="14.25" hidden="false" customHeight="true" outlineLevel="0" collapsed="false">
      <c r="C142" s="17" t="str">
        <f aca="false">IF(TRIM(B142)="","",IFERROR(INDEX('Code Aliases'!$B:$B,MATCH(TRIM(B142),'Code Aliases'!$A:$A,0)),TRIM(B142)))</f>
        <v/>
      </c>
      <c r="I142" s="67" t="str">
        <f aca="false">IF(TRIM(D142)="","",UPPER(TRIM(D142)))</f>
        <v/>
      </c>
      <c r="J142" s="67" t="str">
        <f aca="false">IF(TRIM(E142)="","",UPPER(TRIM(E142)))</f>
        <v/>
      </c>
    </row>
    <row r="143" customFormat="false" ht="14.25" hidden="false" customHeight="true" outlineLevel="0" collapsed="false">
      <c r="C143" s="17" t="str">
        <f aca="false">IF(TRIM(B143)="","",IFERROR(INDEX('Code Aliases'!$B:$B,MATCH(TRIM(B143),'Code Aliases'!$A:$A,0)),TRIM(B143)))</f>
        <v/>
      </c>
      <c r="I143" s="67" t="str">
        <f aca="false">IF(TRIM(D143)="","",UPPER(TRIM(D143)))</f>
        <v/>
      </c>
      <c r="J143" s="67" t="str">
        <f aca="false">IF(TRIM(E143)="","",UPPER(TRIM(E143)))</f>
        <v/>
      </c>
    </row>
    <row r="144" customFormat="false" ht="14.25" hidden="false" customHeight="true" outlineLevel="0" collapsed="false">
      <c r="C144" s="17" t="str">
        <f aca="false">IF(TRIM(B144)="","",IFERROR(INDEX('Code Aliases'!$B:$B,MATCH(TRIM(B144),'Code Aliases'!$A:$A,0)),TRIM(B144)))</f>
        <v/>
      </c>
      <c r="I144" s="67" t="str">
        <f aca="false">IF(TRIM(D144)="","",UPPER(TRIM(D144)))</f>
        <v/>
      </c>
      <c r="J144" s="67" t="str">
        <f aca="false">IF(TRIM(E144)="","",UPPER(TRIM(E144)))</f>
        <v/>
      </c>
    </row>
    <row r="145" customFormat="false" ht="14.25" hidden="false" customHeight="true" outlineLevel="0" collapsed="false">
      <c r="C145" s="17" t="str">
        <f aca="false">IF(TRIM(B145)="","",IFERROR(INDEX('Code Aliases'!$B:$B,MATCH(TRIM(B145),'Code Aliases'!$A:$A,0)),TRIM(B145)))</f>
        <v/>
      </c>
      <c r="I145" s="67" t="str">
        <f aca="false">IF(TRIM(D145)="","",UPPER(TRIM(D145)))</f>
        <v/>
      </c>
      <c r="J145" s="67" t="str">
        <f aca="false">IF(TRIM(E145)="","",UPPER(TRIM(E145)))</f>
        <v/>
      </c>
    </row>
    <row r="146" customFormat="false" ht="14.25" hidden="false" customHeight="true" outlineLevel="0" collapsed="false">
      <c r="C146" s="17" t="str">
        <f aca="false">IF(TRIM(B146)="","",IFERROR(INDEX('Code Aliases'!$B:$B,MATCH(TRIM(B146),'Code Aliases'!$A:$A,0)),TRIM(B146)))</f>
        <v/>
      </c>
      <c r="I146" s="67" t="str">
        <f aca="false">IF(TRIM(D146)="","",UPPER(TRIM(D146)))</f>
        <v/>
      </c>
      <c r="J146" s="67" t="str">
        <f aca="false">IF(TRIM(E146)="","",UPPER(TRIM(E146)))</f>
        <v/>
      </c>
    </row>
    <row r="147" customFormat="false" ht="14.25" hidden="false" customHeight="true" outlineLevel="0" collapsed="false">
      <c r="C147" s="17" t="str">
        <f aca="false">IF(TRIM(B147)="","",IFERROR(INDEX('Code Aliases'!$B:$B,MATCH(TRIM(B147),'Code Aliases'!$A:$A,0)),TRIM(B147)))</f>
        <v/>
      </c>
      <c r="I147" s="67" t="str">
        <f aca="false">IF(TRIM(D147)="","",UPPER(TRIM(D147)))</f>
        <v/>
      </c>
      <c r="J147" s="67" t="str">
        <f aca="false">IF(TRIM(E147)="","",UPPER(TRIM(E147)))</f>
        <v/>
      </c>
    </row>
    <row r="148" customFormat="false" ht="14.25" hidden="false" customHeight="true" outlineLevel="0" collapsed="false">
      <c r="C148" s="17" t="str">
        <f aca="false">IF(TRIM(B148)="","",IFERROR(INDEX('Code Aliases'!$B:$B,MATCH(TRIM(B148),'Code Aliases'!$A:$A,0)),TRIM(B148)))</f>
        <v/>
      </c>
      <c r="I148" s="67" t="str">
        <f aca="false">IF(TRIM(D148)="","",UPPER(TRIM(D148)))</f>
        <v/>
      </c>
      <c r="J148" s="67" t="str">
        <f aca="false">IF(TRIM(E148)="","",UPPER(TRIM(E148)))</f>
        <v/>
      </c>
    </row>
    <row r="149" customFormat="false" ht="14.25" hidden="false" customHeight="true" outlineLevel="0" collapsed="false">
      <c r="C149" s="17" t="str">
        <f aca="false">IF(TRIM(B149)="","",IFERROR(INDEX('Code Aliases'!$B:$B,MATCH(TRIM(B149),'Code Aliases'!$A:$A,0)),TRIM(B149)))</f>
        <v/>
      </c>
      <c r="I149" s="67" t="str">
        <f aca="false">IF(TRIM(D149)="","",UPPER(TRIM(D149)))</f>
        <v/>
      </c>
      <c r="J149" s="67" t="str">
        <f aca="false">IF(TRIM(E149)="","",UPPER(TRIM(E149)))</f>
        <v/>
      </c>
    </row>
    <row r="150" customFormat="false" ht="14.25" hidden="false" customHeight="true" outlineLevel="0" collapsed="false">
      <c r="C150" s="17" t="str">
        <f aca="false">IF(TRIM(B150)="","",IFERROR(INDEX('Code Aliases'!$B:$B,MATCH(TRIM(B150),'Code Aliases'!$A:$A,0)),TRIM(B150)))</f>
        <v/>
      </c>
      <c r="I150" s="67" t="str">
        <f aca="false">IF(TRIM(D150)="","",UPPER(TRIM(D150)))</f>
        <v/>
      </c>
      <c r="J150" s="67" t="str">
        <f aca="false">IF(TRIM(E150)="","",UPPER(TRIM(E150)))</f>
        <v/>
      </c>
    </row>
    <row r="151" customFormat="false" ht="14.25" hidden="false" customHeight="true" outlineLevel="0" collapsed="false">
      <c r="C151" s="17" t="str">
        <f aca="false">IF(TRIM(B151)="","",IFERROR(INDEX('Code Aliases'!$B:$B,MATCH(TRIM(B151),'Code Aliases'!$A:$A,0)),TRIM(B151)))</f>
        <v/>
      </c>
      <c r="I151" s="67" t="str">
        <f aca="false">IF(TRIM(D151)="","",UPPER(TRIM(D151)))</f>
        <v/>
      </c>
      <c r="J151" s="67" t="str">
        <f aca="false">IF(TRIM(E151)="","",UPPER(TRIM(E151)))</f>
        <v/>
      </c>
    </row>
    <row r="152" customFormat="false" ht="14.25" hidden="false" customHeight="true" outlineLevel="0" collapsed="false">
      <c r="C152" s="17" t="str">
        <f aca="false">IF(TRIM(B152)="","",IFERROR(INDEX('Code Aliases'!$B:$B,MATCH(TRIM(B152),'Code Aliases'!$A:$A,0)),TRIM(B152)))</f>
        <v/>
      </c>
      <c r="I152" s="67" t="str">
        <f aca="false">IF(TRIM(D152)="","",UPPER(TRIM(D152)))</f>
        <v/>
      </c>
      <c r="J152" s="67" t="str">
        <f aca="false">IF(TRIM(E152)="","",UPPER(TRIM(E152)))</f>
        <v/>
      </c>
    </row>
    <row r="153" customFormat="false" ht="14.25" hidden="false" customHeight="true" outlineLevel="0" collapsed="false">
      <c r="C153" s="17" t="str">
        <f aca="false">IF(TRIM(B153)="","",IFERROR(INDEX('Code Aliases'!$B:$B,MATCH(TRIM(B153),'Code Aliases'!$A:$A,0)),TRIM(B153)))</f>
        <v/>
      </c>
      <c r="I153" s="67" t="str">
        <f aca="false">IF(TRIM(D153)="","",UPPER(TRIM(D153)))</f>
        <v/>
      </c>
      <c r="J153" s="67" t="str">
        <f aca="false">IF(TRIM(E153)="","",UPPER(TRIM(E153)))</f>
        <v/>
      </c>
    </row>
    <row r="154" customFormat="false" ht="14.25" hidden="false" customHeight="true" outlineLevel="0" collapsed="false">
      <c r="C154" s="17" t="str">
        <f aca="false">IF(TRIM(B154)="","",IFERROR(INDEX('Code Aliases'!$B:$B,MATCH(TRIM(B154),'Code Aliases'!$A:$A,0)),TRIM(B154)))</f>
        <v/>
      </c>
      <c r="I154" s="67" t="str">
        <f aca="false">IF(TRIM(D154)="","",UPPER(TRIM(D154)))</f>
        <v/>
      </c>
      <c r="J154" s="67" t="str">
        <f aca="false">IF(TRIM(E154)="","",UPPER(TRIM(E154)))</f>
        <v/>
      </c>
    </row>
    <row r="155" customFormat="false" ht="14.25" hidden="false" customHeight="true" outlineLevel="0" collapsed="false">
      <c r="C155" s="17" t="str">
        <f aca="false">IF(TRIM(B155)="","",IFERROR(INDEX('Code Aliases'!$B:$B,MATCH(TRIM(B155),'Code Aliases'!$A:$A,0)),TRIM(B155)))</f>
        <v/>
      </c>
      <c r="I155" s="67" t="str">
        <f aca="false">IF(TRIM(D155)="","",UPPER(TRIM(D155)))</f>
        <v/>
      </c>
      <c r="J155" s="67" t="str">
        <f aca="false">IF(TRIM(E155)="","",UPPER(TRIM(E155)))</f>
        <v/>
      </c>
    </row>
    <row r="156" customFormat="false" ht="14.25" hidden="false" customHeight="true" outlineLevel="0" collapsed="false">
      <c r="C156" s="17" t="str">
        <f aca="false">IF(TRIM(B156)="","",IFERROR(INDEX('Code Aliases'!$B:$B,MATCH(TRIM(B156),'Code Aliases'!$A:$A,0)),TRIM(B156)))</f>
        <v/>
      </c>
      <c r="I156" s="67" t="str">
        <f aca="false">IF(TRIM(D156)="","",UPPER(TRIM(D156)))</f>
        <v/>
      </c>
      <c r="J156" s="67" t="str">
        <f aca="false">IF(TRIM(E156)="","",UPPER(TRIM(E156)))</f>
        <v/>
      </c>
    </row>
    <row r="157" customFormat="false" ht="14.25" hidden="false" customHeight="true" outlineLevel="0" collapsed="false">
      <c r="C157" s="17" t="str">
        <f aca="false">IF(TRIM(B157)="","",IFERROR(INDEX('Code Aliases'!$B:$B,MATCH(TRIM(B157),'Code Aliases'!$A:$A,0)),TRIM(B157)))</f>
        <v/>
      </c>
      <c r="I157" s="67" t="str">
        <f aca="false">IF(TRIM(D157)="","",UPPER(TRIM(D157)))</f>
        <v/>
      </c>
      <c r="J157" s="67" t="str">
        <f aca="false">IF(TRIM(E157)="","",UPPER(TRIM(E157)))</f>
        <v/>
      </c>
    </row>
    <row r="158" customFormat="false" ht="14.25" hidden="false" customHeight="true" outlineLevel="0" collapsed="false">
      <c r="C158" s="17" t="str">
        <f aca="false">IF(TRIM(B158)="","",IFERROR(INDEX('Code Aliases'!$B:$B,MATCH(TRIM(B158),'Code Aliases'!$A:$A,0)),TRIM(B158)))</f>
        <v/>
      </c>
      <c r="I158" s="67" t="str">
        <f aca="false">IF(TRIM(D158)="","",UPPER(TRIM(D158)))</f>
        <v/>
      </c>
      <c r="J158" s="67" t="str">
        <f aca="false">IF(TRIM(E158)="","",UPPER(TRIM(E158)))</f>
        <v/>
      </c>
    </row>
    <row r="159" customFormat="false" ht="14.25" hidden="false" customHeight="true" outlineLevel="0" collapsed="false">
      <c r="C159" s="17" t="str">
        <f aca="false">IF(TRIM(B159)="","",IFERROR(INDEX('Code Aliases'!$B:$B,MATCH(TRIM(B159),'Code Aliases'!$A:$A,0)),TRIM(B159)))</f>
        <v/>
      </c>
      <c r="I159" s="67" t="str">
        <f aca="false">IF(TRIM(D159)="","",UPPER(TRIM(D159)))</f>
        <v/>
      </c>
      <c r="J159" s="67" t="str">
        <f aca="false">IF(TRIM(E159)="","",UPPER(TRIM(E159)))</f>
        <v/>
      </c>
    </row>
    <row r="160" customFormat="false" ht="14.25" hidden="false" customHeight="true" outlineLevel="0" collapsed="false">
      <c r="C160" s="17" t="str">
        <f aca="false">IF(TRIM(B160)="","",IFERROR(INDEX('Code Aliases'!$B:$B,MATCH(TRIM(B160),'Code Aliases'!$A:$A,0)),TRIM(B160)))</f>
        <v/>
      </c>
      <c r="I160" s="67" t="str">
        <f aca="false">IF(TRIM(D160)="","",UPPER(TRIM(D160)))</f>
        <v/>
      </c>
      <c r="J160" s="67" t="str">
        <f aca="false">IF(TRIM(E160)="","",UPPER(TRIM(E160)))</f>
        <v/>
      </c>
    </row>
    <row r="161" customFormat="false" ht="14.25" hidden="false" customHeight="true" outlineLevel="0" collapsed="false">
      <c r="C161" s="17" t="str">
        <f aca="false">IF(TRIM(B161)="","",IFERROR(INDEX('Code Aliases'!$B:$B,MATCH(TRIM(B161),'Code Aliases'!$A:$A,0)),TRIM(B161)))</f>
        <v/>
      </c>
      <c r="I161" s="67" t="str">
        <f aca="false">IF(TRIM(D161)="","",UPPER(TRIM(D161)))</f>
        <v/>
      </c>
      <c r="J161" s="67" t="str">
        <f aca="false">IF(TRIM(E161)="","",UPPER(TRIM(E161)))</f>
        <v/>
      </c>
    </row>
    <row r="162" customFormat="false" ht="14.25" hidden="false" customHeight="true" outlineLevel="0" collapsed="false">
      <c r="C162" s="17" t="str">
        <f aca="false">IF(TRIM(B162)="","",IFERROR(INDEX('Code Aliases'!$B:$B,MATCH(TRIM(B162),'Code Aliases'!$A:$A,0)),TRIM(B162)))</f>
        <v/>
      </c>
      <c r="I162" s="67" t="str">
        <f aca="false">IF(TRIM(D162)="","",UPPER(TRIM(D162)))</f>
        <v/>
      </c>
      <c r="J162" s="67" t="str">
        <f aca="false">IF(TRIM(E162)="","",UPPER(TRIM(E162)))</f>
        <v/>
      </c>
    </row>
    <row r="163" customFormat="false" ht="14.25" hidden="false" customHeight="true" outlineLevel="0" collapsed="false">
      <c r="C163" s="17" t="str">
        <f aca="false">IF(TRIM(B163)="","",IFERROR(INDEX('Code Aliases'!$B:$B,MATCH(TRIM(B163),'Code Aliases'!$A:$A,0)),TRIM(B163)))</f>
        <v/>
      </c>
      <c r="I163" s="67" t="str">
        <f aca="false">IF(TRIM(D163)="","",UPPER(TRIM(D163)))</f>
        <v/>
      </c>
      <c r="J163" s="67" t="str">
        <f aca="false">IF(TRIM(E163)="","",UPPER(TRIM(E163)))</f>
        <v/>
      </c>
    </row>
    <row r="164" customFormat="false" ht="14.25" hidden="false" customHeight="true" outlineLevel="0" collapsed="false">
      <c r="C164" s="17" t="str">
        <f aca="false">IF(TRIM(B164)="","",IFERROR(INDEX('Code Aliases'!$B:$B,MATCH(TRIM(B164),'Code Aliases'!$A:$A,0)),TRIM(B164)))</f>
        <v/>
      </c>
      <c r="I164" s="67" t="str">
        <f aca="false">IF(TRIM(D164)="","",UPPER(TRIM(D164)))</f>
        <v/>
      </c>
      <c r="J164" s="67" t="str">
        <f aca="false">IF(TRIM(E164)="","",UPPER(TRIM(E164)))</f>
        <v/>
      </c>
    </row>
    <row r="165" customFormat="false" ht="14.25" hidden="false" customHeight="true" outlineLevel="0" collapsed="false">
      <c r="C165" s="17" t="str">
        <f aca="false">IF(TRIM(B165)="","",IFERROR(INDEX('Code Aliases'!$B:$B,MATCH(TRIM(B165),'Code Aliases'!$A:$A,0)),TRIM(B165)))</f>
        <v/>
      </c>
      <c r="I165" s="67" t="str">
        <f aca="false">IF(TRIM(D165)="","",UPPER(TRIM(D165)))</f>
        <v/>
      </c>
      <c r="J165" s="67" t="str">
        <f aca="false">IF(TRIM(E165)="","",UPPER(TRIM(E165)))</f>
        <v/>
      </c>
    </row>
    <row r="166" customFormat="false" ht="14.25" hidden="false" customHeight="true" outlineLevel="0" collapsed="false">
      <c r="C166" s="17" t="str">
        <f aca="false">IF(TRIM(B166)="","",IFERROR(INDEX('Code Aliases'!$B:$B,MATCH(TRIM(B166),'Code Aliases'!$A:$A,0)),TRIM(B166)))</f>
        <v/>
      </c>
      <c r="I166" s="67" t="str">
        <f aca="false">IF(TRIM(D166)="","",UPPER(TRIM(D166)))</f>
        <v/>
      </c>
      <c r="J166" s="67" t="str">
        <f aca="false">IF(TRIM(E166)="","",UPPER(TRIM(E166)))</f>
        <v/>
      </c>
    </row>
    <row r="167" customFormat="false" ht="14.25" hidden="false" customHeight="true" outlineLevel="0" collapsed="false">
      <c r="C167" s="17" t="str">
        <f aca="false">IF(TRIM(B167)="","",IFERROR(INDEX('Code Aliases'!$B:$B,MATCH(TRIM(B167),'Code Aliases'!$A:$A,0)),TRIM(B167)))</f>
        <v/>
      </c>
      <c r="I167" s="67" t="str">
        <f aca="false">IF(TRIM(D167)="","",UPPER(TRIM(D167)))</f>
        <v/>
      </c>
      <c r="J167" s="67" t="str">
        <f aca="false">IF(TRIM(E167)="","",UPPER(TRIM(E167)))</f>
        <v/>
      </c>
    </row>
    <row r="168" customFormat="false" ht="14.25" hidden="false" customHeight="true" outlineLevel="0" collapsed="false">
      <c r="C168" s="17" t="str">
        <f aca="false">IF(TRIM(B168)="","",IFERROR(INDEX('Code Aliases'!$B:$B,MATCH(TRIM(B168),'Code Aliases'!$A:$A,0)),TRIM(B168)))</f>
        <v/>
      </c>
      <c r="I168" s="67" t="str">
        <f aca="false">IF(TRIM(D168)="","",UPPER(TRIM(D168)))</f>
        <v/>
      </c>
      <c r="J168" s="67" t="str">
        <f aca="false">IF(TRIM(E168)="","",UPPER(TRIM(E168)))</f>
        <v/>
      </c>
    </row>
    <row r="169" customFormat="false" ht="14.25" hidden="false" customHeight="true" outlineLevel="0" collapsed="false">
      <c r="C169" s="17" t="str">
        <f aca="false">IF(TRIM(B169)="","",IFERROR(INDEX('Code Aliases'!$B:$B,MATCH(TRIM(B169),'Code Aliases'!$A:$A,0)),TRIM(B169)))</f>
        <v/>
      </c>
      <c r="I169" s="67" t="str">
        <f aca="false">IF(TRIM(D169)="","",UPPER(TRIM(D169)))</f>
        <v/>
      </c>
      <c r="J169" s="67" t="str">
        <f aca="false">IF(TRIM(E169)="","",UPPER(TRIM(E169)))</f>
        <v/>
      </c>
    </row>
    <row r="170" customFormat="false" ht="14.25" hidden="false" customHeight="true" outlineLevel="0" collapsed="false">
      <c r="C170" s="17" t="str">
        <f aca="false">IF(TRIM(B170)="","",IFERROR(INDEX('Code Aliases'!$B:$B,MATCH(TRIM(B170),'Code Aliases'!$A:$A,0)),TRIM(B170)))</f>
        <v/>
      </c>
      <c r="I170" s="67" t="str">
        <f aca="false">IF(TRIM(D170)="","",UPPER(TRIM(D170)))</f>
        <v/>
      </c>
      <c r="J170" s="67" t="str">
        <f aca="false">IF(TRIM(E170)="","",UPPER(TRIM(E170)))</f>
        <v/>
      </c>
    </row>
    <row r="171" customFormat="false" ht="14.25" hidden="false" customHeight="true" outlineLevel="0" collapsed="false">
      <c r="C171" s="17" t="str">
        <f aca="false">IF(TRIM(B171)="","",IFERROR(INDEX('Code Aliases'!$B:$B,MATCH(TRIM(B171),'Code Aliases'!$A:$A,0)),TRIM(B171)))</f>
        <v/>
      </c>
      <c r="I171" s="67" t="str">
        <f aca="false">IF(TRIM(D171)="","",UPPER(TRIM(D171)))</f>
        <v/>
      </c>
      <c r="J171" s="67" t="str">
        <f aca="false">IF(TRIM(E171)="","",UPPER(TRIM(E171)))</f>
        <v/>
      </c>
    </row>
    <row r="172" customFormat="false" ht="14.25" hidden="false" customHeight="true" outlineLevel="0" collapsed="false">
      <c r="C172" s="17" t="str">
        <f aca="false">IF(TRIM(B172)="","",IFERROR(INDEX('Code Aliases'!$B:$B,MATCH(TRIM(B172),'Code Aliases'!$A:$A,0)),TRIM(B172)))</f>
        <v/>
      </c>
      <c r="I172" s="67" t="str">
        <f aca="false">IF(TRIM(D172)="","",UPPER(TRIM(D172)))</f>
        <v/>
      </c>
      <c r="J172" s="67" t="str">
        <f aca="false">IF(TRIM(E172)="","",UPPER(TRIM(E172)))</f>
        <v/>
      </c>
    </row>
    <row r="173" customFormat="false" ht="14.25" hidden="false" customHeight="true" outlineLevel="0" collapsed="false">
      <c r="C173" s="17" t="str">
        <f aca="false">IF(TRIM(B173)="","",IFERROR(INDEX('Code Aliases'!$B:$B,MATCH(TRIM(B173),'Code Aliases'!$A:$A,0)),TRIM(B173)))</f>
        <v/>
      </c>
      <c r="I173" s="67" t="str">
        <f aca="false">IF(TRIM(D173)="","",UPPER(TRIM(D173)))</f>
        <v/>
      </c>
      <c r="J173" s="67" t="str">
        <f aca="false">IF(TRIM(E173)="","",UPPER(TRIM(E173)))</f>
        <v/>
      </c>
    </row>
    <row r="174" customFormat="false" ht="14.25" hidden="false" customHeight="true" outlineLevel="0" collapsed="false">
      <c r="C174" s="17" t="str">
        <f aca="false">IF(TRIM(B174)="","",IFERROR(INDEX('Code Aliases'!$B:$B,MATCH(TRIM(B174),'Code Aliases'!$A:$A,0)),TRIM(B174)))</f>
        <v/>
      </c>
      <c r="I174" s="67" t="str">
        <f aca="false">IF(TRIM(D174)="","",UPPER(TRIM(D174)))</f>
        <v/>
      </c>
      <c r="J174" s="67" t="str">
        <f aca="false">IF(TRIM(E174)="","",UPPER(TRIM(E174)))</f>
        <v/>
      </c>
    </row>
    <row r="175" customFormat="false" ht="14.25" hidden="false" customHeight="true" outlineLevel="0" collapsed="false">
      <c r="C175" s="17" t="str">
        <f aca="false">IF(TRIM(B175)="","",IFERROR(INDEX('Code Aliases'!$B:$B,MATCH(TRIM(B175),'Code Aliases'!$A:$A,0)),TRIM(B175)))</f>
        <v/>
      </c>
      <c r="I175" s="67" t="str">
        <f aca="false">IF(TRIM(D175)="","",UPPER(TRIM(D175)))</f>
        <v/>
      </c>
      <c r="J175" s="67" t="str">
        <f aca="false">IF(TRIM(E175)="","",UPPER(TRIM(E175)))</f>
        <v/>
      </c>
    </row>
    <row r="176" customFormat="false" ht="14.25" hidden="false" customHeight="true" outlineLevel="0" collapsed="false">
      <c r="C176" s="17" t="str">
        <f aca="false">IF(TRIM(B176)="","",IFERROR(INDEX('Code Aliases'!$B:$B,MATCH(TRIM(B176),'Code Aliases'!$A:$A,0)),TRIM(B176)))</f>
        <v/>
      </c>
      <c r="I176" s="67" t="str">
        <f aca="false">IF(TRIM(D176)="","",UPPER(TRIM(D176)))</f>
        <v/>
      </c>
      <c r="J176" s="67" t="str">
        <f aca="false">IF(TRIM(E176)="","",UPPER(TRIM(E176)))</f>
        <v/>
      </c>
    </row>
    <row r="177" customFormat="false" ht="14.25" hidden="false" customHeight="true" outlineLevel="0" collapsed="false">
      <c r="C177" s="17" t="str">
        <f aca="false">IF(TRIM(B177)="","",IFERROR(INDEX('Code Aliases'!$B:$B,MATCH(TRIM(B177),'Code Aliases'!$A:$A,0)),TRIM(B177)))</f>
        <v/>
      </c>
      <c r="I177" s="67" t="str">
        <f aca="false">IF(TRIM(D177)="","",UPPER(TRIM(D177)))</f>
        <v/>
      </c>
      <c r="J177" s="67" t="str">
        <f aca="false">IF(TRIM(E177)="","",UPPER(TRIM(E177)))</f>
        <v/>
      </c>
    </row>
    <row r="178" customFormat="false" ht="14.25" hidden="false" customHeight="true" outlineLevel="0" collapsed="false">
      <c r="C178" s="17" t="str">
        <f aca="false">IF(TRIM(B178)="","",IFERROR(INDEX('Code Aliases'!$B:$B,MATCH(TRIM(B178),'Code Aliases'!$A:$A,0)),TRIM(B178)))</f>
        <v/>
      </c>
      <c r="I178" s="67" t="str">
        <f aca="false">IF(TRIM(D178)="","",UPPER(TRIM(D178)))</f>
        <v/>
      </c>
      <c r="J178" s="67" t="str">
        <f aca="false">IF(TRIM(E178)="","",UPPER(TRIM(E178)))</f>
        <v/>
      </c>
    </row>
    <row r="179" customFormat="false" ht="14.25" hidden="false" customHeight="true" outlineLevel="0" collapsed="false">
      <c r="C179" s="17" t="str">
        <f aca="false">IF(TRIM(B179)="","",IFERROR(INDEX('Code Aliases'!$B:$B,MATCH(TRIM(B179),'Code Aliases'!$A:$A,0)),TRIM(B179)))</f>
        <v/>
      </c>
      <c r="I179" s="67" t="str">
        <f aca="false">IF(TRIM(D179)="","",UPPER(TRIM(D179)))</f>
        <v/>
      </c>
      <c r="J179" s="67" t="str">
        <f aca="false">IF(TRIM(E179)="","",UPPER(TRIM(E179)))</f>
        <v/>
      </c>
    </row>
    <row r="180" customFormat="false" ht="14.25" hidden="false" customHeight="true" outlineLevel="0" collapsed="false">
      <c r="C180" s="17" t="str">
        <f aca="false">IF(TRIM(B180)="","",IFERROR(INDEX('Code Aliases'!$B:$B,MATCH(TRIM(B180),'Code Aliases'!$A:$A,0)),TRIM(B180)))</f>
        <v/>
      </c>
      <c r="I180" s="67" t="str">
        <f aca="false">IF(TRIM(D180)="","",UPPER(TRIM(D180)))</f>
        <v/>
      </c>
      <c r="J180" s="67" t="str">
        <f aca="false">IF(TRIM(E180)="","",UPPER(TRIM(E180)))</f>
        <v/>
      </c>
    </row>
    <row r="181" customFormat="false" ht="14.25" hidden="false" customHeight="true" outlineLevel="0" collapsed="false">
      <c r="C181" s="17" t="str">
        <f aca="false">IF(TRIM(B181)="","",IFERROR(INDEX('Code Aliases'!$B:$B,MATCH(TRIM(B181),'Code Aliases'!$A:$A,0)),TRIM(B181)))</f>
        <v/>
      </c>
      <c r="I181" s="67" t="str">
        <f aca="false">IF(TRIM(D181)="","",UPPER(TRIM(D181)))</f>
        <v/>
      </c>
      <c r="J181" s="67" t="str">
        <f aca="false">IF(TRIM(E181)="","",UPPER(TRIM(E181)))</f>
        <v/>
      </c>
    </row>
    <row r="182" customFormat="false" ht="14.25" hidden="false" customHeight="true" outlineLevel="0" collapsed="false">
      <c r="C182" s="17" t="str">
        <f aca="false">IF(TRIM(B182)="","",IFERROR(INDEX('Code Aliases'!$B:$B,MATCH(TRIM(B182),'Code Aliases'!$A:$A,0)),TRIM(B182)))</f>
        <v/>
      </c>
      <c r="I182" s="67" t="str">
        <f aca="false">IF(TRIM(D182)="","",UPPER(TRIM(D182)))</f>
        <v/>
      </c>
      <c r="J182" s="67" t="str">
        <f aca="false">IF(TRIM(E182)="","",UPPER(TRIM(E182)))</f>
        <v/>
      </c>
    </row>
    <row r="183" customFormat="false" ht="14.25" hidden="false" customHeight="true" outlineLevel="0" collapsed="false">
      <c r="C183" s="17" t="str">
        <f aca="false">IF(TRIM(B183)="","",IFERROR(INDEX('Code Aliases'!$B:$B,MATCH(TRIM(B183),'Code Aliases'!$A:$A,0)),TRIM(B183)))</f>
        <v/>
      </c>
      <c r="I183" s="67" t="str">
        <f aca="false">IF(TRIM(D183)="","",UPPER(TRIM(D183)))</f>
        <v/>
      </c>
      <c r="J183" s="67" t="str">
        <f aca="false">IF(TRIM(E183)="","",UPPER(TRIM(E183)))</f>
        <v/>
      </c>
    </row>
    <row r="184" customFormat="false" ht="14.25" hidden="false" customHeight="true" outlineLevel="0" collapsed="false">
      <c r="C184" s="17" t="str">
        <f aca="false">IF(TRIM(B184)="","",IFERROR(INDEX('Code Aliases'!$B:$B,MATCH(TRIM(B184),'Code Aliases'!$A:$A,0)),TRIM(B184)))</f>
        <v/>
      </c>
      <c r="I184" s="67" t="str">
        <f aca="false">IF(TRIM(D184)="","",UPPER(TRIM(D184)))</f>
        <v/>
      </c>
      <c r="J184" s="67" t="str">
        <f aca="false">IF(TRIM(E184)="","",UPPER(TRIM(E184)))</f>
        <v/>
      </c>
    </row>
    <row r="185" customFormat="false" ht="14.25" hidden="false" customHeight="true" outlineLevel="0" collapsed="false">
      <c r="C185" s="17" t="str">
        <f aca="false">IF(TRIM(B185)="","",IFERROR(INDEX('Code Aliases'!$B:$B,MATCH(TRIM(B185),'Code Aliases'!$A:$A,0)),TRIM(B185)))</f>
        <v/>
      </c>
      <c r="I185" s="67" t="str">
        <f aca="false">IF(TRIM(D185)="","",UPPER(TRIM(D185)))</f>
        <v/>
      </c>
      <c r="J185" s="67" t="str">
        <f aca="false">IF(TRIM(E185)="","",UPPER(TRIM(E185)))</f>
        <v/>
      </c>
    </row>
    <row r="186" customFormat="false" ht="14.25" hidden="false" customHeight="true" outlineLevel="0" collapsed="false">
      <c r="C186" s="17" t="str">
        <f aca="false">IF(TRIM(B186)="","",IFERROR(INDEX('Code Aliases'!$B:$B,MATCH(TRIM(B186),'Code Aliases'!$A:$A,0)),TRIM(B186)))</f>
        <v/>
      </c>
      <c r="I186" s="67" t="str">
        <f aca="false">IF(TRIM(D186)="","",UPPER(TRIM(D186)))</f>
        <v/>
      </c>
      <c r="J186" s="67" t="str">
        <f aca="false">IF(TRIM(E186)="","",UPPER(TRIM(E186)))</f>
        <v/>
      </c>
    </row>
    <row r="187" customFormat="false" ht="14.25" hidden="false" customHeight="true" outlineLevel="0" collapsed="false">
      <c r="C187" s="17" t="str">
        <f aca="false">IF(TRIM(B187)="","",IFERROR(INDEX('Code Aliases'!$B:$B,MATCH(TRIM(B187),'Code Aliases'!$A:$A,0)),TRIM(B187)))</f>
        <v/>
      </c>
      <c r="I187" s="67" t="str">
        <f aca="false">IF(TRIM(D187)="","",UPPER(TRIM(D187)))</f>
        <v/>
      </c>
      <c r="J187" s="67" t="str">
        <f aca="false">IF(TRIM(E187)="","",UPPER(TRIM(E187)))</f>
        <v/>
      </c>
    </row>
    <row r="188" customFormat="false" ht="14.25" hidden="false" customHeight="true" outlineLevel="0" collapsed="false">
      <c r="C188" s="17" t="str">
        <f aca="false">IF(TRIM(B188)="","",IFERROR(INDEX('Code Aliases'!$B:$B,MATCH(TRIM(B188),'Code Aliases'!$A:$A,0)),TRIM(B188)))</f>
        <v/>
      </c>
      <c r="I188" s="67" t="str">
        <f aca="false">IF(TRIM(D188)="","",UPPER(TRIM(D188)))</f>
        <v/>
      </c>
      <c r="J188" s="67" t="str">
        <f aca="false">IF(TRIM(E188)="","",UPPER(TRIM(E188)))</f>
        <v/>
      </c>
    </row>
    <row r="189" customFormat="false" ht="14.25" hidden="false" customHeight="true" outlineLevel="0" collapsed="false">
      <c r="C189" s="17" t="str">
        <f aca="false">IF(TRIM(B189)="","",IFERROR(INDEX('Code Aliases'!$B:$B,MATCH(TRIM(B189),'Code Aliases'!$A:$A,0)),TRIM(B189)))</f>
        <v/>
      </c>
      <c r="I189" s="67" t="str">
        <f aca="false">IF(TRIM(D189)="","",UPPER(TRIM(D189)))</f>
        <v/>
      </c>
      <c r="J189" s="67" t="str">
        <f aca="false">IF(TRIM(E189)="","",UPPER(TRIM(E189)))</f>
        <v/>
      </c>
    </row>
    <row r="190" customFormat="false" ht="14.25" hidden="false" customHeight="true" outlineLevel="0" collapsed="false">
      <c r="C190" s="17" t="str">
        <f aca="false">IF(TRIM(B190)="","",IFERROR(INDEX('Code Aliases'!$B:$B,MATCH(TRIM(B190),'Code Aliases'!$A:$A,0)),TRIM(B190)))</f>
        <v/>
      </c>
      <c r="I190" s="67" t="str">
        <f aca="false">IF(TRIM(D190)="","",UPPER(TRIM(D190)))</f>
        <v/>
      </c>
      <c r="J190" s="67" t="str">
        <f aca="false">IF(TRIM(E190)="","",UPPER(TRIM(E190)))</f>
        <v/>
      </c>
    </row>
    <row r="191" customFormat="false" ht="14.25" hidden="false" customHeight="true" outlineLevel="0" collapsed="false">
      <c r="C191" s="17" t="str">
        <f aca="false">IF(TRIM(B191)="","",IFERROR(INDEX('Code Aliases'!$B:$B,MATCH(TRIM(B191),'Code Aliases'!$A:$A,0)),TRIM(B191)))</f>
        <v/>
      </c>
      <c r="I191" s="67" t="str">
        <f aca="false">IF(TRIM(D191)="","",UPPER(TRIM(D191)))</f>
        <v/>
      </c>
      <c r="J191" s="67" t="str">
        <f aca="false">IF(TRIM(E191)="","",UPPER(TRIM(E191)))</f>
        <v/>
      </c>
    </row>
    <row r="192" customFormat="false" ht="14.25" hidden="false" customHeight="true" outlineLevel="0" collapsed="false">
      <c r="C192" s="17" t="str">
        <f aca="false">IF(TRIM(B192)="","",IFERROR(INDEX('Code Aliases'!$B:$B,MATCH(TRIM(B192),'Code Aliases'!$A:$A,0)),TRIM(B192)))</f>
        <v/>
      </c>
      <c r="I192" s="67" t="str">
        <f aca="false">IF(TRIM(D192)="","",UPPER(TRIM(D192)))</f>
        <v/>
      </c>
      <c r="J192" s="67" t="str">
        <f aca="false">IF(TRIM(E192)="","",UPPER(TRIM(E192)))</f>
        <v/>
      </c>
    </row>
    <row r="193" customFormat="false" ht="14.25" hidden="false" customHeight="true" outlineLevel="0" collapsed="false">
      <c r="C193" s="17" t="str">
        <f aca="false">IF(TRIM(B193)="","",IFERROR(INDEX('Code Aliases'!$B:$B,MATCH(TRIM(B193),'Code Aliases'!$A:$A,0)),TRIM(B193)))</f>
        <v/>
      </c>
      <c r="I193" s="67" t="str">
        <f aca="false">IF(TRIM(D193)="","",UPPER(TRIM(D193)))</f>
        <v/>
      </c>
      <c r="J193" s="67" t="str">
        <f aca="false">IF(TRIM(E193)="","",UPPER(TRIM(E193)))</f>
        <v/>
      </c>
    </row>
    <row r="194" customFormat="false" ht="14.25" hidden="false" customHeight="true" outlineLevel="0" collapsed="false">
      <c r="C194" s="17" t="str">
        <f aca="false">IF(TRIM(B194)="","",IFERROR(INDEX('Code Aliases'!$B:$B,MATCH(TRIM(B194),'Code Aliases'!$A:$A,0)),TRIM(B194)))</f>
        <v/>
      </c>
      <c r="I194" s="67" t="str">
        <f aca="false">IF(TRIM(D194)="","",UPPER(TRIM(D194)))</f>
        <v/>
      </c>
      <c r="J194" s="67" t="str">
        <f aca="false">IF(TRIM(E194)="","",UPPER(TRIM(E194)))</f>
        <v/>
      </c>
    </row>
    <row r="195" customFormat="false" ht="14.25" hidden="false" customHeight="true" outlineLevel="0" collapsed="false">
      <c r="C195" s="17" t="str">
        <f aca="false">IF(TRIM(B195)="","",IFERROR(INDEX('Code Aliases'!$B:$B,MATCH(TRIM(B195),'Code Aliases'!$A:$A,0)),TRIM(B195)))</f>
        <v/>
      </c>
      <c r="I195" s="67" t="str">
        <f aca="false">IF(TRIM(D195)="","",UPPER(TRIM(D195)))</f>
        <v/>
      </c>
      <c r="J195" s="67" t="str">
        <f aca="false">IF(TRIM(E195)="","",UPPER(TRIM(E195)))</f>
        <v/>
      </c>
    </row>
    <row r="196" customFormat="false" ht="14.25" hidden="false" customHeight="true" outlineLevel="0" collapsed="false">
      <c r="C196" s="17" t="str">
        <f aca="false">IF(TRIM(B196)="","",IFERROR(INDEX('Code Aliases'!$B:$B,MATCH(TRIM(B196),'Code Aliases'!$A:$A,0)),TRIM(B196)))</f>
        <v/>
      </c>
      <c r="I196" s="67" t="str">
        <f aca="false">IF(TRIM(D196)="","",UPPER(TRIM(D196)))</f>
        <v/>
      </c>
      <c r="J196" s="67" t="str">
        <f aca="false">IF(TRIM(E196)="","",UPPER(TRIM(E196)))</f>
        <v/>
      </c>
    </row>
    <row r="197" customFormat="false" ht="14.25" hidden="false" customHeight="true" outlineLevel="0" collapsed="false">
      <c r="C197" s="17" t="str">
        <f aca="false">IF(TRIM(B197)="","",IFERROR(INDEX('Code Aliases'!$B:$B,MATCH(TRIM(B197),'Code Aliases'!$A:$A,0)),TRIM(B197)))</f>
        <v/>
      </c>
      <c r="I197" s="67" t="str">
        <f aca="false">IF(TRIM(D197)="","",UPPER(TRIM(D197)))</f>
        <v/>
      </c>
      <c r="J197" s="67" t="str">
        <f aca="false">IF(TRIM(E197)="","",UPPER(TRIM(E197)))</f>
        <v/>
      </c>
    </row>
    <row r="198" customFormat="false" ht="14.25" hidden="false" customHeight="true" outlineLevel="0" collapsed="false">
      <c r="C198" s="17" t="str">
        <f aca="false">IF(TRIM(B198)="","",IFERROR(INDEX('Code Aliases'!$B:$B,MATCH(TRIM(B198),'Code Aliases'!$A:$A,0)),TRIM(B198)))</f>
        <v/>
      </c>
      <c r="I198" s="67" t="str">
        <f aca="false">IF(TRIM(D198)="","",UPPER(TRIM(D198)))</f>
        <v/>
      </c>
      <c r="J198" s="67" t="str">
        <f aca="false">IF(TRIM(E198)="","",UPPER(TRIM(E198)))</f>
        <v/>
      </c>
    </row>
    <row r="199" customFormat="false" ht="14.25" hidden="false" customHeight="true" outlineLevel="0" collapsed="false">
      <c r="C199" s="17" t="str">
        <f aca="false">IF(TRIM(B199)="","",IFERROR(INDEX('Code Aliases'!$B:$B,MATCH(TRIM(B199),'Code Aliases'!$A:$A,0)),TRIM(B199)))</f>
        <v/>
      </c>
      <c r="I199" s="67" t="str">
        <f aca="false">IF(TRIM(D199)="","",UPPER(TRIM(D199)))</f>
        <v/>
      </c>
      <c r="J199" s="67" t="str">
        <f aca="false">IF(TRIM(E199)="","",UPPER(TRIM(E199)))</f>
        <v/>
      </c>
    </row>
    <row r="200" customFormat="false" ht="14.25" hidden="false" customHeight="true" outlineLevel="0" collapsed="false">
      <c r="C200" s="17" t="str">
        <f aca="false">IF(TRIM(B200)="","",IFERROR(INDEX('Code Aliases'!$B:$B,MATCH(TRIM(B200),'Code Aliases'!$A:$A,0)),TRIM(B200)))</f>
        <v/>
      </c>
      <c r="I200" s="67" t="str">
        <f aca="false">IF(TRIM(D200)="","",UPPER(TRIM(D200)))</f>
        <v/>
      </c>
      <c r="J200" s="67" t="str">
        <f aca="false">IF(TRIM(E200)="","",UPPER(TRIM(E200)))</f>
        <v/>
      </c>
    </row>
    <row r="201" customFormat="false" ht="14.25" hidden="false" customHeight="true" outlineLevel="0" collapsed="false">
      <c r="C201" s="17" t="str">
        <f aca="false">IF(TRIM(B201)="","",IFERROR(INDEX('Code Aliases'!$B:$B,MATCH(TRIM(B201),'Code Aliases'!$A:$A,0)),TRIM(B201)))</f>
        <v/>
      </c>
      <c r="I201" s="67" t="str">
        <f aca="false">IF(TRIM(D201)="","",UPPER(TRIM(D201)))</f>
        <v/>
      </c>
      <c r="J201" s="67" t="str">
        <f aca="false">IF(TRIM(E201)="","",UPPER(TRIM(E201)))</f>
        <v/>
      </c>
    </row>
    <row r="202" customFormat="false" ht="14.25" hidden="false" customHeight="true" outlineLevel="0" collapsed="false">
      <c r="C202" s="17" t="str">
        <f aca="false">IF(TRIM(B202)="","",IFERROR(INDEX('Code Aliases'!$B:$B,MATCH(TRIM(B202),'Code Aliases'!$A:$A,0)),TRIM(B202)))</f>
        <v/>
      </c>
      <c r="I202" s="67" t="str">
        <f aca="false">IF(TRIM(D202)="","",UPPER(TRIM(D202)))</f>
        <v/>
      </c>
      <c r="J202" s="67" t="str">
        <f aca="false">IF(TRIM(E202)="","",UPPER(TRIM(E202)))</f>
        <v/>
      </c>
    </row>
    <row r="203" customFormat="false" ht="14.25" hidden="false" customHeight="true" outlineLevel="0" collapsed="false">
      <c r="C203" s="17" t="str">
        <f aca="false">IF(TRIM(B203)="","",IFERROR(INDEX('Code Aliases'!$B:$B,MATCH(TRIM(B203),'Code Aliases'!$A:$A,0)),TRIM(B203)))</f>
        <v/>
      </c>
      <c r="I203" s="67" t="str">
        <f aca="false">IF(TRIM(D203)="","",UPPER(TRIM(D203)))</f>
        <v/>
      </c>
      <c r="J203" s="67" t="str">
        <f aca="false">IF(TRIM(E203)="","",UPPER(TRIM(E203)))</f>
        <v/>
      </c>
    </row>
    <row r="204" customFormat="false" ht="14.25" hidden="false" customHeight="true" outlineLevel="0" collapsed="false">
      <c r="C204" s="17" t="str">
        <f aca="false">IF(TRIM(B204)="","",IFERROR(INDEX('Code Aliases'!$B:$B,MATCH(TRIM(B204),'Code Aliases'!$A:$A,0)),TRIM(B204)))</f>
        <v/>
      </c>
      <c r="I204" s="67" t="str">
        <f aca="false">IF(TRIM(D204)="","",UPPER(TRIM(D204)))</f>
        <v/>
      </c>
      <c r="J204" s="67" t="str">
        <f aca="false">IF(TRIM(E204)="","",UPPER(TRIM(E204)))</f>
        <v/>
      </c>
    </row>
    <row r="205" customFormat="false" ht="14.25" hidden="false" customHeight="true" outlineLevel="0" collapsed="false">
      <c r="C205" s="17" t="str">
        <f aca="false">IF(TRIM(B205)="","",IFERROR(INDEX('Code Aliases'!$B:$B,MATCH(TRIM(B205),'Code Aliases'!$A:$A,0)),TRIM(B205)))</f>
        <v/>
      </c>
      <c r="I205" s="67" t="str">
        <f aca="false">IF(TRIM(D205)="","",UPPER(TRIM(D205)))</f>
        <v/>
      </c>
      <c r="J205" s="67" t="str">
        <f aca="false">IF(TRIM(E205)="","",UPPER(TRIM(E205)))</f>
        <v/>
      </c>
    </row>
    <row r="206" customFormat="false" ht="14.25" hidden="false" customHeight="true" outlineLevel="0" collapsed="false">
      <c r="C206" s="17" t="str">
        <f aca="false">IF(TRIM(B206)="","",IFERROR(INDEX('Code Aliases'!$B:$B,MATCH(TRIM(B206),'Code Aliases'!$A:$A,0)),TRIM(B206)))</f>
        <v/>
      </c>
      <c r="I206" s="67" t="str">
        <f aca="false">IF(TRIM(D206)="","",UPPER(TRIM(D206)))</f>
        <v/>
      </c>
      <c r="J206" s="67" t="str">
        <f aca="false">IF(TRIM(E206)="","",UPPER(TRIM(E206)))</f>
        <v/>
      </c>
    </row>
    <row r="207" customFormat="false" ht="14.25" hidden="false" customHeight="true" outlineLevel="0" collapsed="false">
      <c r="C207" s="17" t="str">
        <f aca="false">IF(TRIM(B207)="","",IFERROR(INDEX('Code Aliases'!$B:$B,MATCH(TRIM(B207),'Code Aliases'!$A:$A,0)),TRIM(B207)))</f>
        <v/>
      </c>
      <c r="I207" s="67" t="str">
        <f aca="false">IF(TRIM(D207)="","",UPPER(TRIM(D207)))</f>
        <v/>
      </c>
      <c r="J207" s="67" t="str">
        <f aca="false">IF(TRIM(E207)="","",UPPER(TRIM(E207)))</f>
        <v/>
      </c>
    </row>
    <row r="208" customFormat="false" ht="14.25" hidden="false" customHeight="true" outlineLevel="0" collapsed="false">
      <c r="C208" s="17" t="str">
        <f aca="false">IF(TRIM(B208)="","",IFERROR(INDEX('Code Aliases'!$B:$B,MATCH(TRIM(B208),'Code Aliases'!$A:$A,0)),TRIM(B208)))</f>
        <v/>
      </c>
      <c r="I208" s="67" t="str">
        <f aca="false">IF(TRIM(D208)="","",UPPER(TRIM(D208)))</f>
        <v/>
      </c>
      <c r="J208" s="67" t="str">
        <f aca="false">IF(TRIM(E208)="","",UPPER(TRIM(E208)))</f>
        <v/>
      </c>
    </row>
    <row r="209" customFormat="false" ht="14.25" hidden="false" customHeight="true" outlineLevel="0" collapsed="false">
      <c r="C209" s="17" t="str">
        <f aca="false">IF(TRIM(B209)="","",IFERROR(INDEX('Code Aliases'!$B:$B,MATCH(TRIM(B209),'Code Aliases'!$A:$A,0)),TRIM(B209)))</f>
        <v/>
      </c>
      <c r="I209" s="67" t="str">
        <f aca="false">IF(TRIM(D209)="","",UPPER(TRIM(D209)))</f>
        <v/>
      </c>
      <c r="J209" s="67" t="str">
        <f aca="false">IF(TRIM(E209)="","",UPPER(TRIM(E209)))</f>
        <v/>
      </c>
    </row>
    <row r="210" customFormat="false" ht="14.25" hidden="false" customHeight="true" outlineLevel="0" collapsed="false">
      <c r="C210" s="17" t="str">
        <f aca="false">IF(TRIM(B210)="","",IFERROR(INDEX('Code Aliases'!$B:$B,MATCH(TRIM(B210),'Code Aliases'!$A:$A,0)),TRIM(B210)))</f>
        <v/>
      </c>
      <c r="I210" s="67" t="str">
        <f aca="false">IF(TRIM(D210)="","",UPPER(TRIM(D210)))</f>
        <v/>
      </c>
      <c r="J210" s="67" t="str">
        <f aca="false">IF(TRIM(E210)="","",UPPER(TRIM(E210)))</f>
        <v/>
      </c>
    </row>
    <row r="211" customFormat="false" ht="14.25" hidden="false" customHeight="true" outlineLevel="0" collapsed="false">
      <c r="C211" s="17" t="str">
        <f aca="false">IF(TRIM(B211)="","",IFERROR(INDEX('Code Aliases'!$B:$B,MATCH(TRIM(B211),'Code Aliases'!$A:$A,0)),TRIM(B211)))</f>
        <v/>
      </c>
      <c r="I211" s="67" t="str">
        <f aca="false">IF(TRIM(D211)="","",UPPER(TRIM(D211)))</f>
        <v/>
      </c>
      <c r="J211" s="67" t="str">
        <f aca="false">IF(TRIM(E211)="","",UPPER(TRIM(E211)))</f>
        <v/>
      </c>
    </row>
    <row r="212" customFormat="false" ht="14.25" hidden="false" customHeight="true" outlineLevel="0" collapsed="false">
      <c r="C212" s="17" t="str">
        <f aca="false">IF(TRIM(B212)="","",IFERROR(INDEX('Code Aliases'!$B:$B,MATCH(TRIM(B212),'Code Aliases'!$A:$A,0)),TRIM(B212)))</f>
        <v/>
      </c>
      <c r="I212" s="67" t="str">
        <f aca="false">IF(TRIM(D212)="","",UPPER(TRIM(D212)))</f>
        <v/>
      </c>
      <c r="J212" s="67" t="str">
        <f aca="false">IF(TRIM(E212)="","",UPPER(TRIM(E212)))</f>
        <v/>
      </c>
    </row>
    <row r="213" customFormat="false" ht="14.25" hidden="false" customHeight="true" outlineLevel="0" collapsed="false">
      <c r="C213" s="17" t="str">
        <f aca="false">IF(TRIM(B213)="","",IFERROR(INDEX('Code Aliases'!$B:$B,MATCH(TRIM(B213),'Code Aliases'!$A:$A,0)),TRIM(B213)))</f>
        <v/>
      </c>
      <c r="I213" s="67" t="str">
        <f aca="false">IF(TRIM(D213)="","",UPPER(TRIM(D213)))</f>
        <v/>
      </c>
      <c r="J213" s="67" t="str">
        <f aca="false">IF(TRIM(E213)="","",UPPER(TRIM(E213)))</f>
        <v/>
      </c>
    </row>
    <row r="214" customFormat="false" ht="14.25" hidden="false" customHeight="true" outlineLevel="0" collapsed="false">
      <c r="C214" s="17" t="str">
        <f aca="false">IF(TRIM(B214)="","",IFERROR(INDEX('Code Aliases'!$B:$B,MATCH(TRIM(B214),'Code Aliases'!$A:$A,0)),TRIM(B214)))</f>
        <v/>
      </c>
      <c r="I214" s="67" t="str">
        <f aca="false">IF(TRIM(D214)="","",UPPER(TRIM(D214)))</f>
        <v/>
      </c>
      <c r="J214" s="67" t="str">
        <f aca="false">IF(TRIM(E214)="","",UPPER(TRIM(E214)))</f>
        <v/>
      </c>
    </row>
    <row r="215" customFormat="false" ht="14.25" hidden="false" customHeight="true" outlineLevel="0" collapsed="false">
      <c r="C215" s="17" t="str">
        <f aca="false">IF(TRIM(B215)="","",IFERROR(INDEX('Code Aliases'!$B:$B,MATCH(TRIM(B215),'Code Aliases'!$A:$A,0)),TRIM(B215)))</f>
        <v/>
      </c>
      <c r="I215" s="67" t="str">
        <f aca="false">IF(TRIM(D215)="","",UPPER(TRIM(D215)))</f>
        <v/>
      </c>
      <c r="J215" s="67" t="str">
        <f aca="false">IF(TRIM(E215)="","",UPPER(TRIM(E215)))</f>
        <v/>
      </c>
    </row>
    <row r="216" customFormat="false" ht="14.25" hidden="false" customHeight="true" outlineLevel="0" collapsed="false">
      <c r="C216" s="17" t="str">
        <f aca="false">IF(TRIM(B216)="","",IFERROR(INDEX('Code Aliases'!$B:$B,MATCH(TRIM(B216),'Code Aliases'!$A:$A,0)),TRIM(B216)))</f>
        <v/>
      </c>
      <c r="I216" s="67" t="str">
        <f aca="false">IF(TRIM(D216)="","",UPPER(TRIM(D216)))</f>
        <v/>
      </c>
      <c r="J216" s="67" t="str">
        <f aca="false">IF(TRIM(E216)="","",UPPER(TRIM(E216)))</f>
        <v/>
      </c>
    </row>
    <row r="217" customFormat="false" ht="14.25" hidden="false" customHeight="true" outlineLevel="0" collapsed="false">
      <c r="C217" s="17" t="str">
        <f aca="false">IF(TRIM(B217)="","",IFERROR(INDEX('Code Aliases'!$B:$B,MATCH(TRIM(B217),'Code Aliases'!$A:$A,0)),TRIM(B217)))</f>
        <v/>
      </c>
      <c r="I217" s="67" t="str">
        <f aca="false">IF(TRIM(D217)="","",UPPER(TRIM(D217)))</f>
        <v/>
      </c>
      <c r="J217" s="67" t="str">
        <f aca="false">IF(TRIM(E217)="","",UPPER(TRIM(E217)))</f>
        <v/>
      </c>
    </row>
    <row r="218" customFormat="false" ht="14.25" hidden="false" customHeight="true" outlineLevel="0" collapsed="false">
      <c r="C218" s="17" t="str">
        <f aca="false">IF(TRIM(B218)="","",IFERROR(INDEX('Code Aliases'!$B:$B,MATCH(TRIM(B218),'Code Aliases'!$A:$A,0)),TRIM(B218)))</f>
        <v/>
      </c>
      <c r="I218" s="67" t="str">
        <f aca="false">IF(TRIM(D218)="","",UPPER(TRIM(D218)))</f>
        <v/>
      </c>
      <c r="J218" s="67" t="str">
        <f aca="false">IF(TRIM(E218)="","",UPPER(TRIM(E218)))</f>
        <v/>
      </c>
    </row>
    <row r="219" customFormat="false" ht="14.25" hidden="false" customHeight="true" outlineLevel="0" collapsed="false">
      <c r="C219" s="17" t="str">
        <f aca="false">IF(TRIM(B219)="","",IFERROR(INDEX('Code Aliases'!$B:$B,MATCH(TRIM(B219),'Code Aliases'!$A:$A,0)),TRIM(B219)))</f>
        <v/>
      </c>
      <c r="I219" s="67" t="str">
        <f aca="false">IF(TRIM(D219)="","",UPPER(TRIM(D219)))</f>
        <v/>
      </c>
      <c r="J219" s="67" t="str">
        <f aca="false">IF(TRIM(E219)="","",UPPER(TRIM(E219)))</f>
        <v/>
      </c>
    </row>
    <row r="220" customFormat="false" ht="14.25" hidden="false" customHeight="true" outlineLevel="0" collapsed="false">
      <c r="C220" s="17" t="str">
        <f aca="false">IF(TRIM(B220)="","",IFERROR(INDEX('Code Aliases'!$B:$B,MATCH(TRIM(B220),'Code Aliases'!$A:$A,0)),TRIM(B220)))</f>
        <v/>
      </c>
      <c r="I220" s="67" t="str">
        <f aca="false">IF(TRIM(D220)="","",UPPER(TRIM(D220)))</f>
        <v/>
      </c>
      <c r="J220" s="67" t="str">
        <f aca="false">IF(TRIM(E220)="","",UPPER(TRIM(E220)))</f>
        <v/>
      </c>
    </row>
    <row r="221" customFormat="false" ht="14.25" hidden="false" customHeight="true" outlineLevel="0" collapsed="false">
      <c r="C221" s="17" t="str">
        <f aca="false">IF(TRIM(B221)="","",IFERROR(INDEX('Code Aliases'!$B:$B,MATCH(TRIM(B221),'Code Aliases'!$A:$A,0)),TRIM(B221)))</f>
        <v/>
      </c>
      <c r="I221" s="67" t="str">
        <f aca="false">IF(TRIM(D221)="","",UPPER(TRIM(D221)))</f>
        <v/>
      </c>
      <c r="J221" s="67" t="str">
        <f aca="false">IF(TRIM(E221)="","",UPPER(TRIM(E221)))</f>
        <v/>
      </c>
    </row>
    <row r="222" customFormat="false" ht="14.25" hidden="false" customHeight="true" outlineLevel="0" collapsed="false">
      <c r="C222" s="17" t="str">
        <f aca="false">IF(TRIM(B222)="","",IFERROR(INDEX('Code Aliases'!$B:$B,MATCH(TRIM(B222),'Code Aliases'!$A:$A,0)),TRIM(B222)))</f>
        <v/>
      </c>
      <c r="I222" s="67" t="str">
        <f aca="false">IF(TRIM(D222)="","",UPPER(TRIM(D222)))</f>
        <v/>
      </c>
      <c r="J222" s="67" t="str">
        <f aca="false">IF(TRIM(E222)="","",UPPER(TRIM(E222)))</f>
        <v/>
      </c>
    </row>
    <row r="223" customFormat="false" ht="14.25" hidden="false" customHeight="true" outlineLevel="0" collapsed="false">
      <c r="C223" s="17" t="str">
        <f aca="false">IF(TRIM(B223)="","",IFERROR(INDEX('Code Aliases'!$B:$B,MATCH(TRIM(B223),'Code Aliases'!$A:$A,0)),TRIM(B223)))</f>
        <v/>
      </c>
      <c r="I223" s="67" t="str">
        <f aca="false">IF(TRIM(D223)="","",UPPER(TRIM(D223)))</f>
        <v/>
      </c>
      <c r="J223" s="67" t="str">
        <f aca="false">IF(TRIM(E223)="","",UPPER(TRIM(E223)))</f>
        <v/>
      </c>
    </row>
    <row r="224" customFormat="false" ht="14.25" hidden="false" customHeight="true" outlineLevel="0" collapsed="false">
      <c r="C224" s="17" t="str">
        <f aca="false">IF(TRIM(B224)="","",IFERROR(INDEX('Code Aliases'!$B:$B,MATCH(TRIM(B224),'Code Aliases'!$A:$A,0)),TRIM(B224)))</f>
        <v/>
      </c>
      <c r="I224" s="67" t="str">
        <f aca="false">IF(TRIM(D224)="","",UPPER(TRIM(D224)))</f>
        <v/>
      </c>
      <c r="J224" s="67" t="str">
        <f aca="false">IF(TRIM(E224)="","",UPPER(TRIM(E224)))</f>
        <v/>
      </c>
    </row>
    <row r="225" customFormat="false" ht="14.25" hidden="false" customHeight="true" outlineLevel="0" collapsed="false">
      <c r="C225" s="17" t="str">
        <f aca="false">IF(TRIM(B225)="","",IFERROR(INDEX('Code Aliases'!$B:$B,MATCH(TRIM(B225),'Code Aliases'!$A:$A,0)),TRIM(B225)))</f>
        <v/>
      </c>
      <c r="I225" s="67" t="str">
        <f aca="false">IF(TRIM(D225)="","",UPPER(TRIM(D225)))</f>
        <v/>
      </c>
      <c r="J225" s="67" t="str">
        <f aca="false">IF(TRIM(E225)="","",UPPER(TRIM(E225)))</f>
        <v/>
      </c>
    </row>
    <row r="226" customFormat="false" ht="14.25" hidden="false" customHeight="true" outlineLevel="0" collapsed="false">
      <c r="C226" s="17" t="str">
        <f aca="false">IF(TRIM(B226)="","",IFERROR(INDEX('Code Aliases'!$B:$B,MATCH(TRIM(B226),'Code Aliases'!$A:$A,0)),TRIM(B226)))</f>
        <v/>
      </c>
      <c r="I226" s="67" t="str">
        <f aca="false">IF(TRIM(D226)="","",UPPER(TRIM(D226)))</f>
        <v/>
      </c>
      <c r="J226" s="67" t="str">
        <f aca="false">IF(TRIM(E226)="","",UPPER(TRIM(E226)))</f>
        <v/>
      </c>
    </row>
    <row r="227" customFormat="false" ht="14.25" hidden="false" customHeight="true" outlineLevel="0" collapsed="false">
      <c r="C227" s="17" t="str">
        <f aca="false">IF(TRIM(B227)="","",IFERROR(INDEX('Code Aliases'!$B:$B,MATCH(TRIM(B227),'Code Aliases'!$A:$A,0)),TRIM(B227)))</f>
        <v/>
      </c>
      <c r="I227" s="67" t="str">
        <f aca="false">IF(TRIM(D227)="","",UPPER(TRIM(D227)))</f>
        <v/>
      </c>
      <c r="J227" s="67" t="str">
        <f aca="false">IF(TRIM(E227)="","",UPPER(TRIM(E227)))</f>
        <v/>
      </c>
    </row>
    <row r="228" customFormat="false" ht="14.25" hidden="false" customHeight="true" outlineLevel="0" collapsed="false">
      <c r="C228" s="17" t="str">
        <f aca="false">IF(TRIM(B228)="","",IFERROR(INDEX('Code Aliases'!$B:$B,MATCH(TRIM(B228),'Code Aliases'!$A:$A,0)),TRIM(B228)))</f>
        <v/>
      </c>
      <c r="I228" s="67" t="str">
        <f aca="false">IF(TRIM(D228)="","",UPPER(TRIM(D228)))</f>
        <v/>
      </c>
      <c r="J228" s="67" t="str">
        <f aca="false">IF(TRIM(E228)="","",UPPER(TRIM(E228)))</f>
        <v/>
      </c>
    </row>
    <row r="229" customFormat="false" ht="14.25" hidden="false" customHeight="true" outlineLevel="0" collapsed="false">
      <c r="C229" s="17" t="str">
        <f aca="false">IF(TRIM(B229)="","",IFERROR(INDEX('Code Aliases'!$B:$B,MATCH(TRIM(B229),'Code Aliases'!$A:$A,0)),TRIM(B229)))</f>
        <v/>
      </c>
      <c r="I229" s="67" t="str">
        <f aca="false">IF(TRIM(D229)="","",UPPER(TRIM(D229)))</f>
        <v/>
      </c>
      <c r="J229" s="67" t="str">
        <f aca="false">IF(TRIM(E229)="","",UPPER(TRIM(E229)))</f>
        <v/>
      </c>
    </row>
    <row r="230" customFormat="false" ht="14.25" hidden="false" customHeight="true" outlineLevel="0" collapsed="false">
      <c r="C230" s="17" t="str">
        <f aca="false">IF(TRIM(B230)="","",IFERROR(INDEX('Code Aliases'!$B:$B,MATCH(TRIM(B230),'Code Aliases'!$A:$A,0)),TRIM(B230)))</f>
        <v/>
      </c>
      <c r="I230" s="67" t="str">
        <f aca="false">IF(TRIM(D230)="","",UPPER(TRIM(D230)))</f>
        <v/>
      </c>
      <c r="J230" s="67" t="str">
        <f aca="false">IF(TRIM(E230)="","",UPPER(TRIM(E230)))</f>
        <v/>
      </c>
    </row>
    <row r="231" customFormat="false" ht="14.25" hidden="false" customHeight="true" outlineLevel="0" collapsed="false">
      <c r="C231" s="17" t="str">
        <f aca="false">IF(TRIM(B231)="","",IFERROR(INDEX('Code Aliases'!$B:$B,MATCH(TRIM(B231),'Code Aliases'!$A:$A,0)),TRIM(B231)))</f>
        <v/>
      </c>
      <c r="I231" s="67" t="str">
        <f aca="false">IF(TRIM(D231)="","",UPPER(TRIM(D231)))</f>
        <v/>
      </c>
      <c r="J231" s="67" t="str">
        <f aca="false">IF(TRIM(E231)="","",UPPER(TRIM(E231)))</f>
        <v/>
      </c>
    </row>
    <row r="232" customFormat="false" ht="14.25" hidden="false" customHeight="true" outlineLevel="0" collapsed="false">
      <c r="C232" s="17" t="str">
        <f aca="false">IF(TRIM(B232)="","",IFERROR(INDEX('Code Aliases'!$B:$B,MATCH(TRIM(B232),'Code Aliases'!$A:$A,0)),TRIM(B232)))</f>
        <v/>
      </c>
      <c r="I232" s="67" t="str">
        <f aca="false">IF(TRIM(D232)="","",UPPER(TRIM(D232)))</f>
        <v/>
      </c>
      <c r="J232" s="67" t="str">
        <f aca="false">IF(TRIM(E232)="","",UPPER(TRIM(E232)))</f>
        <v/>
      </c>
    </row>
    <row r="233" customFormat="false" ht="14.25" hidden="false" customHeight="true" outlineLevel="0" collapsed="false">
      <c r="C233" s="17" t="str">
        <f aca="false">IF(TRIM(B233)="","",IFERROR(INDEX('Code Aliases'!$B:$B,MATCH(TRIM(B233),'Code Aliases'!$A:$A,0)),TRIM(B233)))</f>
        <v/>
      </c>
      <c r="I233" s="67" t="str">
        <f aca="false">IF(TRIM(D233)="","",UPPER(TRIM(D233)))</f>
        <v/>
      </c>
      <c r="J233" s="67" t="str">
        <f aca="false">IF(TRIM(E233)="","",UPPER(TRIM(E233)))</f>
        <v/>
      </c>
    </row>
    <row r="234" customFormat="false" ht="14.25" hidden="false" customHeight="true" outlineLevel="0" collapsed="false">
      <c r="C234" s="17" t="str">
        <f aca="false">IF(TRIM(B234)="","",IFERROR(INDEX('Code Aliases'!$B:$B,MATCH(TRIM(B234),'Code Aliases'!$A:$A,0)),TRIM(B234)))</f>
        <v/>
      </c>
      <c r="I234" s="67" t="str">
        <f aca="false">IF(TRIM(D234)="","",UPPER(TRIM(D234)))</f>
        <v/>
      </c>
      <c r="J234" s="67" t="str">
        <f aca="false">IF(TRIM(E234)="","",UPPER(TRIM(E234)))</f>
        <v/>
      </c>
    </row>
    <row r="235" customFormat="false" ht="14.25" hidden="false" customHeight="true" outlineLevel="0" collapsed="false">
      <c r="C235" s="17" t="str">
        <f aca="false">IF(TRIM(B235)="","",IFERROR(INDEX('Code Aliases'!$B:$B,MATCH(TRIM(B235),'Code Aliases'!$A:$A,0)),TRIM(B235)))</f>
        <v/>
      </c>
      <c r="I235" s="67" t="str">
        <f aca="false">IF(TRIM(D235)="","",UPPER(TRIM(D235)))</f>
        <v/>
      </c>
      <c r="J235" s="67" t="str">
        <f aca="false">IF(TRIM(E235)="","",UPPER(TRIM(E235)))</f>
        <v/>
      </c>
    </row>
    <row r="236" customFormat="false" ht="14.25" hidden="false" customHeight="true" outlineLevel="0" collapsed="false">
      <c r="C236" s="17" t="str">
        <f aca="false">IF(TRIM(B236)="","",IFERROR(INDEX('Code Aliases'!$B:$B,MATCH(TRIM(B236),'Code Aliases'!$A:$A,0)),TRIM(B236)))</f>
        <v/>
      </c>
      <c r="I236" s="67" t="str">
        <f aca="false">IF(TRIM(D236)="","",UPPER(TRIM(D236)))</f>
        <v/>
      </c>
      <c r="J236" s="67" t="str">
        <f aca="false">IF(TRIM(E236)="","",UPPER(TRIM(E236)))</f>
        <v/>
      </c>
    </row>
    <row r="237" customFormat="false" ht="14.25" hidden="false" customHeight="true" outlineLevel="0" collapsed="false">
      <c r="C237" s="17" t="str">
        <f aca="false">IF(TRIM(B237)="","",IFERROR(INDEX('Code Aliases'!$B:$B,MATCH(TRIM(B237),'Code Aliases'!$A:$A,0)),TRIM(B237)))</f>
        <v/>
      </c>
      <c r="I237" s="67" t="str">
        <f aca="false">IF(TRIM(D237)="","",UPPER(TRIM(D237)))</f>
        <v/>
      </c>
      <c r="J237" s="67" t="str">
        <f aca="false">IF(TRIM(E237)="","",UPPER(TRIM(E237)))</f>
        <v/>
      </c>
    </row>
    <row r="238" customFormat="false" ht="14.25" hidden="false" customHeight="true" outlineLevel="0" collapsed="false">
      <c r="C238" s="17" t="str">
        <f aca="false">IF(TRIM(B238)="","",IFERROR(INDEX('Code Aliases'!$B:$B,MATCH(TRIM(B238),'Code Aliases'!$A:$A,0)),TRIM(B238)))</f>
        <v/>
      </c>
      <c r="I238" s="67" t="str">
        <f aca="false">IF(TRIM(D238)="","",UPPER(TRIM(D238)))</f>
        <v/>
      </c>
      <c r="J238" s="67" t="str">
        <f aca="false">IF(TRIM(E238)="","",UPPER(TRIM(E238)))</f>
        <v/>
      </c>
    </row>
    <row r="239" customFormat="false" ht="14.25" hidden="false" customHeight="true" outlineLevel="0" collapsed="false">
      <c r="C239" s="17" t="str">
        <f aca="false">IF(TRIM(B239)="","",IFERROR(INDEX('Code Aliases'!$B:$B,MATCH(TRIM(B239),'Code Aliases'!$A:$A,0)),TRIM(B239)))</f>
        <v/>
      </c>
      <c r="I239" s="67" t="str">
        <f aca="false">IF(TRIM(D239)="","",UPPER(TRIM(D239)))</f>
        <v/>
      </c>
      <c r="J239" s="67" t="str">
        <f aca="false">IF(TRIM(E239)="","",UPPER(TRIM(E239)))</f>
        <v/>
      </c>
    </row>
    <row r="240" customFormat="false" ht="14.25" hidden="false" customHeight="true" outlineLevel="0" collapsed="false">
      <c r="C240" s="17" t="str">
        <f aca="false">IF(TRIM(B240)="","",IFERROR(INDEX('Code Aliases'!$B:$B,MATCH(TRIM(B240),'Code Aliases'!$A:$A,0)),TRIM(B240)))</f>
        <v/>
      </c>
      <c r="I240" s="67" t="str">
        <f aca="false">IF(TRIM(D240)="","",UPPER(TRIM(D240)))</f>
        <v/>
      </c>
      <c r="J240" s="67" t="str">
        <f aca="false">IF(TRIM(E240)="","",UPPER(TRIM(E240)))</f>
        <v/>
      </c>
    </row>
    <row r="241" customFormat="false" ht="14.25" hidden="false" customHeight="true" outlineLevel="0" collapsed="false">
      <c r="C241" s="17" t="str">
        <f aca="false">IF(TRIM(B241)="","",IFERROR(INDEX('Code Aliases'!$B:$B,MATCH(TRIM(B241),'Code Aliases'!$A:$A,0)),TRIM(B241)))</f>
        <v/>
      </c>
      <c r="I241" s="67" t="str">
        <f aca="false">IF(TRIM(D241)="","",UPPER(TRIM(D241)))</f>
        <v/>
      </c>
      <c r="J241" s="67" t="str">
        <f aca="false">IF(TRIM(E241)="","",UPPER(TRIM(E241)))</f>
        <v/>
      </c>
    </row>
    <row r="242" customFormat="false" ht="14.25" hidden="false" customHeight="true" outlineLevel="0" collapsed="false">
      <c r="C242" s="17" t="str">
        <f aca="false">IF(TRIM(B242)="","",IFERROR(INDEX('Code Aliases'!$B:$B,MATCH(TRIM(B242),'Code Aliases'!$A:$A,0)),TRIM(B242)))</f>
        <v/>
      </c>
      <c r="I242" s="67" t="str">
        <f aca="false">IF(TRIM(D242)="","",UPPER(TRIM(D242)))</f>
        <v/>
      </c>
      <c r="J242" s="67" t="str">
        <f aca="false">IF(TRIM(E242)="","",UPPER(TRIM(E242)))</f>
        <v/>
      </c>
    </row>
    <row r="243" customFormat="false" ht="14.25" hidden="false" customHeight="true" outlineLevel="0" collapsed="false">
      <c r="C243" s="17" t="str">
        <f aca="false">IF(TRIM(B243)="","",IFERROR(INDEX('Code Aliases'!$B:$B,MATCH(TRIM(B243),'Code Aliases'!$A:$A,0)),TRIM(B243)))</f>
        <v/>
      </c>
      <c r="I243" s="67" t="str">
        <f aca="false">IF(TRIM(D243)="","",UPPER(TRIM(D243)))</f>
        <v/>
      </c>
      <c r="J243" s="67" t="str">
        <f aca="false">IF(TRIM(E243)="","",UPPER(TRIM(E243)))</f>
        <v/>
      </c>
    </row>
    <row r="244" customFormat="false" ht="14.25" hidden="false" customHeight="true" outlineLevel="0" collapsed="false">
      <c r="C244" s="17" t="str">
        <f aca="false">IF(TRIM(B244)="","",IFERROR(INDEX('Code Aliases'!$B:$B,MATCH(TRIM(B244),'Code Aliases'!$A:$A,0)),TRIM(B244)))</f>
        <v/>
      </c>
      <c r="I244" s="67" t="str">
        <f aca="false">IF(TRIM(D244)="","",UPPER(TRIM(D244)))</f>
        <v/>
      </c>
      <c r="J244" s="67" t="str">
        <f aca="false">IF(TRIM(E244)="","",UPPER(TRIM(E244)))</f>
        <v/>
      </c>
    </row>
    <row r="245" customFormat="false" ht="14.25" hidden="false" customHeight="true" outlineLevel="0" collapsed="false">
      <c r="C245" s="17" t="str">
        <f aca="false">IF(TRIM(B245)="","",IFERROR(INDEX('Code Aliases'!$B:$B,MATCH(TRIM(B245),'Code Aliases'!$A:$A,0)),TRIM(B245)))</f>
        <v/>
      </c>
      <c r="I245" s="67" t="str">
        <f aca="false">IF(TRIM(D245)="","",UPPER(TRIM(D245)))</f>
        <v/>
      </c>
      <c r="J245" s="67" t="str">
        <f aca="false">IF(TRIM(E245)="","",UPPER(TRIM(E245)))</f>
        <v/>
      </c>
    </row>
    <row r="246" customFormat="false" ht="14.25" hidden="false" customHeight="true" outlineLevel="0" collapsed="false">
      <c r="C246" s="17" t="str">
        <f aca="false">IF(TRIM(B246)="","",IFERROR(INDEX('Code Aliases'!$B:$B,MATCH(TRIM(B246),'Code Aliases'!$A:$A,0)),TRIM(B246)))</f>
        <v/>
      </c>
      <c r="I246" s="67" t="str">
        <f aca="false">IF(TRIM(D246)="","",UPPER(TRIM(D246)))</f>
        <v/>
      </c>
      <c r="J246" s="67" t="str">
        <f aca="false">IF(TRIM(E246)="","",UPPER(TRIM(E246)))</f>
        <v/>
      </c>
    </row>
    <row r="247" customFormat="false" ht="14.25" hidden="false" customHeight="true" outlineLevel="0" collapsed="false">
      <c r="C247" s="17" t="str">
        <f aca="false">IF(TRIM(B247)="","",IFERROR(INDEX('Code Aliases'!$B:$B,MATCH(TRIM(B247),'Code Aliases'!$A:$A,0)),TRIM(B247)))</f>
        <v/>
      </c>
      <c r="I247" s="67" t="str">
        <f aca="false">IF(TRIM(D247)="","",UPPER(TRIM(D247)))</f>
        <v/>
      </c>
      <c r="J247" s="67" t="str">
        <f aca="false">IF(TRIM(E247)="","",UPPER(TRIM(E247)))</f>
        <v/>
      </c>
    </row>
    <row r="248" customFormat="false" ht="14.25" hidden="false" customHeight="true" outlineLevel="0" collapsed="false">
      <c r="C248" s="17" t="str">
        <f aca="false">IF(TRIM(B248)="","",IFERROR(INDEX('Code Aliases'!$B:$B,MATCH(TRIM(B248),'Code Aliases'!$A:$A,0)),TRIM(B248)))</f>
        <v/>
      </c>
      <c r="I248" s="67" t="str">
        <f aca="false">IF(TRIM(D248)="","",UPPER(TRIM(D248)))</f>
        <v/>
      </c>
      <c r="J248" s="67" t="str">
        <f aca="false">IF(TRIM(E248)="","",UPPER(TRIM(E248)))</f>
        <v/>
      </c>
    </row>
    <row r="249" customFormat="false" ht="14.25" hidden="false" customHeight="true" outlineLevel="0" collapsed="false">
      <c r="C249" s="17" t="str">
        <f aca="false">IF(TRIM(B249)="","",IFERROR(INDEX('Code Aliases'!$B:$B,MATCH(TRIM(B249),'Code Aliases'!$A:$A,0)),TRIM(B249)))</f>
        <v/>
      </c>
      <c r="I249" s="67" t="str">
        <f aca="false">IF(TRIM(D249)="","",UPPER(TRIM(D249)))</f>
        <v/>
      </c>
      <c r="J249" s="67" t="str">
        <f aca="false">IF(TRIM(E249)="","",UPPER(TRIM(E249)))</f>
        <v/>
      </c>
    </row>
    <row r="250" customFormat="false" ht="14.25" hidden="false" customHeight="true" outlineLevel="0" collapsed="false">
      <c r="C250" s="17" t="str">
        <f aca="false">IF(TRIM(B250)="","",IFERROR(INDEX('Code Aliases'!$B:$B,MATCH(TRIM(B250),'Code Aliases'!$A:$A,0)),TRIM(B250)))</f>
        <v/>
      </c>
      <c r="I250" s="67" t="str">
        <f aca="false">IF(TRIM(D250)="","",UPPER(TRIM(D250)))</f>
        <v/>
      </c>
      <c r="J250" s="67" t="str">
        <f aca="false">IF(TRIM(E250)="","",UPPER(TRIM(E250)))</f>
        <v/>
      </c>
    </row>
    <row r="251" customFormat="false" ht="14.25" hidden="false" customHeight="true" outlineLevel="0" collapsed="false">
      <c r="C251" s="17" t="str">
        <f aca="false">IF(TRIM(B251)="","",IFERROR(INDEX('Code Aliases'!$B:$B,MATCH(TRIM(B251),'Code Aliases'!$A:$A,0)),TRIM(B251)))</f>
        <v/>
      </c>
      <c r="I251" s="67" t="str">
        <f aca="false">IF(TRIM(D251)="","",UPPER(TRIM(D251)))</f>
        <v/>
      </c>
      <c r="J251" s="67" t="str">
        <f aca="false">IF(TRIM(E251)="","",UPPER(TRIM(E251)))</f>
        <v/>
      </c>
    </row>
    <row r="252" customFormat="false" ht="14.25" hidden="false" customHeight="true" outlineLevel="0" collapsed="false">
      <c r="C252" s="17" t="str">
        <f aca="false">IF(TRIM(B252)="","",IFERROR(INDEX('Code Aliases'!$B:$B,MATCH(TRIM(B252),'Code Aliases'!$A:$A,0)),TRIM(B252)))</f>
        <v/>
      </c>
      <c r="I252" s="67" t="str">
        <f aca="false">IF(TRIM(D252)="","",UPPER(TRIM(D252)))</f>
        <v/>
      </c>
      <c r="J252" s="67" t="str">
        <f aca="false">IF(TRIM(E252)="","",UPPER(TRIM(E252)))</f>
        <v/>
      </c>
    </row>
    <row r="253" customFormat="false" ht="14.25" hidden="false" customHeight="true" outlineLevel="0" collapsed="false">
      <c r="C253" s="17" t="str">
        <f aca="false">IF(TRIM(B253)="","",IFERROR(INDEX('Code Aliases'!$B:$B,MATCH(TRIM(B253),'Code Aliases'!$A:$A,0)),TRIM(B253)))</f>
        <v/>
      </c>
      <c r="I253" s="67" t="str">
        <f aca="false">IF(TRIM(D253)="","",UPPER(TRIM(D253)))</f>
        <v/>
      </c>
      <c r="J253" s="67" t="str">
        <f aca="false">IF(TRIM(E253)="","",UPPER(TRIM(E253)))</f>
        <v/>
      </c>
    </row>
    <row r="254" customFormat="false" ht="14.25" hidden="false" customHeight="true" outlineLevel="0" collapsed="false">
      <c r="C254" s="17" t="str">
        <f aca="false">IF(TRIM(B254)="","",IFERROR(INDEX('Code Aliases'!$B:$B,MATCH(TRIM(B254),'Code Aliases'!$A:$A,0)),TRIM(B254)))</f>
        <v/>
      </c>
      <c r="I254" s="67" t="str">
        <f aca="false">IF(TRIM(D254)="","",UPPER(TRIM(D254)))</f>
        <v/>
      </c>
      <c r="J254" s="67" t="str">
        <f aca="false">IF(TRIM(E254)="","",UPPER(TRIM(E254)))</f>
        <v/>
      </c>
    </row>
    <row r="255" customFormat="false" ht="14.25" hidden="false" customHeight="true" outlineLevel="0" collapsed="false">
      <c r="C255" s="17" t="str">
        <f aca="false">IF(TRIM(B255)="","",IFERROR(INDEX('Code Aliases'!$B:$B,MATCH(TRIM(B255),'Code Aliases'!$A:$A,0)),TRIM(B255)))</f>
        <v/>
      </c>
      <c r="I255" s="67" t="str">
        <f aca="false">IF(TRIM(D255)="","",UPPER(TRIM(D255)))</f>
        <v/>
      </c>
      <c r="J255" s="67" t="str">
        <f aca="false">IF(TRIM(E255)="","",UPPER(TRIM(E255)))</f>
        <v/>
      </c>
    </row>
    <row r="256" customFormat="false" ht="14.25" hidden="false" customHeight="true" outlineLevel="0" collapsed="false">
      <c r="C256" s="17" t="str">
        <f aca="false">IF(TRIM(B256)="","",IFERROR(INDEX('Code Aliases'!$B:$B,MATCH(TRIM(B256),'Code Aliases'!$A:$A,0)),TRIM(B256)))</f>
        <v/>
      </c>
      <c r="I256" s="67" t="str">
        <f aca="false">IF(TRIM(D256)="","",UPPER(TRIM(D256)))</f>
        <v/>
      </c>
      <c r="J256" s="67" t="str">
        <f aca="false">IF(TRIM(E256)="","",UPPER(TRIM(E256)))</f>
        <v/>
      </c>
    </row>
    <row r="257" customFormat="false" ht="14.25" hidden="false" customHeight="true" outlineLevel="0" collapsed="false">
      <c r="C257" s="17" t="str">
        <f aca="false">IF(TRIM(B257)="","",IFERROR(INDEX('Code Aliases'!$B:$B,MATCH(TRIM(B257),'Code Aliases'!$A:$A,0)),TRIM(B257)))</f>
        <v/>
      </c>
      <c r="I257" s="67" t="str">
        <f aca="false">IF(TRIM(D257)="","",UPPER(TRIM(D257)))</f>
        <v/>
      </c>
      <c r="J257" s="67" t="str">
        <f aca="false">IF(TRIM(E257)="","",UPPER(TRIM(E257)))</f>
        <v/>
      </c>
    </row>
    <row r="258" customFormat="false" ht="14.25" hidden="false" customHeight="true" outlineLevel="0" collapsed="false">
      <c r="C258" s="17" t="str">
        <f aca="false">IF(TRIM(B258)="","",IFERROR(INDEX('Code Aliases'!$B:$B,MATCH(TRIM(B258),'Code Aliases'!$A:$A,0)),TRIM(B258)))</f>
        <v/>
      </c>
      <c r="I258" s="67" t="str">
        <f aca="false">IF(TRIM(D258)="","",UPPER(TRIM(D258)))</f>
        <v/>
      </c>
      <c r="J258" s="67" t="str">
        <f aca="false">IF(TRIM(E258)="","",UPPER(TRIM(E258)))</f>
        <v/>
      </c>
    </row>
    <row r="259" customFormat="false" ht="14.25" hidden="false" customHeight="true" outlineLevel="0" collapsed="false">
      <c r="C259" s="17" t="str">
        <f aca="false">IF(TRIM(B259)="","",IFERROR(INDEX('Code Aliases'!$B:$B,MATCH(TRIM(B259),'Code Aliases'!$A:$A,0)),TRIM(B259)))</f>
        <v/>
      </c>
      <c r="I259" s="67" t="str">
        <f aca="false">IF(TRIM(D259)="","",UPPER(TRIM(D259)))</f>
        <v/>
      </c>
      <c r="J259" s="67" t="str">
        <f aca="false">IF(TRIM(E259)="","",UPPER(TRIM(E259)))</f>
        <v/>
      </c>
    </row>
    <row r="260" customFormat="false" ht="14.25" hidden="false" customHeight="true" outlineLevel="0" collapsed="false">
      <c r="C260" s="17" t="str">
        <f aca="false">IF(TRIM(B260)="","",IFERROR(INDEX('Code Aliases'!$B:$B,MATCH(TRIM(B260),'Code Aliases'!$A:$A,0)),TRIM(B260)))</f>
        <v/>
      </c>
      <c r="I260" s="67" t="str">
        <f aca="false">IF(TRIM(D260)="","",UPPER(TRIM(D260)))</f>
        <v/>
      </c>
      <c r="J260" s="67" t="str">
        <f aca="false">IF(TRIM(E260)="","",UPPER(TRIM(E260)))</f>
        <v/>
      </c>
    </row>
    <row r="261" customFormat="false" ht="14.25" hidden="false" customHeight="true" outlineLevel="0" collapsed="false">
      <c r="C261" s="17" t="str">
        <f aca="false">IF(TRIM(B261)="","",IFERROR(INDEX('Code Aliases'!$B:$B,MATCH(TRIM(B261),'Code Aliases'!$A:$A,0)),TRIM(B261)))</f>
        <v/>
      </c>
      <c r="I261" s="67" t="str">
        <f aca="false">IF(TRIM(D261)="","",UPPER(TRIM(D261)))</f>
        <v/>
      </c>
      <c r="J261" s="67" t="str">
        <f aca="false">IF(TRIM(E261)="","",UPPER(TRIM(E261)))</f>
        <v/>
      </c>
    </row>
    <row r="262" customFormat="false" ht="14.25" hidden="false" customHeight="true" outlineLevel="0" collapsed="false">
      <c r="C262" s="17" t="str">
        <f aca="false">IF(TRIM(B262)="","",IFERROR(INDEX('Code Aliases'!$B:$B,MATCH(TRIM(B262),'Code Aliases'!$A:$A,0)),TRIM(B262)))</f>
        <v/>
      </c>
      <c r="I262" s="67" t="str">
        <f aca="false">IF(TRIM(D262)="","",UPPER(TRIM(D262)))</f>
        <v/>
      </c>
      <c r="J262" s="67" t="str">
        <f aca="false">IF(TRIM(E262)="","",UPPER(TRIM(E262)))</f>
        <v/>
      </c>
    </row>
    <row r="263" customFormat="false" ht="14.25" hidden="false" customHeight="true" outlineLevel="0" collapsed="false">
      <c r="C263" s="17" t="str">
        <f aca="false">IF(TRIM(B263)="","",IFERROR(INDEX('Code Aliases'!$B:$B,MATCH(TRIM(B263),'Code Aliases'!$A:$A,0)),TRIM(B263)))</f>
        <v/>
      </c>
      <c r="I263" s="67" t="str">
        <f aca="false">IF(TRIM(D263)="","",UPPER(TRIM(D263)))</f>
        <v/>
      </c>
      <c r="J263" s="67" t="str">
        <f aca="false">IF(TRIM(E263)="","",UPPER(TRIM(E263)))</f>
        <v/>
      </c>
    </row>
    <row r="264" customFormat="false" ht="14.25" hidden="false" customHeight="true" outlineLevel="0" collapsed="false">
      <c r="C264" s="17" t="str">
        <f aca="false">IF(TRIM(B264)="","",IFERROR(INDEX('Code Aliases'!$B:$B,MATCH(TRIM(B264),'Code Aliases'!$A:$A,0)),TRIM(B264)))</f>
        <v/>
      </c>
      <c r="I264" s="67" t="str">
        <f aca="false">IF(TRIM(D264)="","",UPPER(TRIM(D264)))</f>
        <v/>
      </c>
      <c r="J264" s="67" t="str">
        <f aca="false">IF(TRIM(E264)="","",UPPER(TRIM(E264)))</f>
        <v/>
      </c>
    </row>
    <row r="265" customFormat="false" ht="14.25" hidden="false" customHeight="true" outlineLevel="0" collapsed="false">
      <c r="C265" s="17" t="str">
        <f aca="false">IF(TRIM(B265)="","",IFERROR(INDEX('Code Aliases'!$B:$B,MATCH(TRIM(B265),'Code Aliases'!$A:$A,0)),TRIM(B265)))</f>
        <v/>
      </c>
      <c r="I265" s="67" t="str">
        <f aca="false">IF(TRIM(D265)="","",UPPER(TRIM(D265)))</f>
        <v/>
      </c>
      <c r="J265" s="67" t="str">
        <f aca="false">IF(TRIM(E265)="","",UPPER(TRIM(E265)))</f>
        <v/>
      </c>
    </row>
    <row r="266" customFormat="false" ht="14.25" hidden="false" customHeight="true" outlineLevel="0" collapsed="false">
      <c r="C266" s="17" t="str">
        <f aca="false">IF(TRIM(B266)="","",IFERROR(INDEX('Code Aliases'!$B:$B,MATCH(TRIM(B266),'Code Aliases'!$A:$A,0)),TRIM(B266)))</f>
        <v/>
      </c>
      <c r="I266" s="67" t="str">
        <f aca="false">IF(TRIM(D266)="","",UPPER(TRIM(D266)))</f>
        <v/>
      </c>
      <c r="J266" s="67" t="str">
        <f aca="false">IF(TRIM(E266)="","",UPPER(TRIM(E266)))</f>
        <v/>
      </c>
    </row>
    <row r="267" customFormat="false" ht="14.25" hidden="false" customHeight="true" outlineLevel="0" collapsed="false">
      <c r="C267" s="17" t="str">
        <f aca="false">IF(TRIM(B267)="","",IFERROR(INDEX('Code Aliases'!$B:$B,MATCH(TRIM(B267),'Code Aliases'!$A:$A,0)),TRIM(B267)))</f>
        <v/>
      </c>
      <c r="I267" s="67" t="str">
        <f aca="false">IF(TRIM(D267)="","",UPPER(TRIM(D267)))</f>
        <v/>
      </c>
      <c r="J267" s="67" t="str">
        <f aca="false">IF(TRIM(E267)="","",UPPER(TRIM(E267)))</f>
        <v/>
      </c>
    </row>
    <row r="268" customFormat="false" ht="14.25" hidden="false" customHeight="true" outlineLevel="0" collapsed="false">
      <c r="C268" s="17" t="str">
        <f aca="false">IF(TRIM(B268)="","",IFERROR(INDEX('Code Aliases'!$B:$B,MATCH(TRIM(B268),'Code Aliases'!$A:$A,0)),TRIM(B268)))</f>
        <v/>
      </c>
      <c r="I268" s="67" t="str">
        <f aca="false">IF(TRIM(D268)="","",UPPER(TRIM(D268)))</f>
        <v/>
      </c>
      <c r="J268" s="67" t="str">
        <f aca="false">IF(TRIM(E268)="","",UPPER(TRIM(E268)))</f>
        <v/>
      </c>
    </row>
    <row r="269" customFormat="false" ht="14.25" hidden="false" customHeight="true" outlineLevel="0" collapsed="false">
      <c r="C269" s="17" t="str">
        <f aca="false">IF(TRIM(B269)="","",IFERROR(INDEX('Code Aliases'!$B:$B,MATCH(TRIM(B269),'Code Aliases'!$A:$A,0)),TRIM(B269)))</f>
        <v/>
      </c>
      <c r="I269" s="67" t="str">
        <f aca="false">IF(TRIM(D269)="","",UPPER(TRIM(D269)))</f>
        <v/>
      </c>
      <c r="J269" s="67" t="str">
        <f aca="false">IF(TRIM(E269)="","",UPPER(TRIM(E269)))</f>
        <v/>
      </c>
    </row>
    <row r="270" customFormat="false" ht="14.25" hidden="false" customHeight="true" outlineLevel="0" collapsed="false">
      <c r="C270" s="17" t="str">
        <f aca="false">IF(TRIM(B270)="","",IFERROR(INDEX('Code Aliases'!$B:$B,MATCH(TRIM(B270),'Code Aliases'!$A:$A,0)),TRIM(B270)))</f>
        <v/>
      </c>
      <c r="I270" s="67" t="str">
        <f aca="false">IF(TRIM(D270)="","",UPPER(TRIM(D270)))</f>
        <v/>
      </c>
      <c r="J270" s="67" t="str">
        <f aca="false">IF(TRIM(E270)="","",UPPER(TRIM(E270)))</f>
        <v/>
      </c>
    </row>
    <row r="271" customFormat="false" ht="14.25" hidden="false" customHeight="true" outlineLevel="0" collapsed="false">
      <c r="C271" s="17" t="str">
        <f aca="false">IF(TRIM(B271)="","",IFERROR(INDEX('Code Aliases'!$B:$B,MATCH(TRIM(B271),'Code Aliases'!$A:$A,0)),TRIM(B271)))</f>
        <v/>
      </c>
      <c r="I271" s="67" t="str">
        <f aca="false">IF(TRIM(D271)="","",UPPER(TRIM(D271)))</f>
        <v/>
      </c>
      <c r="J271" s="67" t="str">
        <f aca="false">IF(TRIM(E271)="","",UPPER(TRIM(E271)))</f>
        <v/>
      </c>
    </row>
    <row r="272" customFormat="false" ht="14.25" hidden="false" customHeight="true" outlineLevel="0" collapsed="false">
      <c r="C272" s="17" t="str">
        <f aca="false">IF(TRIM(B272)="","",IFERROR(INDEX('Code Aliases'!$B:$B,MATCH(TRIM(B272),'Code Aliases'!$A:$A,0)),TRIM(B272)))</f>
        <v/>
      </c>
      <c r="I272" s="67" t="str">
        <f aca="false">IF(TRIM(D272)="","",UPPER(TRIM(D272)))</f>
        <v/>
      </c>
      <c r="J272" s="67" t="str">
        <f aca="false">IF(TRIM(E272)="","",UPPER(TRIM(E272)))</f>
        <v/>
      </c>
    </row>
    <row r="273" customFormat="false" ht="14.25" hidden="false" customHeight="true" outlineLevel="0" collapsed="false">
      <c r="C273" s="17" t="str">
        <f aca="false">IF(TRIM(B273)="","",IFERROR(INDEX('Code Aliases'!$B:$B,MATCH(TRIM(B273),'Code Aliases'!$A:$A,0)),TRIM(B273)))</f>
        <v/>
      </c>
      <c r="I273" s="67" t="str">
        <f aca="false">IF(TRIM(D273)="","",UPPER(TRIM(D273)))</f>
        <v/>
      </c>
      <c r="J273" s="67" t="str">
        <f aca="false">IF(TRIM(E273)="","",UPPER(TRIM(E273)))</f>
        <v/>
      </c>
    </row>
    <row r="274" customFormat="false" ht="14.25" hidden="false" customHeight="true" outlineLevel="0" collapsed="false">
      <c r="C274" s="17" t="str">
        <f aca="false">IF(TRIM(B274)="","",IFERROR(INDEX('Code Aliases'!$B:$B,MATCH(TRIM(B274),'Code Aliases'!$A:$A,0)),TRIM(B274)))</f>
        <v/>
      </c>
      <c r="I274" s="67" t="str">
        <f aca="false">IF(TRIM(D274)="","",UPPER(TRIM(D274)))</f>
        <v/>
      </c>
      <c r="J274" s="67" t="str">
        <f aca="false">IF(TRIM(E274)="","",UPPER(TRIM(E274)))</f>
        <v/>
      </c>
    </row>
    <row r="275" customFormat="false" ht="14.25" hidden="false" customHeight="true" outlineLevel="0" collapsed="false">
      <c r="C275" s="17" t="str">
        <f aca="false">IF(TRIM(B275)="","",IFERROR(INDEX('Code Aliases'!$B:$B,MATCH(TRIM(B275),'Code Aliases'!$A:$A,0)),TRIM(B275)))</f>
        <v/>
      </c>
      <c r="I275" s="67" t="str">
        <f aca="false">IF(TRIM(D275)="","",UPPER(TRIM(D275)))</f>
        <v/>
      </c>
      <c r="J275" s="67" t="str">
        <f aca="false">IF(TRIM(E275)="","",UPPER(TRIM(E275)))</f>
        <v/>
      </c>
    </row>
    <row r="276" customFormat="false" ht="14.25" hidden="false" customHeight="true" outlineLevel="0" collapsed="false">
      <c r="C276" s="17" t="str">
        <f aca="false">IF(TRIM(B276)="","",IFERROR(INDEX('Code Aliases'!$B:$B,MATCH(TRIM(B276),'Code Aliases'!$A:$A,0)),TRIM(B276)))</f>
        <v/>
      </c>
      <c r="I276" s="67" t="str">
        <f aca="false">IF(TRIM(D276)="","",UPPER(TRIM(D276)))</f>
        <v/>
      </c>
      <c r="J276" s="67" t="str">
        <f aca="false">IF(TRIM(E276)="","",UPPER(TRIM(E276)))</f>
        <v/>
      </c>
    </row>
    <row r="277" customFormat="false" ht="14.25" hidden="false" customHeight="true" outlineLevel="0" collapsed="false">
      <c r="C277" s="17" t="str">
        <f aca="false">IF(TRIM(B277)="","",IFERROR(INDEX('Code Aliases'!$B:$B,MATCH(TRIM(B277),'Code Aliases'!$A:$A,0)),TRIM(B277)))</f>
        <v/>
      </c>
      <c r="I277" s="67" t="str">
        <f aca="false">IF(TRIM(D277)="","",UPPER(TRIM(D277)))</f>
        <v/>
      </c>
      <c r="J277" s="67" t="str">
        <f aca="false">IF(TRIM(E277)="","",UPPER(TRIM(E277)))</f>
        <v/>
      </c>
    </row>
    <row r="278" customFormat="false" ht="14.25" hidden="false" customHeight="true" outlineLevel="0" collapsed="false">
      <c r="C278" s="17" t="str">
        <f aca="false">IF(TRIM(B278)="","",IFERROR(INDEX('Code Aliases'!$B:$B,MATCH(TRIM(B278),'Code Aliases'!$A:$A,0)),TRIM(B278)))</f>
        <v/>
      </c>
      <c r="I278" s="67" t="str">
        <f aca="false">IF(TRIM(D278)="","",UPPER(TRIM(D278)))</f>
        <v/>
      </c>
      <c r="J278" s="67" t="str">
        <f aca="false">IF(TRIM(E278)="","",UPPER(TRIM(E278)))</f>
        <v/>
      </c>
    </row>
    <row r="279" customFormat="false" ht="14.25" hidden="false" customHeight="true" outlineLevel="0" collapsed="false">
      <c r="C279" s="17" t="str">
        <f aca="false">IF(TRIM(B279)="","",IFERROR(INDEX('Code Aliases'!$B:$B,MATCH(TRIM(B279),'Code Aliases'!$A:$A,0)),TRIM(B279)))</f>
        <v/>
      </c>
      <c r="I279" s="67" t="str">
        <f aca="false">IF(TRIM(D279)="","",UPPER(TRIM(D279)))</f>
        <v/>
      </c>
      <c r="J279" s="67" t="str">
        <f aca="false">IF(TRIM(E279)="","",UPPER(TRIM(E279)))</f>
        <v/>
      </c>
    </row>
    <row r="280" customFormat="false" ht="14.25" hidden="false" customHeight="true" outlineLevel="0" collapsed="false">
      <c r="C280" s="17" t="str">
        <f aca="false">IF(TRIM(B280)="","",IFERROR(INDEX('Code Aliases'!$B:$B,MATCH(TRIM(B280),'Code Aliases'!$A:$A,0)),TRIM(B280)))</f>
        <v/>
      </c>
      <c r="I280" s="67" t="str">
        <f aca="false">IF(TRIM(D280)="","",UPPER(TRIM(D280)))</f>
        <v/>
      </c>
      <c r="J280" s="67" t="str">
        <f aca="false">IF(TRIM(E280)="","",UPPER(TRIM(E280)))</f>
        <v/>
      </c>
    </row>
    <row r="281" customFormat="false" ht="14.25" hidden="false" customHeight="true" outlineLevel="0" collapsed="false">
      <c r="C281" s="17" t="str">
        <f aca="false">IF(TRIM(B281)="","",IFERROR(INDEX('Code Aliases'!$B:$B,MATCH(TRIM(B281),'Code Aliases'!$A:$A,0)),TRIM(B281)))</f>
        <v/>
      </c>
      <c r="I281" s="67" t="str">
        <f aca="false">IF(TRIM(D281)="","",UPPER(TRIM(D281)))</f>
        <v/>
      </c>
      <c r="J281" s="67" t="str">
        <f aca="false">IF(TRIM(E281)="","",UPPER(TRIM(E281)))</f>
        <v/>
      </c>
    </row>
    <row r="282" customFormat="false" ht="14.25" hidden="false" customHeight="true" outlineLevel="0" collapsed="false">
      <c r="C282" s="17" t="str">
        <f aca="false">IF(TRIM(B282)="","",IFERROR(INDEX('Code Aliases'!$B:$B,MATCH(TRIM(B282),'Code Aliases'!$A:$A,0)),TRIM(B282)))</f>
        <v/>
      </c>
      <c r="I282" s="67" t="str">
        <f aca="false">IF(TRIM(D282)="","",UPPER(TRIM(D282)))</f>
        <v/>
      </c>
      <c r="J282" s="67" t="str">
        <f aca="false">IF(TRIM(E282)="","",UPPER(TRIM(E282)))</f>
        <v/>
      </c>
    </row>
    <row r="283" customFormat="false" ht="14.25" hidden="false" customHeight="true" outlineLevel="0" collapsed="false">
      <c r="C283" s="17" t="str">
        <f aca="false">IF(TRIM(B283)="","",IFERROR(INDEX('Code Aliases'!$B:$B,MATCH(TRIM(B283),'Code Aliases'!$A:$A,0)),TRIM(B283)))</f>
        <v/>
      </c>
      <c r="I283" s="67" t="str">
        <f aca="false">IF(TRIM(D283)="","",UPPER(TRIM(D283)))</f>
        <v/>
      </c>
      <c r="J283" s="67" t="str">
        <f aca="false">IF(TRIM(E283)="","",UPPER(TRIM(E283)))</f>
        <v/>
      </c>
    </row>
    <row r="284" customFormat="false" ht="14.25" hidden="false" customHeight="true" outlineLevel="0" collapsed="false">
      <c r="C284" s="17" t="str">
        <f aca="false">IF(TRIM(B284)="","",IFERROR(INDEX('Code Aliases'!$B:$B,MATCH(TRIM(B284),'Code Aliases'!$A:$A,0)),TRIM(B284)))</f>
        <v/>
      </c>
      <c r="I284" s="67" t="str">
        <f aca="false">IF(TRIM(D284)="","",UPPER(TRIM(D284)))</f>
        <v/>
      </c>
      <c r="J284" s="67" t="str">
        <f aca="false">IF(TRIM(E284)="","",UPPER(TRIM(E284)))</f>
        <v/>
      </c>
    </row>
    <row r="285" customFormat="false" ht="14.25" hidden="false" customHeight="true" outlineLevel="0" collapsed="false">
      <c r="C285" s="17" t="str">
        <f aca="false">IF(TRIM(B285)="","",IFERROR(INDEX('Code Aliases'!$B:$B,MATCH(TRIM(B285),'Code Aliases'!$A:$A,0)),TRIM(B285)))</f>
        <v/>
      </c>
      <c r="I285" s="67" t="str">
        <f aca="false">IF(TRIM(D285)="","",UPPER(TRIM(D285)))</f>
        <v/>
      </c>
      <c r="J285" s="67" t="str">
        <f aca="false">IF(TRIM(E285)="","",UPPER(TRIM(E285)))</f>
        <v/>
      </c>
    </row>
    <row r="286" customFormat="false" ht="14.25" hidden="false" customHeight="true" outlineLevel="0" collapsed="false">
      <c r="C286" s="17" t="str">
        <f aca="false">IF(TRIM(B286)="","",IFERROR(INDEX('Code Aliases'!$B:$B,MATCH(TRIM(B286),'Code Aliases'!$A:$A,0)),TRIM(B286)))</f>
        <v/>
      </c>
      <c r="I286" s="67" t="str">
        <f aca="false">IF(TRIM(D286)="","",UPPER(TRIM(D286)))</f>
        <v/>
      </c>
      <c r="J286" s="67" t="str">
        <f aca="false">IF(TRIM(E286)="","",UPPER(TRIM(E286)))</f>
        <v/>
      </c>
    </row>
    <row r="287" customFormat="false" ht="14.25" hidden="false" customHeight="true" outlineLevel="0" collapsed="false">
      <c r="C287" s="17" t="str">
        <f aca="false">IF(TRIM(B287)="","",IFERROR(INDEX('Code Aliases'!$B:$B,MATCH(TRIM(B287),'Code Aliases'!$A:$A,0)),TRIM(B287)))</f>
        <v/>
      </c>
      <c r="I287" s="67" t="str">
        <f aca="false">IF(TRIM(D287)="","",UPPER(TRIM(D287)))</f>
        <v/>
      </c>
      <c r="J287" s="67" t="str">
        <f aca="false">IF(TRIM(E287)="","",UPPER(TRIM(E287)))</f>
        <v/>
      </c>
    </row>
    <row r="288" customFormat="false" ht="14.25" hidden="false" customHeight="true" outlineLevel="0" collapsed="false">
      <c r="C288" s="17" t="str">
        <f aca="false">IF(TRIM(B288)="","",IFERROR(INDEX('Code Aliases'!$B:$B,MATCH(TRIM(B288),'Code Aliases'!$A:$A,0)),TRIM(B288)))</f>
        <v/>
      </c>
      <c r="I288" s="67" t="str">
        <f aca="false">IF(TRIM(D288)="","",UPPER(TRIM(D288)))</f>
        <v/>
      </c>
      <c r="J288" s="67" t="str">
        <f aca="false">IF(TRIM(E288)="","",UPPER(TRIM(E288)))</f>
        <v/>
      </c>
    </row>
    <row r="289" customFormat="false" ht="14.25" hidden="false" customHeight="true" outlineLevel="0" collapsed="false">
      <c r="C289" s="17" t="str">
        <f aca="false">IF(TRIM(B289)="","",IFERROR(INDEX('Code Aliases'!$B:$B,MATCH(TRIM(B289),'Code Aliases'!$A:$A,0)),TRIM(B289)))</f>
        <v/>
      </c>
      <c r="I289" s="67" t="str">
        <f aca="false">IF(TRIM(D289)="","",UPPER(TRIM(D289)))</f>
        <v/>
      </c>
      <c r="J289" s="67" t="str">
        <f aca="false">IF(TRIM(E289)="","",UPPER(TRIM(E289)))</f>
        <v/>
      </c>
    </row>
    <row r="290" customFormat="false" ht="14.25" hidden="false" customHeight="true" outlineLevel="0" collapsed="false">
      <c r="C290" s="17" t="str">
        <f aca="false">IF(TRIM(B290)="","",IFERROR(INDEX('Code Aliases'!$B:$B,MATCH(TRIM(B290),'Code Aliases'!$A:$A,0)),TRIM(B290)))</f>
        <v/>
      </c>
      <c r="I290" s="67" t="str">
        <f aca="false">IF(TRIM(D290)="","",UPPER(TRIM(D290)))</f>
        <v/>
      </c>
      <c r="J290" s="67" t="str">
        <f aca="false">IF(TRIM(E290)="","",UPPER(TRIM(E290)))</f>
        <v/>
      </c>
    </row>
    <row r="291" customFormat="false" ht="14.25" hidden="false" customHeight="true" outlineLevel="0" collapsed="false">
      <c r="C291" s="17" t="str">
        <f aca="false">IF(TRIM(B291)="","",IFERROR(INDEX('Code Aliases'!$B:$B,MATCH(TRIM(B291),'Code Aliases'!$A:$A,0)),TRIM(B291)))</f>
        <v/>
      </c>
      <c r="I291" s="67" t="str">
        <f aca="false">IF(TRIM(D291)="","",UPPER(TRIM(D291)))</f>
        <v/>
      </c>
      <c r="J291" s="67" t="str">
        <f aca="false">IF(TRIM(E291)="","",UPPER(TRIM(E291)))</f>
        <v/>
      </c>
    </row>
    <row r="292" customFormat="false" ht="14.25" hidden="false" customHeight="true" outlineLevel="0" collapsed="false">
      <c r="C292" s="17" t="str">
        <f aca="false">IF(TRIM(B292)="","",IFERROR(INDEX('Code Aliases'!$B:$B,MATCH(TRIM(B292),'Code Aliases'!$A:$A,0)),TRIM(B292)))</f>
        <v/>
      </c>
      <c r="I292" s="67" t="str">
        <f aca="false">IF(TRIM(D292)="","",UPPER(TRIM(D292)))</f>
        <v/>
      </c>
      <c r="J292" s="67" t="str">
        <f aca="false">IF(TRIM(E292)="","",UPPER(TRIM(E292)))</f>
        <v/>
      </c>
    </row>
    <row r="293" customFormat="false" ht="14.25" hidden="false" customHeight="true" outlineLevel="0" collapsed="false">
      <c r="C293" s="17" t="str">
        <f aca="false">IF(TRIM(B293)="","",IFERROR(INDEX('Code Aliases'!$B:$B,MATCH(TRIM(B293),'Code Aliases'!$A:$A,0)),TRIM(B293)))</f>
        <v/>
      </c>
      <c r="I293" s="67" t="str">
        <f aca="false">IF(TRIM(D293)="","",UPPER(TRIM(D293)))</f>
        <v/>
      </c>
      <c r="J293" s="67" t="str">
        <f aca="false">IF(TRIM(E293)="","",UPPER(TRIM(E293)))</f>
        <v/>
      </c>
    </row>
    <row r="294" customFormat="false" ht="14.25" hidden="false" customHeight="true" outlineLevel="0" collapsed="false">
      <c r="C294" s="17" t="str">
        <f aca="false">IF(TRIM(B294)="","",IFERROR(INDEX('Code Aliases'!$B:$B,MATCH(TRIM(B294),'Code Aliases'!$A:$A,0)),TRIM(B294)))</f>
        <v/>
      </c>
      <c r="I294" s="67" t="str">
        <f aca="false">IF(TRIM(D294)="","",UPPER(TRIM(D294)))</f>
        <v/>
      </c>
      <c r="J294" s="67" t="str">
        <f aca="false">IF(TRIM(E294)="","",UPPER(TRIM(E294)))</f>
        <v/>
      </c>
    </row>
    <row r="295" customFormat="false" ht="14.25" hidden="false" customHeight="true" outlineLevel="0" collapsed="false">
      <c r="C295" s="17" t="str">
        <f aca="false">IF(TRIM(B295)="","",IFERROR(INDEX('Code Aliases'!$B:$B,MATCH(TRIM(B295),'Code Aliases'!$A:$A,0)),TRIM(B295)))</f>
        <v/>
      </c>
      <c r="I295" s="67" t="str">
        <f aca="false">IF(TRIM(D295)="","",UPPER(TRIM(D295)))</f>
        <v/>
      </c>
      <c r="J295" s="67" t="str">
        <f aca="false">IF(TRIM(E295)="","",UPPER(TRIM(E295)))</f>
        <v/>
      </c>
    </row>
    <row r="296" customFormat="false" ht="14.25" hidden="false" customHeight="true" outlineLevel="0" collapsed="false">
      <c r="C296" s="17" t="str">
        <f aca="false">IF(TRIM(B296)="","",IFERROR(INDEX('Code Aliases'!$B:$B,MATCH(TRIM(B296),'Code Aliases'!$A:$A,0)),TRIM(B296)))</f>
        <v/>
      </c>
      <c r="I296" s="67" t="str">
        <f aca="false">IF(TRIM(D296)="","",UPPER(TRIM(D296)))</f>
        <v/>
      </c>
      <c r="J296" s="67" t="str">
        <f aca="false">IF(TRIM(E296)="","",UPPER(TRIM(E296)))</f>
        <v/>
      </c>
    </row>
    <row r="297" customFormat="false" ht="14.25" hidden="false" customHeight="true" outlineLevel="0" collapsed="false">
      <c r="C297" s="17" t="str">
        <f aca="false">IF(TRIM(B297)="","",IFERROR(INDEX('Code Aliases'!$B:$B,MATCH(TRIM(B297),'Code Aliases'!$A:$A,0)),TRIM(B297)))</f>
        <v/>
      </c>
      <c r="I297" s="67" t="str">
        <f aca="false">IF(TRIM(D297)="","",UPPER(TRIM(D297)))</f>
        <v/>
      </c>
      <c r="J297" s="67" t="str">
        <f aca="false">IF(TRIM(E297)="","",UPPER(TRIM(E297)))</f>
        <v/>
      </c>
    </row>
    <row r="298" customFormat="false" ht="14.25" hidden="false" customHeight="true" outlineLevel="0" collapsed="false">
      <c r="C298" s="17" t="str">
        <f aca="false">IF(TRIM(B298)="","",IFERROR(INDEX('Code Aliases'!$B:$B,MATCH(TRIM(B298),'Code Aliases'!$A:$A,0)),TRIM(B298)))</f>
        <v/>
      </c>
      <c r="I298" s="67" t="str">
        <f aca="false">IF(TRIM(D298)="","",UPPER(TRIM(D298)))</f>
        <v/>
      </c>
      <c r="J298" s="67" t="str">
        <f aca="false">IF(TRIM(E298)="","",UPPER(TRIM(E298)))</f>
        <v/>
      </c>
    </row>
    <row r="299" customFormat="false" ht="14.25" hidden="false" customHeight="true" outlineLevel="0" collapsed="false">
      <c r="C299" s="17" t="str">
        <f aca="false">IF(TRIM(B299)="","",IFERROR(INDEX('Code Aliases'!$B:$B,MATCH(TRIM(B299),'Code Aliases'!$A:$A,0)),TRIM(B299)))</f>
        <v/>
      </c>
      <c r="I299" s="67" t="str">
        <f aca="false">IF(TRIM(D299)="","",UPPER(TRIM(D299)))</f>
        <v/>
      </c>
      <c r="J299" s="67" t="str">
        <f aca="false">IF(TRIM(E299)="","",UPPER(TRIM(E299)))</f>
        <v/>
      </c>
    </row>
    <row r="300" customFormat="false" ht="14.25" hidden="false" customHeight="true" outlineLevel="0" collapsed="false">
      <c r="C300" s="17" t="str">
        <f aca="false">IF(TRIM(B300)="","",IFERROR(INDEX('Code Aliases'!$B:$B,MATCH(TRIM(B300),'Code Aliases'!$A:$A,0)),TRIM(B300)))</f>
        <v/>
      </c>
      <c r="I300" s="67" t="str">
        <f aca="false">IF(TRIM(D300)="","",UPPER(TRIM(D300)))</f>
        <v/>
      </c>
      <c r="J300" s="67" t="str">
        <f aca="false">IF(TRIM(E300)="","",UPPER(TRIM(E300)))</f>
        <v/>
      </c>
    </row>
    <row r="301" customFormat="false" ht="14.25" hidden="false" customHeight="true" outlineLevel="0" collapsed="false">
      <c r="C301" s="17" t="str">
        <f aca="false">IF(TRIM(B301)="","",IFERROR(INDEX('Code Aliases'!$B:$B,MATCH(TRIM(B301),'Code Aliases'!$A:$A,0)),TRIM(B301)))</f>
        <v/>
      </c>
      <c r="I301" s="67" t="str">
        <f aca="false">IF(TRIM(D301)="","",UPPER(TRIM(D301)))</f>
        <v/>
      </c>
      <c r="J301" s="67" t="str">
        <f aca="false">IF(TRIM(E301)="","",UPPER(TRIM(E301)))</f>
        <v/>
      </c>
    </row>
    <row r="302" customFormat="false" ht="14.25" hidden="false" customHeight="true" outlineLevel="0" collapsed="false">
      <c r="C302" s="17" t="str">
        <f aca="false">IF(TRIM(B302)="","",IFERROR(INDEX('Code Aliases'!$B:$B,MATCH(TRIM(B302),'Code Aliases'!$A:$A,0)),TRIM(B302)))</f>
        <v/>
      </c>
      <c r="I302" s="67" t="str">
        <f aca="false">IF(TRIM(D302)="","",UPPER(TRIM(D302)))</f>
        <v/>
      </c>
      <c r="J302" s="67" t="str">
        <f aca="false">IF(TRIM(E302)="","",UPPER(TRIM(E302)))</f>
        <v/>
      </c>
    </row>
    <row r="303" customFormat="false" ht="14.25" hidden="false" customHeight="true" outlineLevel="0" collapsed="false">
      <c r="C303" s="17" t="str">
        <f aca="false">IF(TRIM(B303)="","",IFERROR(INDEX('Code Aliases'!$B:$B,MATCH(TRIM(B303),'Code Aliases'!$A:$A,0)),TRIM(B303)))</f>
        <v/>
      </c>
      <c r="I303" s="67" t="str">
        <f aca="false">IF(TRIM(D303)="","",UPPER(TRIM(D303)))</f>
        <v/>
      </c>
      <c r="J303" s="67" t="str">
        <f aca="false">IF(TRIM(E303)="","",UPPER(TRIM(E303)))</f>
        <v/>
      </c>
    </row>
    <row r="304" customFormat="false" ht="14.25" hidden="false" customHeight="true" outlineLevel="0" collapsed="false">
      <c r="C304" s="17" t="str">
        <f aca="false">IF(TRIM(B304)="","",IFERROR(INDEX('Code Aliases'!$B:$B,MATCH(TRIM(B304),'Code Aliases'!$A:$A,0)),TRIM(B304)))</f>
        <v/>
      </c>
      <c r="I304" s="67" t="str">
        <f aca="false">IF(TRIM(D304)="","",UPPER(TRIM(D304)))</f>
        <v/>
      </c>
      <c r="J304" s="67" t="str">
        <f aca="false">IF(TRIM(E304)="","",UPPER(TRIM(E304)))</f>
        <v/>
      </c>
    </row>
    <row r="305" customFormat="false" ht="14.25" hidden="false" customHeight="true" outlineLevel="0" collapsed="false">
      <c r="C305" s="17" t="str">
        <f aca="false">IF(TRIM(B305)="","",IFERROR(INDEX('Code Aliases'!$B:$B,MATCH(TRIM(B305),'Code Aliases'!$A:$A,0)),TRIM(B305)))</f>
        <v/>
      </c>
      <c r="I305" s="67" t="str">
        <f aca="false">IF(TRIM(D305)="","",UPPER(TRIM(D305)))</f>
        <v/>
      </c>
      <c r="J305" s="67" t="str">
        <f aca="false">IF(TRIM(E305)="","",UPPER(TRIM(E305)))</f>
        <v/>
      </c>
    </row>
    <row r="306" customFormat="false" ht="14.25" hidden="false" customHeight="true" outlineLevel="0" collapsed="false">
      <c r="C306" s="17" t="str">
        <f aca="false">IF(TRIM(B306)="","",IFERROR(INDEX('Code Aliases'!$B:$B,MATCH(TRIM(B306),'Code Aliases'!$A:$A,0)),TRIM(B306)))</f>
        <v/>
      </c>
      <c r="I306" s="67" t="str">
        <f aca="false">IF(TRIM(D306)="","",UPPER(TRIM(D306)))</f>
        <v/>
      </c>
      <c r="J306" s="67" t="str">
        <f aca="false">IF(TRIM(E306)="","",UPPER(TRIM(E306)))</f>
        <v/>
      </c>
    </row>
    <row r="307" customFormat="false" ht="14.25" hidden="false" customHeight="true" outlineLevel="0" collapsed="false">
      <c r="C307" s="17" t="str">
        <f aca="false">IF(TRIM(B307)="","",IFERROR(INDEX('Code Aliases'!$B:$B,MATCH(TRIM(B307),'Code Aliases'!$A:$A,0)),TRIM(B307)))</f>
        <v/>
      </c>
      <c r="I307" s="67" t="str">
        <f aca="false">IF(TRIM(D307)="","",UPPER(TRIM(D307)))</f>
        <v/>
      </c>
      <c r="J307" s="67" t="str">
        <f aca="false">IF(TRIM(E307)="","",UPPER(TRIM(E307)))</f>
        <v/>
      </c>
    </row>
    <row r="308" customFormat="false" ht="14.25" hidden="false" customHeight="true" outlineLevel="0" collapsed="false">
      <c r="C308" s="17" t="str">
        <f aca="false">IF(TRIM(B308)="","",IFERROR(INDEX('Code Aliases'!$B:$B,MATCH(TRIM(B308),'Code Aliases'!$A:$A,0)),TRIM(B308)))</f>
        <v/>
      </c>
      <c r="I308" s="67" t="str">
        <f aca="false">IF(TRIM(D308)="","",UPPER(TRIM(D308)))</f>
        <v/>
      </c>
      <c r="J308" s="67" t="str">
        <f aca="false">IF(TRIM(E308)="","",UPPER(TRIM(E308)))</f>
        <v/>
      </c>
    </row>
    <row r="309" customFormat="false" ht="14.25" hidden="false" customHeight="true" outlineLevel="0" collapsed="false">
      <c r="C309" s="17" t="str">
        <f aca="false">IF(TRIM(B309)="","",IFERROR(INDEX('Code Aliases'!$B:$B,MATCH(TRIM(B309),'Code Aliases'!$A:$A,0)),TRIM(B309)))</f>
        <v/>
      </c>
      <c r="I309" s="67" t="str">
        <f aca="false">IF(TRIM(D309)="","",UPPER(TRIM(D309)))</f>
        <v/>
      </c>
      <c r="J309" s="67" t="str">
        <f aca="false">IF(TRIM(E309)="","",UPPER(TRIM(E309)))</f>
        <v/>
      </c>
    </row>
    <row r="310" customFormat="false" ht="14.25" hidden="false" customHeight="true" outlineLevel="0" collapsed="false">
      <c r="C310" s="17" t="str">
        <f aca="false">IF(TRIM(B310)="","",IFERROR(INDEX('Code Aliases'!$B:$B,MATCH(TRIM(B310),'Code Aliases'!$A:$A,0)),TRIM(B310)))</f>
        <v/>
      </c>
      <c r="I310" s="67" t="str">
        <f aca="false">IF(TRIM(D310)="","",UPPER(TRIM(D310)))</f>
        <v/>
      </c>
      <c r="J310" s="67" t="str">
        <f aca="false">IF(TRIM(E310)="","",UPPER(TRIM(E310)))</f>
        <v/>
      </c>
    </row>
    <row r="311" customFormat="false" ht="14.25" hidden="false" customHeight="true" outlineLevel="0" collapsed="false">
      <c r="C311" s="17" t="str">
        <f aca="false">IF(TRIM(B311)="","",IFERROR(INDEX('Code Aliases'!$B:$B,MATCH(TRIM(B311),'Code Aliases'!$A:$A,0)),TRIM(B311)))</f>
        <v/>
      </c>
      <c r="I311" s="67" t="str">
        <f aca="false">IF(TRIM(D311)="","",UPPER(TRIM(D311)))</f>
        <v/>
      </c>
      <c r="J311" s="67" t="str">
        <f aca="false">IF(TRIM(E311)="","",UPPER(TRIM(E311)))</f>
        <v/>
      </c>
    </row>
    <row r="312" customFormat="false" ht="14.25" hidden="false" customHeight="true" outlineLevel="0" collapsed="false">
      <c r="C312" s="17" t="str">
        <f aca="false">IF(TRIM(B312)="","",IFERROR(INDEX('Code Aliases'!$B:$B,MATCH(TRIM(B312),'Code Aliases'!$A:$A,0)),TRIM(B312)))</f>
        <v/>
      </c>
      <c r="I312" s="67" t="str">
        <f aca="false">IF(TRIM(D312)="","",UPPER(TRIM(D312)))</f>
        <v/>
      </c>
      <c r="J312" s="67" t="str">
        <f aca="false">IF(TRIM(E312)="","",UPPER(TRIM(E312)))</f>
        <v/>
      </c>
    </row>
    <row r="313" customFormat="false" ht="14.25" hidden="false" customHeight="true" outlineLevel="0" collapsed="false">
      <c r="C313" s="17" t="str">
        <f aca="false">IF(TRIM(B313)="","",IFERROR(INDEX('Code Aliases'!$B:$B,MATCH(TRIM(B313),'Code Aliases'!$A:$A,0)),TRIM(B313)))</f>
        <v/>
      </c>
      <c r="I313" s="67" t="str">
        <f aca="false">IF(TRIM(D313)="","",UPPER(TRIM(D313)))</f>
        <v/>
      </c>
      <c r="J313" s="67" t="str">
        <f aca="false">IF(TRIM(E313)="","",UPPER(TRIM(E313)))</f>
        <v/>
      </c>
    </row>
    <row r="314" customFormat="false" ht="14.25" hidden="false" customHeight="true" outlineLevel="0" collapsed="false">
      <c r="C314" s="17" t="str">
        <f aca="false">IF(TRIM(B314)="","",IFERROR(INDEX('Code Aliases'!$B:$B,MATCH(TRIM(B314),'Code Aliases'!$A:$A,0)),TRIM(B314)))</f>
        <v/>
      </c>
      <c r="I314" s="67" t="str">
        <f aca="false">IF(TRIM(D314)="","",UPPER(TRIM(D314)))</f>
        <v/>
      </c>
      <c r="J314" s="67" t="str">
        <f aca="false">IF(TRIM(E314)="","",UPPER(TRIM(E314)))</f>
        <v/>
      </c>
    </row>
    <row r="315" customFormat="false" ht="14.25" hidden="false" customHeight="true" outlineLevel="0" collapsed="false">
      <c r="C315" s="17" t="str">
        <f aca="false">IF(TRIM(B315)="","",IFERROR(INDEX('Code Aliases'!$B:$B,MATCH(TRIM(B315),'Code Aliases'!$A:$A,0)),TRIM(B315)))</f>
        <v/>
      </c>
      <c r="I315" s="67" t="str">
        <f aca="false">IF(TRIM(D315)="","",UPPER(TRIM(D315)))</f>
        <v/>
      </c>
      <c r="J315" s="67" t="str">
        <f aca="false">IF(TRIM(E315)="","",UPPER(TRIM(E315)))</f>
        <v/>
      </c>
    </row>
    <row r="316" customFormat="false" ht="14.25" hidden="false" customHeight="true" outlineLevel="0" collapsed="false">
      <c r="C316" s="17" t="str">
        <f aca="false">IF(TRIM(B316)="","",IFERROR(INDEX('Code Aliases'!$B:$B,MATCH(TRIM(B316),'Code Aliases'!$A:$A,0)),TRIM(B316)))</f>
        <v/>
      </c>
      <c r="I316" s="67" t="str">
        <f aca="false">IF(TRIM(D316)="","",UPPER(TRIM(D316)))</f>
        <v/>
      </c>
      <c r="J316" s="67" t="str">
        <f aca="false">IF(TRIM(E316)="","",UPPER(TRIM(E316)))</f>
        <v/>
      </c>
    </row>
    <row r="317" customFormat="false" ht="14.25" hidden="false" customHeight="true" outlineLevel="0" collapsed="false">
      <c r="C317" s="17" t="str">
        <f aca="false">IF(TRIM(B317)="","",IFERROR(INDEX('Code Aliases'!$B:$B,MATCH(TRIM(B317),'Code Aliases'!$A:$A,0)),TRIM(B317)))</f>
        <v/>
      </c>
      <c r="I317" s="67" t="str">
        <f aca="false">IF(TRIM(D317)="","",UPPER(TRIM(D317)))</f>
        <v/>
      </c>
      <c r="J317" s="67" t="str">
        <f aca="false">IF(TRIM(E317)="","",UPPER(TRIM(E317)))</f>
        <v/>
      </c>
    </row>
    <row r="318" customFormat="false" ht="14.25" hidden="false" customHeight="true" outlineLevel="0" collapsed="false">
      <c r="C318" s="17" t="str">
        <f aca="false">IF(TRIM(B318)="","",IFERROR(INDEX('Code Aliases'!$B:$B,MATCH(TRIM(B318),'Code Aliases'!$A:$A,0)),TRIM(B318)))</f>
        <v/>
      </c>
      <c r="I318" s="67" t="str">
        <f aca="false">IF(TRIM(D318)="","",UPPER(TRIM(D318)))</f>
        <v/>
      </c>
      <c r="J318" s="67" t="str">
        <f aca="false">IF(TRIM(E318)="","",UPPER(TRIM(E318)))</f>
        <v/>
      </c>
    </row>
    <row r="319" customFormat="false" ht="14.25" hidden="false" customHeight="true" outlineLevel="0" collapsed="false">
      <c r="C319" s="17" t="str">
        <f aca="false">IF(TRIM(B319)="","",IFERROR(INDEX('Code Aliases'!$B:$B,MATCH(TRIM(B319),'Code Aliases'!$A:$A,0)),TRIM(B319)))</f>
        <v/>
      </c>
      <c r="I319" s="67" t="str">
        <f aca="false">IF(TRIM(D319)="","",UPPER(TRIM(D319)))</f>
        <v/>
      </c>
      <c r="J319" s="67" t="str">
        <f aca="false">IF(TRIM(E319)="","",UPPER(TRIM(E319)))</f>
        <v/>
      </c>
    </row>
    <row r="320" customFormat="false" ht="14.25" hidden="false" customHeight="true" outlineLevel="0" collapsed="false">
      <c r="C320" s="17" t="str">
        <f aca="false">IF(TRIM(B320)="","",IFERROR(INDEX('Code Aliases'!$B:$B,MATCH(TRIM(B320),'Code Aliases'!$A:$A,0)),TRIM(B320)))</f>
        <v/>
      </c>
      <c r="I320" s="67" t="str">
        <f aca="false">IF(TRIM(D320)="","",UPPER(TRIM(D320)))</f>
        <v/>
      </c>
      <c r="J320" s="67" t="str">
        <f aca="false">IF(TRIM(E320)="","",UPPER(TRIM(E320)))</f>
        <v/>
      </c>
    </row>
    <row r="321" customFormat="false" ht="14.25" hidden="false" customHeight="true" outlineLevel="0" collapsed="false">
      <c r="C321" s="17" t="str">
        <f aca="false">IF(TRIM(B321)="","",IFERROR(INDEX('Code Aliases'!$B:$B,MATCH(TRIM(B321),'Code Aliases'!$A:$A,0)),TRIM(B321)))</f>
        <v/>
      </c>
      <c r="I321" s="67" t="str">
        <f aca="false">IF(TRIM(D321)="","",UPPER(TRIM(D321)))</f>
        <v/>
      </c>
      <c r="J321" s="67" t="str">
        <f aca="false">IF(TRIM(E321)="","",UPPER(TRIM(E321)))</f>
        <v/>
      </c>
    </row>
    <row r="322" customFormat="false" ht="14.25" hidden="false" customHeight="true" outlineLevel="0" collapsed="false">
      <c r="C322" s="17" t="str">
        <f aca="false">IF(TRIM(B322)="","",IFERROR(INDEX('Code Aliases'!$B:$B,MATCH(TRIM(B322),'Code Aliases'!$A:$A,0)),TRIM(B322)))</f>
        <v/>
      </c>
      <c r="I322" s="67" t="str">
        <f aca="false">IF(TRIM(D322)="","",UPPER(TRIM(D322)))</f>
        <v/>
      </c>
      <c r="J322" s="67" t="str">
        <f aca="false">IF(TRIM(E322)="","",UPPER(TRIM(E322)))</f>
        <v/>
      </c>
    </row>
    <row r="323" customFormat="false" ht="14.25" hidden="false" customHeight="true" outlineLevel="0" collapsed="false">
      <c r="C323" s="17" t="str">
        <f aca="false">IF(TRIM(B323)="","",IFERROR(INDEX('Code Aliases'!$B:$B,MATCH(TRIM(B323),'Code Aliases'!$A:$A,0)),TRIM(B323)))</f>
        <v/>
      </c>
      <c r="I323" s="67" t="str">
        <f aca="false">IF(TRIM(D323)="","",UPPER(TRIM(D323)))</f>
        <v/>
      </c>
      <c r="J323" s="67" t="str">
        <f aca="false">IF(TRIM(E323)="","",UPPER(TRIM(E323)))</f>
        <v/>
      </c>
    </row>
    <row r="324" customFormat="false" ht="14.25" hidden="false" customHeight="true" outlineLevel="0" collapsed="false">
      <c r="C324" s="17" t="str">
        <f aca="false">IF(TRIM(B324)="","",IFERROR(INDEX('Code Aliases'!$B:$B,MATCH(TRIM(B324),'Code Aliases'!$A:$A,0)),TRIM(B324)))</f>
        <v/>
      </c>
      <c r="I324" s="67" t="str">
        <f aca="false">IF(TRIM(D324)="","",UPPER(TRIM(D324)))</f>
        <v/>
      </c>
      <c r="J324" s="67" t="str">
        <f aca="false">IF(TRIM(E324)="","",UPPER(TRIM(E324)))</f>
        <v/>
      </c>
    </row>
    <row r="325" customFormat="false" ht="14.25" hidden="false" customHeight="true" outlineLevel="0" collapsed="false">
      <c r="C325" s="17" t="str">
        <f aca="false">IF(TRIM(B325)="","",IFERROR(INDEX('Code Aliases'!$B:$B,MATCH(TRIM(B325),'Code Aliases'!$A:$A,0)),TRIM(B325)))</f>
        <v/>
      </c>
      <c r="I325" s="67" t="str">
        <f aca="false">IF(TRIM(D325)="","",UPPER(TRIM(D325)))</f>
        <v/>
      </c>
      <c r="J325" s="67" t="str">
        <f aca="false">IF(TRIM(E325)="","",UPPER(TRIM(E325)))</f>
        <v/>
      </c>
    </row>
    <row r="326" customFormat="false" ht="14.25" hidden="false" customHeight="true" outlineLevel="0" collapsed="false">
      <c r="C326" s="17" t="str">
        <f aca="false">IF(TRIM(B326)="","",IFERROR(INDEX('Code Aliases'!$B:$B,MATCH(TRIM(B326),'Code Aliases'!$A:$A,0)),TRIM(B326)))</f>
        <v/>
      </c>
      <c r="I326" s="67" t="str">
        <f aca="false">IF(TRIM(D326)="","",UPPER(TRIM(D326)))</f>
        <v/>
      </c>
      <c r="J326" s="67" t="str">
        <f aca="false">IF(TRIM(E326)="","",UPPER(TRIM(E326)))</f>
        <v/>
      </c>
    </row>
    <row r="327" customFormat="false" ht="14.25" hidden="false" customHeight="true" outlineLevel="0" collapsed="false">
      <c r="C327" s="17" t="str">
        <f aca="false">IF(TRIM(B327)="","",IFERROR(INDEX('Code Aliases'!$B:$B,MATCH(TRIM(B327),'Code Aliases'!$A:$A,0)),TRIM(B327)))</f>
        <v/>
      </c>
      <c r="I327" s="67" t="str">
        <f aca="false">IF(TRIM(D327)="","",UPPER(TRIM(D327)))</f>
        <v/>
      </c>
      <c r="J327" s="67" t="str">
        <f aca="false">IF(TRIM(E327)="","",UPPER(TRIM(E327)))</f>
        <v/>
      </c>
    </row>
    <row r="328" customFormat="false" ht="14.25" hidden="false" customHeight="true" outlineLevel="0" collapsed="false">
      <c r="C328" s="17" t="str">
        <f aca="false">IF(TRIM(B328)="","",IFERROR(INDEX('Code Aliases'!$B:$B,MATCH(TRIM(B328),'Code Aliases'!$A:$A,0)),TRIM(B328)))</f>
        <v/>
      </c>
      <c r="I328" s="67" t="str">
        <f aca="false">IF(TRIM(D328)="","",UPPER(TRIM(D328)))</f>
        <v/>
      </c>
      <c r="J328" s="67" t="str">
        <f aca="false">IF(TRIM(E328)="","",UPPER(TRIM(E328)))</f>
        <v/>
      </c>
    </row>
    <row r="329" customFormat="false" ht="14.25" hidden="false" customHeight="true" outlineLevel="0" collapsed="false">
      <c r="C329" s="17" t="str">
        <f aca="false">IF(TRIM(B329)="","",IFERROR(INDEX('Code Aliases'!$B:$B,MATCH(TRIM(B329),'Code Aliases'!$A:$A,0)),TRIM(B329)))</f>
        <v/>
      </c>
      <c r="I329" s="67" t="str">
        <f aca="false">IF(TRIM(D329)="","",UPPER(TRIM(D329)))</f>
        <v/>
      </c>
      <c r="J329" s="67" t="str">
        <f aca="false">IF(TRIM(E329)="","",UPPER(TRIM(E329)))</f>
        <v/>
      </c>
    </row>
    <row r="330" customFormat="false" ht="14.25" hidden="false" customHeight="true" outlineLevel="0" collapsed="false">
      <c r="C330" s="17" t="str">
        <f aca="false">IF(TRIM(B330)="","",IFERROR(INDEX('Code Aliases'!$B:$B,MATCH(TRIM(B330),'Code Aliases'!$A:$A,0)),TRIM(B330)))</f>
        <v/>
      </c>
      <c r="I330" s="67" t="str">
        <f aca="false">IF(TRIM(D330)="","",UPPER(TRIM(D330)))</f>
        <v/>
      </c>
      <c r="J330" s="67" t="str">
        <f aca="false">IF(TRIM(E330)="","",UPPER(TRIM(E330)))</f>
        <v/>
      </c>
    </row>
    <row r="331" customFormat="false" ht="14.25" hidden="false" customHeight="true" outlineLevel="0" collapsed="false">
      <c r="C331" s="17" t="str">
        <f aca="false">IF(TRIM(B331)="","",IFERROR(INDEX('Code Aliases'!$B:$B,MATCH(TRIM(B331),'Code Aliases'!$A:$A,0)),TRIM(B331)))</f>
        <v/>
      </c>
      <c r="I331" s="67" t="str">
        <f aca="false">IF(TRIM(D331)="","",UPPER(TRIM(D331)))</f>
        <v/>
      </c>
      <c r="J331" s="67" t="str">
        <f aca="false">IF(TRIM(E331)="","",UPPER(TRIM(E331)))</f>
        <v/>
      </c>
    </row>
    <row r="332" customFormat="false" ht="14.25" hidden="false" customHeight="true" outlineLevel="0" collapsed="false">
      <c r="C332" s="17" t="str">
        <f aca="false">IF(TRIM(B332)="","",IFERROR(INDEX('Code Aliases'!$B:$B,MATCH(TRIM(B332),'Code Aliases'!$A:$A,0)),TRIM(B332)))</f>
        <v/>
      </c>
      <c r="I332" s="67" t="str">
        <f aca="false">IF(TRIM(D332)="","",UPPER(TRIM(D332)))</f>
        <v/>
      </c>
      <c r="J332" s="67" t="str">
        <f aca="false">IF(TRIM(E332)="","",UPPER(TRIM(E332)))</f>
        <v/>
      </c>
    </row>
    <row r="333" customFormat="false" ht="14.25" hidden="false" customHeight="true" outlineLevel="0" collapsed="false">
      <c r="C333" s="17" t="str">
        <f aca="false">IF(TRIM(B333)="","",IFERROR(INDEX('Code Aliases'!$B:$B,MATCH(TRIM(B333),'Code Aliases'!$A:$A,0)),TRIM(B333)))</f>
        <v/>
      </c>
      <c r="I333" s="67" t="str">
        <f aca="false">IF(TRIM(D333)="","",UPPER(TRIM(D333)))</f>
        <v/>
      </c>
      <c r="J333" s="67" t="str">
        <f aca="false">IF(TRIM(E333)="","",UPPER(TRIM(E333)))</f>
        <v/>
      </c>
    </row>
    <row r="334" customFormat="false" ht="14.25" hidden="false" customHeight="true" outlineLevel="0" collapsed="false">
      <c r="C334" s="17" t="str">
        <f aca="false">IF(TRIM(B334)="","",IFERROR(INDEX('Code Aliases'!$B:$B,MATCH(TRIM(B334),'Code Aliases'!$A:$A,0)),TRIM(B334)))</f>
        <v/>
      </c>
      <c r="I334" s="67" t="str">
        <f aca="false">IF(TRIM(D334)="","",UPPER(TRIM(D334)))</f>
        <v/>
      </c>
      <c r="J334" s="67" t="str">
        <f aca="false">IF(TRIM(E334)="","",UPPER(TRIM(E334)))</f>
        <v/>
      </c>
    </row>
    <row r="335" customFormat="false" ht="14.25" hidden="false" customHeight="true" outlineLevel="0" collapsed="false">
      <c r="C335" s="17" t="str">
        <f aca="false">IF(TRIM(B335)="","",IFERROR(INDEX('Code Aliases'!$B:$B,MATCH(TRIM(B335),'Code Aliases'!$A:$A,0)),TRIM(B335)))</f>
        <v/>
      </c>
      <c r="I335" s="67" t="str">
        <f aca="false">IF(TRIM(D335)="","",UPPER(TRIM(D335)))</f>
        <v/>
      </c>
      <c r="J335" s="67" t="str">
        <f aca="false">IF(TRIM(E335)="","",UPPER(TRIM(E335)))</f>
        <v/>
      </c>
    </row>
    <row r="336" customFormat="false" ht="14.25" hidden="false" customHeight="true" outlineLevel="0" collapsed="false">
      <c r="C336" s="17" t="str">
        <f aca="false">IF(TRIM(B336)="","",IFERROR(INDEX('Code Aliases'!$B:$B,MATCH(TRIM(B336),'Code Aliases'!$A:$A,0)),TRIM(B336)))</f>
        <v/>
      </c>
      <c r="I336" s="67" t="str">
        <f aca="false">IF(TRIM(D336)="","",UPPER(TRIM(D336)))</f>
        <v/>
      </c>
      <c r="J336" s="67" t="str">
        <f aca="false">IF(TRIM(E336)="","",UPPER(TRIM(E336)))</f>
        <v/>
      </c>
    </row>
    <row r="337" customFormat="false" ht="14.25" hidden="false" customHeight="true" outlineLevel="0" collapsed="false">
      <c r="C337" s="17" t="str">
        <f aca="false">IF(TRIM(B337)="","",IFERROR(INDEX('Code Aliases'!$B:$B,MATCH(TRIM(B337),'Code Aliases'!$A:$A,0)),TRIM(B337)))</f>
        <v/>
      </c>
      <c r="I337" s="67" t="str">
        <f aca="false">IF(TRIM(D337)="","",UPPER(TRIM(D337)))</f>
        <v/>
      </c>
      <c r="J337" s="67" t="str">
        <f aca="false">IF(TRIM(E337)="","",UPPER(TRIM(E337)))</f>
        <v/>
      </c>
    </row>
    <row r="338" customFormat="false" ht="14.25" hidden="false" customHeight="true" outlineLevel="0" collapsed="false">
      <c r="C338" s="17" t="str">
        <f aca="false">IF(TRIM(B338)="","",IFERROR(INDEX('Code Aliases'!$B:$B,MATCH(TRIM(B338),'Code Aliases'!$A:$A,0)),TRIM(B338)))</f>
        <v/>
      </c>
      <c r="I338" s="67" t="str">
        <f aca="false">IF(TRIM(D338)="","",UPPER(TRIM(D338)))</f>
        <v/>
      </c>
      <c r="J338" s="67" t="str">
        <f aca="false">IF(TRIM(E338)="","",UPPER(TRIM(E338)))</f>
        <v/>
      </c>
    </row>
    <row r="339" customFormat="false" ht="14.25" hidden="false" customHeight="true" outlineLevel="0" collapsed="false">
      <c r="C339" s="17" t="str">
        <f aca="false">IF(TRIM(B339)="","",IFERROR(INDEX('Code Aliases'!$B:$B,MATCH(TRIM(B339),'Code Aliases'!$A:$A,0)),TRIM(B339)))</f>
        <v/>
      </c>
      <c r="I339" s="67" t="str">
        <f aca="false">IF(TRIM(D339)="","",UPPER(TRIM(D339)))</f>
        <v/>
      </c>
      <c r="J339" s="67" t="str">
        <f aca="false">IF(TRIM(E339)="","",UPPER(TRIM(E339)))</f>
        <v/>
      </c>
    </row>
    <row r="340" customFormat="false" ht="14.25" hidden="false" customHeight="true" outlineLevel="0" collapsed="false">
      <c r="C340" s="17" t="str">
        <f aca="false">IF(TRIM(B340)="","",IFERROR(INDEX('Code Aliases'!$B:$B,MATCH(TRIM(B340),'Code Aliases'!$A:$A,0)),TRIM(B340)))</f>
        <v/>
      </c>
      <c r="I340" s="67" t="str">
        <f aca="false">IF(TRIM(D340)="","",UPPER(TRIM(D340)))</f>
        <v/>
      </c>
      <c r="J340" s="67" t="str">
        <f aca="false">IF(TRIM(E340)="","",UPPER(TRIM(E340)))</f>
        <v/>
      </c>
    </row>
    <row r="341" customFormat="false" ht="14.25" hidden="false" customHeight="true" outlineLevel="0" collapsed="false">
      <c r="C341" s="17" t="str">
        <f aca="false">IF(TRIM(B341)="","",IFERROR(INDEX('Code Aliases'!$B:$B,MATCH(TRIM(B341),'Code Aliases'!$A:$A,0)),TRIM(B341)))</f>
        <v/>
      </c>
      <c r="I341" s="67" t="str">
        <f aca="false">IF(TRIM(D341)="","",UPPER(TRIM(D341)))</f>
        <v/>
      </c>
      <c r="J341" s="67" t="str">
        <f aca="false">IF(TRIM(E341)="","",UPPER(TRIM(E341)))</f>
        <v/>
      </c>
    </row>
    <row r="342" customFormat="false" ht="14.25" hidden="false" customHeight="true" outlineLevel="0" collapsed="false">
      <c r="C342" s="17" t="str">
        <f aca="false">IF(TRIM(B342)="","",IFERROR(INDEX('Code Aliases'!$B:$B,MATCH(TRIM(B342),'Code Aliases'!$A:$A,0)),TRIM(B342)))</f>
        <v/>
      </c>
      <c r="I342" s="67" t="str">
        <f aca="false">IF(TRIM(D342)="","",UPPER(TRIM(D342)))</f>
        <v/>
      </c>
      <c r="J342" s="67" t="str">
        <f aca="false">IF(TRIM(E342)="","",UPPER(TRIM(E342)))</f>
        <v/>
      </c>
    </row>
    <row r="343" customFormat="false" ht="14.25" hidden="false" customHeight="true" outlineLevel="0" collapsed="false">
      <c r="C343" s="17" t="str">
        <f aca="false">IF(TRIM(B343)="","",IFERROR(INDEX('Code Aliases'!$B:$B,MATCH(TRIM(B343),'Code Aliases'!$A:$A,0)),TRIM(B343)))</f>
        <v/>
      </c>
      <c r="I343" s="67" t="str">
        <f aca="false">IF(TRIM(D343)="","",UPPER(TRIM(D343)))</f>
        <v/>
      </c>
      <c r="J343" s="67" t="str">
        <f aca="false">IF(TRIM(E343)="","",UPPER(TRIM(E343)))</f>
        <v/>
      </c>
    </row>
    <row r="344" customFormat="false" ht="14.25" hidden="false" customHeight="true" outlineLevel="0" collapsed="false">
      <c r="C344" s="17" t="str">
        <f aca="false">IF(TRIM(B344)="","",IFERROR(INDEX('Code Aliases'!$B:$B,MATCH(TRIM(B344),'Code Aliases'!$A:$A,0)),TRIM(B344)))</f>
        <v/>
      </c>
      <c r="I344" s="67" t="str">
        <f aca="false">IF(TRIM(D344)="","",UPPER(TRIM(D344)))</f>
        <v/>
      </c>
      <c r="J344" s="67" t="str">
        <f aca="false">IF(TRIM(E344)="","",UPPER(TRIM(E344)))</f>
        <v/>
      </c>
    </row>
    <row r="345" customFormat="false" ht="14.25" hidden="false" customHeight="true" outlineLevel="0" collapsed="false">
      <c r="C345" s="17" t="str">
        <f aca="false">IF(TRIM(B345)="","",IFERROR(INDEX('Code Aliases'!$B:$B,MATCH(TRIM(B345),'Code Aliases'!$A:$A,0)),TRIM(B345)))</f>
        <v/>
      </c>
      <c r="I345" s="67" t="str">
        <f aca="false">IF(TRIM(D345)="","",UPPER(TRIM(D345)))</f>
        <v/>
      </c>
      <c r="J345" s="67" t="str">
        <f aca="false">IF(TRIM(E345)="","",UPPER(TRIM(E345)))</f>
        <v/>
      </c>
    </row>
    <row r="346" customFormat="false" ht="14.25" hidden="false" customHeight="true" outlineLevel="0" collapsed="false">
      <c r="C346" s="17" t="str">
        <f aca="false">IF(TRIM(B346)="","",IFERROR(INDEX('Code Aliases'!$B:$B,MATCH(TRIM(B346),'Code Aliases'!$A:$A,0)),TRIM(B346)))</f>
        <v/>
      </c>
      <c r="I346" s="67" t="str">
        <f aca="false">IF(TRIM(D346)="","",UPPER(TRIM(D346)))</f>
        <v/>
      </c>
      <c r="J346" s="67" t="str">
        <f aca="false">IF(TRIM(E346)="","",UPPER(TRIM(E346)))</f>
        <v/>
      </c>
    </row>
    <row r="347" customFormat="false" ht="14.25" hidden="false" customHeight="true" outlineLevel="0" collapsed="false">
      <c r="C347" s="17" t="str">
        <f aca="false">IF(TRIM(B347)="","",IFERROR(INDEX('Code Aliases'!$B:$B,MATCH(TRIM(B347),'Code Aliases'!$A:$A,0)),TRIM(B347)))</f>
        <v/>
      </c>
      <c r="I347" s="67" t="str">
        <f aca="false">IF(TRIM(D347)="","",UPPER(TRIM(D347)))</f>
        <v/>
      </c>
      <c r="J347" s="67" t="str">
        <f aca="false">IF(TRIM(E347)="","",UPPER(TRIM(E347)))</f>
        <v/>
      </c>
    </row>
    <row r="348" customFormat="false" ht="14.25" hidden="false" customHeight="true" outlineLevel="0" collapsed="false">
      <c r="C348" s="17" t="str">
        <f aca="false">IF(TRIM(B348)="","",IFERROR(INDEX('Code Aliases'!$B:$B,MATCH(TRIM(B348),'Code Aliases'!$A:$A,0)),TRIM(B348)))</f>
        <v/>
      </c>
      <c r="I348" s="67" t="str">
        <f aca="false">IF(TRIM(D348)="","",UPPER(TRIM(D348)))</f>
        <v/>
      </c>
      <c r="J348" s="67" t="str">
        <f aca="false">IF(TRIM(E348)="","",UPPER(TRIM(E348)))</f>
        <v/>
      </c>
    </row>
    <row r="349" customFormat="false" ht="14.25" hidden="false" customHeight="true" outlineLevel="0" collapsed="false">
      <c r="C349" s="17" t="str">
        <f aca="false">IF(TRIM(B349)="","",IFERROR(INDEX('Code Aliases'!$B:$B,MATCH(TRIM(B349),'Code Aliases'!$A:$A,0)),TRIM(B349)))</f>
        <v/>
      </c>
      <c r="I349" s="67" t="str">
        <f aca="false">IF(TRIM(D349)="","",UPPER(TRIM(D349)))</f>
        <v/>
      </c>
      <c r="J349" s="67" t="str">
        <f aca="false">IF(TRIM(E349)="","",UPPER(TRIM(E349)))</f>
        <v/>
      </c>
    </row>
    <row r="350" customFormat="false" ht="14.25" hidden="false" customHeight="true" outlineLevel="0" collapsed="false">
      <c r="C350" s="17" t="str">
        <f aca="false">IF(TRIM(B350)="","",IFERROR(INDEX('Code Aliases'!$B:$B,MATCH(TRIM(B350),'Code Aliases'!$A:$A,0)),TRIM(B350)))</f>
        <v/>
      </c>
      <c r="I350" s="67" t="str">
        <f aca="false">IF(TRIM(D350)="","",UPPER(TRIM(D350)))</f>
        <v/>
      </c>
      <c r="J350" s="67" t="str">
        <f aca="false">IF(TRIM(E350)="","",UPPER(TRIM(E350)))</f>
        <v/>
      </c>
    </row>
    <row r="351" customFormat="false" ht="14.25" hidden="false" customHeight="true" outlineLevel="0" collapsed="false">
      <c r="C351" s="17" t="str">
        <f aca="false">IF(TRIM(B351)="","",IFERROR(INDEX('Code Aliases'!$B:$B,MATCH(TRIM(B351),'Code Aliases'!$A:$A,0)),TRIM(B351)))</f>
        <v/>
      </c>
      <c r="I351" s="67" t="str">
        <f aca="false">IF(TRIM(D351)="","",UPPER(TRIM(D351)))</f>
        <v/>
      </c>
      <c r="J351" s="67" t="str">
        <f aca="false">IF(TRIM(E351)="","",UPPER(TRIM(E351)))</f>
        <v/>
      </c>
    </row>
    <row r="352" customFormat="false" ht="14.25" hidden="false" customHeight="true" outlineLevel="0" collapsed="false">
      <c r="C352" s="17" t="str">
        <f aca="false">IF(TRIM(B352)="","",IFERROR(INDEX('Code Aliases'!$B:$B,MATCH(TRIM(B352),'Code Aliases'!$A:$A,0)),TRIM(B352)))</f>
        <v/>
      </c>
      <c r="I352" s="67" t="str">
        <f aca="false">IF(TRIM(D352)="","",UPPER(TRIM(D352)))</f>
        <v/>
      </c>
      <c r="J352" s="67" t="str">
        <f aca="false">IF(TRIM(E352)="","",UPPER(TRIM(E352)))</f>
        <v/>
      </c>
    </row>
    <row r="353" customFormat="false" ht="14.25" hidden="false" customHeight="true" outlineLevel="0" collapsed="false">
      <c r="C353" s="17" t="str">
        <f aca="false">IF(TRIM(B353)="","",IFERROR(INDEX('Code Aliases'!$B:$B,MATCH(TRIM(B353),'Code Aliases'!$A:$A,0)),TRIM(B353)))</f>
        <v/>
      </c>
      <c r="I353" s="67" t="str">
        <f aca="false">IF(TRIM(D353)="","",UPPER(TRIM(D353)))</f>
        <v/>
      </c>
      <c r="J353" s="67" t="str">
        <f aca="false">IF(TRIM(E353)="","",UPPER(TRIM(E353)))</f>
        <v/>
      </c>
    </row>
    <row r="354" customFormat="false" ht="14.25" hidden="false" customHeight="true" outlineLevel="0" collapsed="false">
      <c r="C354" s="17" t="str">
        <f aca="false">IF(TRIM(B354)="","",IFERROR(INDEX('Code Aliases'!$B:$B,MATCH(TRIM(B354),'Code Aliases'!$A:$A,0)),TRIM(B354)))</f>
        <v/>
      </c>
      <c r="I354" s="67" t="str">
        <f aca="false">IF(TRIM(D354)="","",UPPER(TRIM(D354)))</f>
        <v/>
      </c>
      <c r="J354" s="67" t="str">
        <f aca="false">IF(TRIM(E354)="","",UPPER(TRIM(E354)))</f>
        <v/>
      </c>
    </row>
    <row r="355" customFormat="false" ht="14.25" hidden="false" customHeight="true" outlineLevel="0" collapsed="false">
      <c r="C355" s="17" t="str">
        <f aca="false">IF(TRIM(B355)="","",IFERROR(INDEX('Code Aliases'!$B:$B,MATCH(TRIM(B355),'Code Aliases'!$A:$A,0)),TRIM(B355)))</f>
        <v/>
      </c>
      <c r="I355" s="67" t="str">
        <f aca="false">IF(TRIM(D355)="","",UPPER(TRIM(D355)))</f>
        <v/>
      </c>
      <c r="J355" s="67" t="str">
        <f aca="false">IF(TRIM(E355)="","",UPPER(TRIM(E355)))</f>
        <v/>
      </c>
    </row>
    <row r="356" customFormat="false" ht="14.25" hidden="false" customHeight="true" outlineLevel="0" collapsed="false">
      <c r="C356" s="17" t="str">
        <f aca="false">IF(TRIM(B356)="","",IFERROR(INDEX('Code Aliases'!$B:$B,MATCH(TRIM(B356),'Code Aliases'!$A:$A,0)),TRIM(B356)))</f>
        <v/>
      </c>
      <c r="I356" s="67" t="str">
        <f aca="false">IF(TRIM(D356)="","",UPPER(TRIM(D356)))</f>
        <v/>
      </c>
      <c r="J356" s="67" t="str">
        <f aca="false">IF(TRIM(E356)="","",UPPER(TRIM(E356)))</f>
        <v/>
      </c>
    </row>
    <row r="357" customFormat="false" ht="14.25" hidden="false" customHeight="true" outlineLevel="0" collapsed="false">
      <c r="C357" s="17" t="str">
        <f aca="false">IF(TRIM(B357)="","",IFERROR(INDEX('Code Aliases'!$B:$B,MATCH(TRIM(B357),'Code Aliases'!$A:$A,0)),TRIM(B357)))</f>
        <v/>
      </c>
      <c r="I357" s="67" t="str">
        <f aca="false">IF(TRIM(D357)="","",UPPER(TRIM(D357)))</f>
        <v/>
      </c>
      <c r="J357" s="67" t="str">
        <f aca="false">IF(TRIM(E357)="","",UPPER(TRIM(E357)))</f>
        <v/>
      </c>
    </row>
    <row r="358" customFormat="false" ht="14.25" hidden="false" customHeight="true" outlineLevel="0" collapsed="false">
      <c r="C358" s="17" t="str">
        <f aca="false">IF(TRIM(B358)="","",IFERROR(INDEX('Code Aliases'!$B:$B,MATCH(TRIM(B358),'Code Aliases'!$A:$A,0)),TRIM(B358)))</f>
        <v/>
      </c>
      <c r="I358" s="67" t="str">
        <f aca="false">IF(TRIM(D358)="","",UPPER(TRIM(D358)))</f>
        <v/>
      </c>
      <c r="J358" s="67" t="str">
        <f aca="false">IF(TRIM(E358)="","",UPPER(TRIM(E358)))</f>
        <v/>
      </c>
    </row>
    <row r="359" customFormat="false" ht="14.25" hidden="false" customHeight="true" outlineLevel="0" collapsed="false">
      <c r="C359" s="17" t="str">
        <f aca="false">IF(TRIM(B359)="","",IFERROR(INDEX('Code Aliases'!$B:$B,MATCH(TRIM(B359),'Code Aliases'!$A:$A,0)),TRIM(B359)))</f>
        <v/>
      </c>
      <c r="I359" s="67" t="str">
        <f aca="false">IF(TRIM(D359)="","",UPPER(TRIM(D359)))</f>
        <v/>
      </c>
      <c r="J359" s="67" t="str">
        <f aca="false">IF(TRIM(E359)="","",UPPER(TRIM(E359)))</f>
        <v/>
      </c>
    </row>
    <row r="360" customFormat="false" ht="14.25" hidden="false" customHeight="true" outlineLevel="0" collapsed="false">
      <c r="C360" s="17" t="str">
        <f aca="false">IF(TRIM(B360)="","",IFERROR(INDEX('Code Aliases'!$B:$B,MATCH(TRIM(B360),'Code Aliases'!$A:$A,0)),TRIM(B360)))</f>
        <v/>
      </c>
      <c r="I360" s="67" t="str">
        <f aca="false">IF(TRIM(D360)="","",UPPER(TRIM(D360)))</f>
        <v/>
      </c>
      <c r="J360" s="67" t="str">
        <f aca="false">IF(TRIM(E360)="","",UPPER(TRIM(E360)))</f>
        <v/>
      </c>
    </row>
    <row r="361" customFormat="false" ht="14.25" hidden="false" customHeight="true" outlineLevel="0" collapsed="false">
      <c r="C361" s="17" t="str">
        <f aca="false">IF(TRIM(B361)="","",IFERROR(INDEX('Code Aliases'!$B:$B,MATCH(TRIM(B361),'Code Aliases'!$A:$A,0)),TRIM(B361)))</f>
        <v/>
      </c>
      <c r="I361" s="67" t="str">
        <f aca="false">IF(TRIM(D361)="","",UPPER(TRIM(D361)))</f>
        <v/>
      </c>
      <c r="J361" s="67" t="str">
        <f aca="false">IF(TRIM(E361)="","",UPPER(TRIM(E361)))</f>
        <v/>
      </c>
    </row>
    <row r="362" customFormat="false" ht="14.25" hidden="false" customHeight="true" outlineLevel="0" collapsed="false">
      <c r="C362" s="17" t="str">
        <f aca="false">IF(TRIM(B362)="","",IFERROR(INDEX('Code Aliases'!$B:$B,MATCH(TRIM(B362),'Code Aliases'!$A:$A,0)),TRIM(B362)))</f>
        <v/>
      </c>
      <c r="I362" s="67" t="str">
        <f aca="false">IF(TRIM(D362)="","",UPPER(TRIM(D362)))</f>
        <v/>
      </c>
      <c r="J362" s="67" t="str">
        <f aca="false">IF(TRIM(E362)="","",UPPER(TRIM(E362)))</f>
        <v/>
      </c>
    </row>
    <row r="363" customFormat="false" ht="14.25" hidden="false" customHeight="true" outlineLevel="0" collapsed="false">
      <c r="C363" s="17" t="str">
        <f aca="false">IF(TRIM(B363)="","",IFERROR(INDEX('Code Aliases'!$B:$B,MATCH(TRIM(B363),'Code Aliases'!$A:$A,0)),TRIM(B363)))</f>
        <v/>
      </c>
      <c r="I363" s="67" t="str">
        <f aca="false">IF(TRIM(D363)="","",UPPER(TRIM(D363)))</f>
        <v/>
      </c>
      <c r="J363" s="67" t="str">
        <f aca="false">IF(TRIM(E363)="","",UPPER(TRIM(E363)))</f>
        <v/>
      </c>
    </row>
    <row r="364" customFormat="false" ht="14.25" hidden="false" customHeight="true" outlineLevel="0" collapsed="false">
      <c r="C364" s="17" t="str">
        <f aca="false">IF(TRIM(B364)="","",IFERROR(INDEX('Code Aliases'!$B:$B,MATCH(TRIM(B364),'Code Aliases'!$A:$A,0)),TRIM(B364)))</f>
        <v/>
      </c>
      <c r="I364" s="67" t="str">
        <f aca="false">IF(TRIM(D364)="","",UPPER(TRIM(D364)))</f>
        <v/>
      </c>
      <c r="J364" s="67" t="str">
        <f aca="false">IF(TRIM(E364)="","",UPPER(TRIM(E364)))</f>
        <v/>
      </c>
    </row>
    <row r="365" customFormat="false" ht="14.25" hidden="false" customHeight="true" outlineLevel="0" collapsed="false">
      <c r="C365" s="17" t="str">
        <f aca="false">IF(TRIM(B365)="","",IFERROR(INDEX('Code Aliases'!$B:$B,MATCH(TRIM(B365),'Code Aliases'!$A:$A,0)),TRIM(B365)))</f>
        <v/>
      </c>
      <c r="I365" s="67" t="str">
        <f aca="false">IF(TRIM(D365)="","",UPPER(TRIM(D365)))</f>
        <v/>
      </c>
      <c r="J365" s="67" t="str">
        <f aca="false">IF(TRIM(E365)="","",UPPER(TRIM(E365)))</f>
        <v/>
      </c>
    </row>
    <row r="366" customFormat="false" ht="14.25" hidden="false" customHeight="true" outlineLevel="0" collapsed="false">
      <c r="C366" s="17" t="str">
        <f aca="false">IF(TRIM(B366)="","",IFERROR(INDEX('Code Aliases'!$B:$B,MATCH(TRIM(B366),'Code Aliases'!$A:$A,0)),TRIM(B366)))</f>
        <v/>
      </c>
      <c r="I366" s="67" t="str">
        <f aca="false">IF(TRIM(D366)="","",UPPER(TRIM(D366)))</f>
        <v/>
      </c>
      <c r="J366" s="67" t="str">
        <f aca="false">IF(TRIM(E366)="","",UPPER(TRIM(E366)))</f>
        <v/>
      </c>
    </row>
    <row r="367" customFormat="false" ht="14.25" hidden="false" customHeight="true" outlineLevel="0" collapsed="false">
      <c r="C367" s="17" t="str">
        <f aca="false">IF(TRIM(B367)="","",IFERROR(INDEX('Code Aliases'!$B:$B,MATCH(TRIM(B367),'Code Aliases'!$A:$A,0)),TRIM(B367)))</f>
        <v/>
      </c>
      <c r="I367" s="67" t="str">
        <f aca="false">IF(TRIM(D367)="","",UPPER(TRIM(D367)))</f>
        <v/>
      </c>
      <c r="J367" s="67" t="str">
        <f aca="false">IF(TRIM(E367)="","",UPPER(TRIM(E367)))</f>
        <v/>
      </c>
    </row>
    <row r="368" customFormat="false" ht="14.25" hidden="false" customHeight="true" outlineLevel="0" collapsed="false">
      <c r="C368" s="17" t="str">
        <f aca="false">IF(TRIM(B368)="","",IFERROR(INDEX('Code Aliases'!$B:$B,MATCH(TRIM(B368),'Code Aliases'!$A:$A,0)),TRIM(B368)))</f>
        <v/>
      </c>
      <c r="I368" s="67" t="str">
        <f aca="false">IF(TRIM(D368)="","",UPPER(TRIM(D368)))</f>
        <v/>
      </c>
      <c r="J368" s="67" t="str">
        <f aca="false">IF(TRIM(E368)="","",UPPER(TRIM(E368)))</f>
        <v/>
      </c>
    </row>
    <row r="369" customFormat="false" ht="14.25" hidden="false" customHeight="true" outlineLevel="0" collapsed="false">
      <c r="C369" s="17" t="str">
        <f aca="false">IF(TRIM(B369)="","",IFERROR(INDEX('Code Aliases'!$B:$B,MATCH(TRIM(B369),'Code Aliases'!$A:$A,0)),TRIM(B369)))</f>
        <v/>
      </c>
      <c r="I369" s="67" t="str">
        <f aca="false">IF(TRIM(D369)="","",UPPER(TRIM(D369)))</f>
        <v/>
      </c>
      <c r="J369" s="67" t="str">
        <f aca="false">IF(TRIM(E369)="","",UPPER(TRIM(E369)))</f>
        <v/>
      </c>
    </row>
    <row r="370" customFormat="false" ht="14.25" hidden="false" customHeight="true" outlineLevel="0" collapsed="false">
      <c r="C370" s="17" t="str">
        <f aca="false">IF(TRIM(B370)="","",IFERROR(INDEX('Code Aliases'!$B:$B,MATCH(TRIM(B370),'Code Aliases'!$A:$A,0)),TRIM(B370)))</f>
        <v/>
      </c>
      <c r="I370" s="67" t="str">
        <f aca="false">IF(TRIM(D370)="","",UPPER(TRIM(D370)))</f>
        <v/>
      </c>
      <c r="J370" s="67" t="str">
        <f aca="false">IF(TRIM(E370)="","",UPPER(TRIM(E370)))</f>
        <v/>
      </c>
    </row>
    <row r="371" customFormat="false" ht="14.25" hidden="false" customHeight="true" outlineLevel="0" collapsed="false">
      <c r="C371" s="17" t="str">
        <f aca="false">IF(TRIM(B371)="","",IFERROR(INDEX('Code Aliases'!$B:$B,MATCH(TRIM(B371),'Code Aliases'!$A:$A,0)),TRIM(B371)))</f>
        <v/>
      </c>
      <c r="I371" s="67" t="str">
        <f aca="false">IF(TRIM(D371)="","",UPPER(TRIM(D371)))</f>
        <v/>
      </c>
      <c r="J371" s="67" t="str">
        <f aca="false">IF(TRIM(E371)="","",UPPER(TRIM(E371)))</f>
        <v/>
      </c>
    </row>
    <row r="372" customFormat="false" ht="14.25" hidden="false" customHeight="true" outlineLevel="0" collapsed="false">
      <c r="C372" s="17" t="str">
        <f aca="false">IF(TRIM(B372)="","",IFERROR(INDEX('Code Aliases'!$B:$B,MATCH(TRIM(B372),'Code Aliases'!$A:$A,0)),TRIM(B372)))</f>
        <v/>
      </c>
      <c r="I372" s="67" t="str">
        <f aca="false">IF(TRIM(D372)="","",UPPER(TRIM(D372)))</f>
        <v/>
      </c>
      <c r="J372" s="67" t="str">
        <f aca="false">IF(TRIM(E372)="","",UPPER(TRIM(E372)))</f>
        <v/>
      </c>
    </row>
    <row r="373" customFormat="false" ht="14.25" hidden="false" customHeight="true" outlineLevel="0" collapsed="false">
      <c r="C373" s="17" t="str">
        <f aca="false">IF(TRIM(B373)="","",IFERROR(INDEX('Code Aliases'!$B:$B,MATCH(TRIM(B373),'Code Aliases'!$A:$A,0)),TRIM(B373)))</f>
        <v/>
      </c>
      <c r="I373" s="67" t="str">
        <f aca="false">IF(TRIM(D373)="","",UPPER(TRIM(D373)))</f>
        <v/>
      </c>
      <c r="J373" s="67" t="str">
        <f aca="false">IF(TRIM(E373)="","",UPPER(TRIM(E373)))</f>
        <v/>
      </c>
    </row>
    <row r="374" customFormat="false" ht="14.25" hidden="false" customHeight="true" outlineLevel="0" collapsed="false">
      <c r="C374" s="17" t="str">
        <f aca="false">IF(TRIM(B374)="","",IFERROR(INDEX('Code Aliases'!$B:$B,MATCH(TRIM(B374),'Code Aliases'!$A:$A,0)),TRIM(B374)))</f>
        <v/>
      </c>
      <c r="I374" s="67" t="str">
        <f aca="false">IF(TRIM(D374)="","",UPPER(TRIM(D374)))</f>
        <v/>
      </c>
      <c r="J374" s="67" t="str">
        <f aca="false">IF(TRIM(E374)="","",UPPER(TRIM(E374)))</f>
        <v/>
      </c>
    </row>
    <row r="375" customFormat="false" ht="14.25" hidden="false" customHeight="true" outlineLevel="0" collapsed="false">
      <c r="C375" s="17" t="str">
        <f aca="false">IF(TRIM(B375)="","",IFERROR(INDEX('Code Aliases'!$B:$B,MATCH(TRIM(B375),'Code Aliases'!$A:$A,0)),TRIM(B375)))</f>
        <v/>
      </c>
      <c r="I375" s="67" t="str">
        <f aca="false">IF(TRIM(D375)="","",UPPER(TRIM(D375)))</f>
        <v/>
      </c>
      <c r="J375" s="67" t="str">
        <f aca="false">IF(TRIM(E375)="","",UPPER(TRIM(E375)))</f>
        <v/>
      </c>
    </row>
    <row r="376" customFormat="false" ht="14.25" hidden="false" customHeight="true" outlineLevel="0" collapsed="false">
      <c r="C376" s="17" t="str">
        <f aca="false">IF(TRIM(B376)="","",IFERROR(INDEX('Code Aliases'!$B:$B,MATCH(TRIM(B376),'Code Aliases'!$A:$A,0)),TRIM(B376)))</f>
        <v/>
      </c>
      <c r="I376" s="67" t="str">
        <f aca="false">IF(TRIM(D376)="","",UPPER(TRIM(D376)))</f>
        <v/>
      </c>
      <c r="J376" s="67" t="str">
        <f aca="false">IF(TRIM(E376)="","",UPPER(TRIM(E376)))</f>
        <v/>
      </c>
    </row>
    <row r="377" customFormat="false" ht="14.25" hidden="false" customHeight="true" outlineLevel="0" collapsed="false">
      <c r="C377" s="17" t="str">
        <f aca="false">IF(TRIM(B377)="","",IFERROR(INDEX('Code Aliases'!$B:$B,MATCH(TRIM(B377),'Code Aliases'!$A:$A,0)),TRIM(B377)))</f>
        <v/>
      </c>
      <c r="I377" s="67" t="str">
        <f aca="false">IF(TRIM(D377)="","",UPPER(TRIM(D377)))</f>
        <v/>
      </c>
      <c r="J377" s="67" t="str">
        <f aca="false">IF(TRIM(E377)="","",UPPER(TRIM(E377)))</f>
        <v/>
      </c>
    </row>
    <row r="378" customFormat="false" ht="14.25" hidden="false" customHeight="true" outlineLevel="0" collapsed="false">
      <c r="C378" s="17" t="str">
        <f aca="false">IF(TRIM(B378)="","",IFERROR(INDEX('Code Aliases'!$B:$B,MATCH(TRIM(B378),'Code Aliases'!$A:$A,0)),TRIM(B378)))</f>
        <v/>
      </c>
      <c r="I378" s="67" t="str">
        <f aca="false">IF(TRIM(D378)="","",UPPER(TRIM(D378)))</f>
        <v/>
      </c>
      <c r="J378" s="67" t="str">
        <f aca="false">IF(TRIM(E378)="","",UPPER(TRIM(E378)))</f>
        <v/>
      </c>
    </row>
    <row r="379" customFormat="false" ht="14.25" hidden="false" customHeight="true" outlineLevel="0" collapsed="false">
      <c r="C379" s="17" t="str">
        <f aca="false">IF(TRIM(B379)="","",IFERROR(INDEX('Code Aliases'!$B:$B,MATCH(TRIM(B379),'Code Aliases'!$A:$A,0)),TRIM(B379)))</f>
        <v/>
      </c>
      <c r="I379" s="67" t="str">
        <f aca="false">IF(TRIM(D379)="","",UPPER(TRIM(D379)))</f>
        <v/>
      </c>
      <c r="J379" s="67" t="str">
        <f aca="false">IF(TRIM(E379)="","",UPPER(TRIM(E379)))</f>
        <v/>
      </c>
    </row>
    <row r="380" customFormat="false" ht="14.25" hidden="false" customHeight="true" outlineLevel="0" collapsed="false">
      <c r="C380" s="17" t="str">
        <f aca="false">IF(TRIM(B380)="","",IFERROR(INDEX('Code Aliases'!$B:$B,MATCH(TRIM(B380),'Code Aliases'!$A:$A,0)),TRIM(B380)))</f>
        <v/>
      </c>
      <c r="I380" s="67" t="str">
        <f aca="false">IF(TRIM(D380)="","",UPPER(TRIM(D380)))</f>
        <v/>
      </c>
      <c r="J380" s="67" t="str">
        <f aca="false">IF(TRIM(E380)="","",UPPER(TRIM(E380)))</f>
        <v/>
      </c>
    </row>
    <row r="381" customFormat="false" ht="14.25" hidden="false" customHeight="true" outlineLevel="0" collapsed="false">
      <c r="C381" s="17" t="str">
        <f aca="false">IF(TRIM(B381)="","",IFERROR(INDEX('Code Aliases'!$B:$B,MATCH(TRIM(B381),'Code Aliases'!$A:$A,0)),TRIM(B381)))</f>
        <v/>
      </c>
      <c r="I381" s="67" t="str">
        <f aca="false">IF(TRIM(D381)="","",UPPER(TRIM(D381)))</f>
        <v/>
      </c>
      <c r="J381" s="67" t="str">
        <f aca="false">IF(TRIM(E381)="","",UPPER(TRIM(E381)))</f>
        <v/>
      </c>
    </row>
    <row r="382" customFormat="false" ht="14.25" hidden="false" customHeight="true" outlineLevel="0" collapsed="false">
      <c r="C382" s="17" t="str">
        <f aca="false">IF(TRIM(B382)="","",IFERROR(INDEX('Code Aliases'!$B:$B,MATCH(TRIM(B382),'Code Aliases'!$A:$A,0)),TRIM(B382)))</f>
        <v/>
      </c>
      <c r="I382" s="67" t="str">
        <f aca="false">IF(TRIM(D382)="","",UPPER(TRIM(D382)))</f>
        <v/>
      </c>
      <c r="J382" s="67" t="str">
        <f aca="false">IF(TRIM(E382)="","",UPPER(TRIM(E382)))</f>
        <v/>
      </c>
    </row>
    <row r="383" customFormat="false" ht="14.25" hidden="false" customHeight="true" outlineLevel="0" collapsed="false">
      <c r="C383" s="17" t="str">
        <f aca="false">IF(TRIM(B383)="","",IFERROR(INDEX('Code Aliases'!$B:$B,MATCH(TRIM(B383),'Code Aliases'!$A:$A,0)),TRIM(B383)))</f>
        <v/>
      </c>
      <c r="I383" s="67" t="str">
        <f aca="false">IF(TRIM(D383)="","",UPPER(TRIM(D383)))</f>
        <v/>
      </c>
      <c r="J383" s="67" t="str">
        <f aca="false">IF(TRIM(E383)="","",UPPER(TRIM(E383)))</f>
        <v/>
      </c>
    </row>
    <row r="384" customFormat="false" ht="14.25" hidden="false" customHeight="true" outlineLevel="0" collapsed="false">
      <c r="C384" s="17" t="str">
        <f aca="false">IF(TRIM(B384)="","",IFERROR(INDEX('Code Aliases'!$B:$B,MATCH(TRIM(B384),'Code Aliases'!$A:$A,0)),TRIM(B384)))</f>
        <v/>
      </c>
      <c r="I384" s="67" t="str">
        <f aca="false">IF(TRIM(D384)="","",UPPER(TRIM(D384)))</f>
        <v/>
      </c>
      <c r="J384" s="67" t="str">
        <f aca="false">IF(TRIM(E384)="","",UPPER(TRIM(E384)))</f>
        <v/>
      </c>
    </row>
    <row r="385" customFormat="false" ht="14.25" hidden="false" customHeight="true" outlineLevel="0" collapsed="false">
      <c r="C385" s="17" t="str">
        <f aca="false">IF(TRIM(B385)="","",IFERROR(INDEX('Code Aliases'!$B:$B,MATCH(TRIM(B385),'Code Aliases'!$A:$A,0)),TRIM(B385)))</f>
        <v/>
      </c>
      <c r="I385" s="67" t="str">
        <f aca="false">IF(TRIM(D385)="","",UPPER(TRIM(D385)))</f>
        <v/>
      </c>
      <c r="J385" s="67" t="str">
        <f aca="false">IF(TRIM(E385)="","",UPPER(TRIM(E385)))</f>
        <v/>
      </c>
    </row>
    <row r="386" customFormat="false" ht="14.25" hidden="false" customHeight="true" outlineLevel="0" collapsed="false">
      <c r="C386" s="17" t="str">
        <f aca="false">IF(TRIM(B386)="","",IFERROR(INDEX('Code Aliases'!$B:$B,MATCH(TRIM(B386),'Code Aliases'!$A:$A,0)),TRIM(B386)))</f>
        <v/>
      </c>
      <c r="I386" s="67" t="str">
        <f aca="false">IF(TRIM(D386)="","",UPPER(TRIM(D386)))</f>
        <v/>
      </c>
      <c r="J386" s="67" t="str">
        <f aca="false">IF(TRIM(E386)="","",UPPER(TRIM(E386)))</f>
        <v/>
      </c>
    </row>
    <row r="387" customFormat="false" ht="14.25" hidden="false" customHeight="true" outlineLevel="0" collapsed="false">
      <c r="C387" s="17" t="str">
        <f aca="false">IF(TRIM(B387)="","",IFERROR(INDEX('Code Aliases'!$B:$B,MATCH(TRIM(B387),'Code Aliases'!$A:$A,0)),TRIM(B387)))</f>
        <v/>
      </c>
      <c r="I387" s="67" t="str">
        <f aca="false">IF(TRIM(D387)="","",UPPER(TRIM(D387)))</f>
        <v/>
      </c>
      <c r="J387" s="67" t="str">
        <f aca="false">IF(TRIM(E387)="","",UPPER(TRIM(E387)))</f>
        <v/>
      </c>
    </row>
    <row r="388" customFormat="false" ht="14.25" hidden="false" customHeight="true" outlineLevel="0" collapsed="false">
      <c r="C388" s="17" t="str">
        <f aca="false">IF(TRIM(B388)="","",IFERROR(INDEX('Code Aliases'!$B:$B,MATCH(TRIM(B388),'Code Aliases'!$A:$A,0)),TRIM(B388)))</f>
        <v/>
      </c>
      <c r="I388" s="67" t="str">
        <f aca="false">IF(TRIM(D388)="","",UPPER(TRIM(D388)))</f>
        <v/>
      </c>
      <c r="J388" s="67" t="str">
        <f aca="false">IF(TRIM(E388)="","",UPPER(TRIM(E388)))</f>
        <v/>
      </c>
    </row>
    <row r="389" customFormat="false" ht="14.25" hidden="false" customHeight="true" outlineLevel="0" collapsed="false">
      <c r="C389" s="17" t="str">
        <f aca="false">IF(TRIM(B389)="","",IFERROR(INDEX('Code Aliases'!$B:$B,MATCH(TRIM(B389),'Code Aliases'!$A:$A,0)),TRIM(B389)))</f>
        <v/>
      </c>
      <c r="I389" s="67" t="str">
        <f aca="false">IF(TRIM(D389)="","",UPPER(TRIM(D389)))</f>
        <v/>
      </c>
      <c r="J389" s="67" t="str">
        <f aca="false">IF(TRIM(E389)="","",UPPER(TRIM(E389)))</f>
        <v/>
      </c>
    </row>
    <row r="390" customFormat="false" ht="14.25" hidden="false" customHeight="true" outlineLevel="0" collapsed="false">
      <c r="C390" s="17" t="str">
        <f aca="false">IF(TRIM(B390)="","",IFERROR(INDEX('Code Aliases'!$B:$B,MATCH(TRIM(B390),'Code Aliases'!$A:$A,0)),TRIM(B390)))</f>
        <v/>
      </c>
      <c r="I390" s="67" t="str">
        <f aca="false">IF(TRIM(D390)="","",UPPER(TRIM(D390)))</f>
        <v/>
      </c>
      <c r="J390" s="67" t="str">
        <f aca="false">IF(TRIM(E390)="","",UPPER(TRIM(E390)))</f>
        <v/>
      </c>
    </row>
    <row r="391" customFormat="false" ht="14.25" hidden="false" customHeight="true" outlineLevel="0" collapsed="false">
      <c r="C391" s="17" t="str">
        <f aca="false">IF(TRIM(B391)="","",IFERROR(INDEX('Code Aliases'!$B:$B,MATCH(TRIM(B391),'Code Aliases'!$A:$A,0)),TRIM(B391)))</f>
        <v/>
      </c>
      <c r="I391" s="67" t="str">
        <f aca="false">IF(TRIM(D391)="","",UPPER(TRIM(D391)))</f>
        <v/>
      </c>
      <c r="J391" s="67" t="str">
        <f aca="false">IF(TRIM(E391)="","",UPPER(TRIM(E391)))</f>
        <v/>
      </c>
    </row>
    <row r="392" customFormat="false" ht="14.25" hidden="false" customHeight="true" outlineLevel="0" collapsed="false">
      <c r="C392" s="17" t="str">
        <f aca="false">IF(TRIM(B392)="","",IFERROR(INDEX('Code Aliases'!$B:$B,MATCH(TRIM(B392),'Code Aliases'!$A:$A,0)),TRIM(B392)))</f>
        <v/>
      </c>
      <c r="I392" s="67" t="str">
        <f aca="false">IF(TRIM(D392)="","",UPPER(TRIM(D392)))</f>
        <v/>
      </c>
      <c r="J392" s="67" t="str">
        <f aca="false">IF(TRIM(E392)="","",UPPER(TRIM(E392)))</f>
        <v/>
      </c>
    </row>
    <row r="393" customFormat="false" ht="14.25" hidden="false" customHeight="true" outlineLevel="0" collapsed="false">
      <c r="C393" s="17" t="str">
        <f aca="false">IF(TRIM(B393)="","",IFERROR(INDEX('Code Aliases'!$B:$B,MATCH(TRIM(B393),'Code Aliases'!$A:$A,0)),TRIM(B393)))</f>
        <v/>
      </c>
      <c r="I393" s="67" t="str">
        <f aca="false">IF(TRIM(D393)="","",UPPER(TRIM(D393)))</f>
        <v/>
      </c>
      <c r="J393" s="67" t="str">
        <f aca="false">IF(TRIM(E393)="","",UPPER(TRIM(E393)))</f>
        <v/>
      </c>
    </row>
    <row r="394" customFormat="false" ht="14.25" hidden="false" customHeight="true" outlineLevel="0" collapsed="false">
      <c r="C394" s="17" t="str">
        <f aca="false">IF(TRIM(B394)="","",IFERROR(INDEX('Code Aliases'!$B:$B,MATCH(TRIM(B394),'Code Aliases'!$A:$A,0)),TRIM(B394)))</f>
        <v/>
      </c>
      <c r="I394" s="67" t="str">
        <f aca="false">IF(TRIM(D394)="","",UPPER(TRIM(D394)))</f>
        <v/>
      </c>
      <c r="J394" s="67" t="str">
        <f aca="false">IF(TRIM(E394)="","",UPPER(TRIM(E394)))</f>
        <v/>
      </c>
    </row>
    <row r="395" customFormat="false" ht="14.25" hidden="false" customHeight="true" outlineLevel="0" collapsed="false">
      <c r="C395" s="17" t="str">
        <f aca="false">IF(TRIM(B395)="","",IFERROR(INDEX('Code Aliases'!$B:$B,MATCH(TRIM(B395),'Code Aliases'!$A:$A,0)),TRIM(B395)))</f>
        <v/>
      </c>
      <c r="I395" s="67" t="str">
        <f aca="false">IF(TRIM(D395)="","",UPPER(TRIM(D395)))</f>
        <v/>
      </c>
      <c r="J395" s="67" t="str">
        <f aca="false">IF(TRIM(E395)="","",UPPER(TRIM(E395)))</f>
        <v/>
      </c>
    </row>
    <row r="396" customFormat="false" ht="14.25" hidden="false" customHeight="true" outlineLevel="0" collapsed="false">
      <c r="C396" s="17" t="str">
        <f aca="false">IF(TRIM(B396)="","",IFERROR(INDEX('Code Aliases'!$B:$B,MATCH(TRIM(B396),'Code Aliases'!$A:$A,0)),TRIM(B396)))</f>
        <v/>
      </c>
      <c r="I396" s="67" t="str">
        <f aca="false">IF(TRIM(D396)="","",UPPER(TRIM(D396)))</f>
        <v/>
      </c>
      <c r="J396" s="67" t="str">
        <f aca="false">IF(TRIM(E396)="","",UPPER(TRIM(E396)))</f>
        <v/>
      </c>
    </row>
    <row r="397" customFormat="false" ht="14.25" hidden="false" customHeight="true" outlineLevel="0" collapsed="false">
      <c r="C397" s="17" t="str">
        <f aca="false">IF(TRIM(B397)="","",IFERROR(INDEX('Code Aliases'!$B:$B,MATCH(TRIM(B397),'Code Aliases'!$A:$A,0)),TRIM(B397)))</f>
        <v/>
      </c>
      <c r="I397" s="67" t="str">
        <f aca="false">IF(TRIM(D397)="","",UPPER(TRIM(D397)))</f>
        <v/>
      </c>
      <c r="J397" s="67" t="str">
        <f aca="false">IF(TRIM(E397)="","",UPPER(TRIM(E397)))</f>
        <v/>
      </c>
    </row>
    <row r="398" customFormat="false" ht="14.25" hidden="false" customHeight="true" outlineLevel="0" collapsed="false">
      <c r="C398" s="17" t="str">
        <f aca="false">IF(TRIM(B398)="","",IFERROR(INDEX('Code Aliases'!$B:$B,MATCH(TRIM(B398),'Code Aliases'!$A:$A,0)),TRIM(B398)))</f>
        <v/>
      </c>
      <c r="I398" s="67" t="str">
        <f aca="false">IF(TRIM(D398)="","",UPPER(TRIM(D398)))</f>
        <v/>
      </c>
      <c r="J398" s="67" t="str">
        <f aca="false">IF(TRIM(E398)="","",UPPER(TRIM(E398)))</f>
        <v/>
      </c>
    </row>
    <row r="399" customFormat="false" ht="14.25" hidden="false" customHeight="true" outlineLevel="0" collapsed="false">
      <c r="C399" s="17" t="str">
        <f aca="false">IF(TRIM(B399)="","",IFERROR(INDEX('Code Aliases'!$B:$B,MATCH(TRIM(B399),'Code Aliases'!$A:$A,0)),TRIM(B399)))</f>
        <v/>
      </c>
      <c r="I399" s="67" t="str">
        <f aca="false">IF(TRIM(D399)="","",UPPER(TRIM(D399)))</f>
        <v/>
      </c>
      <c r="J399" s="67" t="str">
        <f aca="false">IF(TRIM(E399)="","",UPPER(TRIM(E399)))</f>
        <v/>
      </c>
    </row>
    <row r="400" customFormat="false" ht="14.25" hidden="false" customHeight="true" outlineLevel="0" collapsed="false">
      <c r="C400" s="17" t="str">
        <f aca="false">IF(TRIM(B400)="","",IFERROR(INDEX('Code Aliases'!$B:$B,MATCH(TRIM(B400),'Code Aliases'!$A:$A,0)),TRIM(B400)))</f>
        <v/>
      </c>
      <c r="I400" s="67" t="str">
        <f aca="false">IF(TRIM(D400)="","",UPPER(TRIM(D400)))</f>
        <v/>
      </c>
      <c r="J400" s="67" t="str">
        <f aca="false">IF(TRIM(E400)="","",UPPER(TRIM(E400)))</f>
        <v/>
      </c>
    </row>
    <row r="401" customFormat="false" ht="14.25" hidden="false" customHeight="true" outlineLevel="0" collapsed="false">
      <c r="C401" s="17" t="str">
        <f aca="false">IF(TRIM(B401)="","",IFERROR(INDEX('Code Aliases'!$B:$B,MATCH(TRIM(B401),'Code Aliases'!$A:$A,0)),TRIM(B401)))</f>
        <v/>
      </c>
      <c r="I401" s="67" t="str">
        <f aca="false">IF(TRIM(D401)="","",UPPER(TRIM(D401)))</f>
        <v/>
      </c>
      <c r="J401" s="67" t="str">
        <f aca="false">IF(TRIM(E401)="","",UPPER(TRIM(E401)))</f>
        <v/>
      </c>
    </row>
    <row r="402" customFormat="false" ht="14.25" hidden="false" customHeight="true" outlineLevel="0" collapsed="false">
      <c r="C402" s="17" t="str">
        <f aca="false">IF(TRIM(B402)="","",IFERROR(INDEX('Code Aliases'!$B:$B,MATCH(TRIM(B402),'Code Aliases'!$A:$A,0)),TRIM(B402)))</f>
        <v/>
      </c>
      <c r="I402" s="67" t="str">
        <f aca="false">IF(TRIM(D402)="","",UPPER(TRIM(D402)))</f>
        <v/>
      </c>
      <c r="J402" s="67" t="str">
        <f aca="false">IF(TRIM(E402)="","",UPPER(TRIM(E402)))</f>
        <v/>
      </c>
    </row>
    <row r="403" customFormat="false" ht="14.25" hidden="false" customHeight="true" outlineLevel="0" collapsed="false">
      <c r="C403" s="17" t="str">
        <f aca="false">IF(TRIM(B403)="","",IFERROR(INDEX('Code Aliases'!$B:$B,MATCH(TRIM(B403),'Code Aliases'!$A:$A,0)),TRIM(B403)))</f>
        <v/>
      </c>
      <c r="I403" s="67" t="str">
        <f aca="false">IF(TRIM(D403)="","",UPPER(TRIM(D403)))</f>
        <v/>
      </c>
      <c r="J403" s="67" t="str">
        <f aca="false">IF(TRIM(E403)="","",UPPER(TRIM(E403)))</f>
        <v/>
      </c>
    </row>
    <row r="404" customFormat="false" ht="14.25" hidden="false" customHeight="true" outlineLevel="0" collapsed="false">
      <c r="C404" s="17" t="str">
        <f aca="false">IF(TRIM(B404)="","",IFERROR(INDEX('Code Aliases'!$B:$B,MATCH(TRIM(B404),'Code Aliases'!$A:$A,0)),TRIM(B404)))</f>
        <v/>
      </c>
      <c r="I404" s="67" t="str">
        <f aca="false">IF(TRIM(D404)="","",UPPER(TRIM(D404)))</f>
        <v/>
      </c>
      <c r="J404" s="67" t="str">
        <f aca="false">IF(TRIM(E404)="","",UPPER(TRIM(E404)))</f>
        <v/>
      </c>
    </row>
    <row r="405" customFormat="false" ht="14.25" hidden="false" customHeight="true" outlineLevel="0" collapsed="false">
      <c r="C405" s="17" t="str">
        <f aca="false">IF(TRIM(B405)="","",IFERROR(INDEX('Code Aliases'!$B:$B,MATCH(TRIM(B405),'Code Aliases'!$A:$A,0)),TRIM(B405)))</f>
        <v/>
      </c>
      <c r="I405" s="67" t="str">
        <f aca="false">IF(TRIM(D405)="","",UPPER(TRIM(D405)))</f>
        <v/>
      </c>
      <c r="J405" s="67" t="str">
        <f aca="false">IF(TRIM(E405)="","",UPPER(TRIM(E405)))</f>
        <v/>
      </c>
    </row>
    <row r="406" customFormat="false" ht="14.25" hidden="false" customHeight="true" outlineLevel="0" collapsed="false">
      <c r="C406" s="17" t="str">
        <f aca="false">IF(TRIM(B406)="","",IFERROR(INDEX('Code Aliases'!$B:$B,MATCH(TRIM(B406),'Code Aliases'!$A:$A,0)),TRIM(B406)))</f>
        <v/>
      </c>
      <c r="I406" s="67" t="str">
        <f aca="false">IF(TRIM(D406)="","",UPPER(TRIM(D406)))</f>
        <v/>
      </c>
      <c r="J406" s="67" t="str">
        <f aca="false">IF(TRIM(E406)="","",UPPER(TRIM(E406)))</f>
        <v/>
      </c>
    </row>
    <row r="407" customFormat="false" ht="14.25" hidden="false" customHeight="true" outlineLevel="0" collapsed="false">
      <c r="C407" s="17" t="str">
        <f aca="false">IF(TRIM(B407)="","",IFERROR(INDEX('Code Aliases'!$B:$B,MATCH(TRIM(B407),'Code Aliases'!$A:$A,0)),TRIM(B407)))</f>
        <v/>
      </c>
      <c r="I407" s="67" t="str">
        <f aca="false">IF(TRIM(D407)="","",UPPER(TRIM(D407)))</f>
        <v/>
      </c>
      <c r="J407" s="67" t="str">
        <f aca="false">IF(TRIM(E407)="","",UPPER(TRIM(E407)))</f>
        <v/>
      </c>
    </row>
    <row r="408" customFormat="false" ht="14.25" hidden="false" customHeight="true" outlineLevel="0" collapsed="false">
      <c r="C408" s="17" t="str">
        <f aca="false">IF(TRIM(B408)="","",IFERROR(INDEX('Code Aliases'!$B:$B,MATCH(TRIM(B408),'Code Aliases'!$A:$A,0)),TRIM(B408)))</f>
        <v/>
      </c>
      <c r="I408" s="67" t="str">
        <f aca="false">IF(TRIM(D408)="","",UPPER(TRIM(D408)))</f>
        <v/>
      </c>
      <c r="J408" s="67" t="str">
        <f aca="false">IF(TRIM(E408)="","",UPPER(TRIM(E408)))</f>
        <v/>
      </c>
    </row>
    <row r="409" customFormat="false" ht="14.25" hidden="false" customHeight="true" outlineLevel="0" collapsed="false">
      <c r="C409" s="17" t="str">
        <f aca="false">IF(TRIM(B409)="","",IFERROR(INDEX('Code Aliases'!$B:$B,MATCH(TRIM(B409),'Code Aliases'!$A:$A,0)),TRIM(B409)))</f>
        <v/>
      </c>
      <c r="I409" s="67" t="str">
        <f aca="false">IF(TRIM(D409)="","",UPPER(TRIM(D409)))</f>
        <v/>
      </c>
      <c r="J409" s="67" t="str">
        <f aca="false">IF(TRIM(E409)="","",UPPER(TRIM(E409)))</f>
        <v/>
      </c>
    </row>
    <row r="410" customFormat="false" ht="14.25" hidden="false" customHeight="true" outlineLevel="0" collapsed="false">
      <c r="C410" s="17" t="str">
        <f aca="false">IF(TRIM(B410)="","",IFERROR(INDEX('Code Aliases'!$B:$B,MATCH(TRIM(B410),'Code Aliases'!$A:$A,0)),TRIM(B410)))</f>
        <v/>
      </c>
      <c r="I410" s="67" t="str">
        <f aca="false">IF(TRIM(D410)="","",UPPER(TRIM(D410)))</f>
        <v/>
      </c>
      <c r="J410" s="67" t="str">
        <f aca="false">IF(TRIM(E410)="","",UPPER(TRIM(E410)))</f>
        <v/>
      </c>
    </row>
    <row r="411" customFormat="false" ht="14.25" hidden="false" customHeight="true" outlineLevel="0" collapsed="false">
      <c r="C411" s="17" t="str">
        <f aca="false">IF(TRIM(B411)="","",IFERROR(INDEX('Code Aliases'!$B:$B,MATCH(TRIM(B411),'Code Aliases'!$A:$A,0)),TRIM(B411)))</f>
        <v/>
      </c>
      <c r="I411" s="67" t="str">
        <f aca="false">IF(TRIM(D411)="","",UPPER(TRIM(D411)))</f>
        <v/>
      </c>
      <c r="J411" s="67" t="str">
        <f aca="false">IF(TRIM(E411)="","",UPPER(TRIM(E411)))</f>
        <v/>
      </c>
    </row>
    <row r="412" customFormat="false" ht="14.25" hidden="false" customHeight="true" outlineLevel="0" collapsed="false">
      <c r="C412" s="17" t="str">
        <f aca="false">IF(TRIM(B412)="","",IFERROR(INDEX('Code Aliases'!$B:$B,MATCH(TRIM(B412),'Code Aliases'!$A:$A,0)),TRIM(B412)))</f>
        <v/>
      </c>
      <c r="I412" s="67" t="str">
        <f aca="false">IF(TRIM(D412)="","",UPPER(TRIM(D412)))</f>
        <v/>
      </c>
      <c r="J412" s="67" t="str">
        <f aca="false">IF(TRIM(E412)="","",UPPER(TRIM(E412)))</f>
        <v/>
      </c>
    </row>
    <row r="413" customFormat="false" ht="14.25" hidden="false" customHeight="true" outlineLevel="0" collapsed="false">
      <c r="C413" s="17" t="str">
        <f aca="false">IF(TRIM(B413)="","",IFERROR(INDEX('Code Aliases'!$B:$B,MATCH(TRIM(B413),'Code Aliases'!$A:$A,0)),TRIM(B413)))</f>
        <v/>
      </c>
      <c r="I413" s="67" t="str">
        <f aca="false">IF(TRIM(D413)="","",UPPER(TRIM(D413)))</f>
        <v/>
      </c>
      <c r="J413" s="67" t="str">
        <f aca="false">IF(TRIM(E413)="","",UPPER(TRIM(E413)))</f>
        <v/>
      </c>
    </row>
    <row r="414" customFormat="false" ht="14.25" hidden="false" customHeight="true" outlineLevel="0" collapsed="false">
      <c r="C414" s="17" t="str">
        <f aca="false">IF(TRIM(B414)="","",IFERROR(INDEX('Code Aliases'!$B:$B,MATCH(TRIM(B414),'Code Aliases'!$A:$A,0)),TRIM(B414)))</f>
        <v/>
      </c>
      <c r="I414" s="67" t="str">
        <f aca="false">IF(TRIM(D414)="","",UPPER(TRIM(D414)))</f>
        <v/>
      </c>
      <c r="J414" s="67" t="str">
        <f aca="false">IF(TRIM(E414)="","",UPPER(TRIM(E414)))</f>
        <v/>
      </c>
    </row>
    <row r="415" customFormat="false" ht="14.25" hidden="false" customHeight="true" outlineLevel="0" collapsed="false">
      <c r="C415" s="17" t="str">
        <f aca="false">IF(TRIM(B415)="","",IFERROR(INDEX('Code Aliases'!$B:$B,MATCH(TRIM(B415),'Code Aliases'!$A:$A,0)),TRIM(B415)))</f>
        <v/>
      </c>
      <c r="I415" s="67" t="str">
        <f aca="false">IF(TRIM(D415)="","",UPPER(TRIM(D415)))</f>
        <v/>
      </c>
      <c r="J415" s="67" t="str">
        <f aca="false">IF(TRIM(E415)="","",UPPER(TRIM(E415)))</f>
        <v/>
      </c>
    </row>
    <row r="416" customFormat="false" ht="14.25" hidden="false" customHeight="true" outlineLevel="0" collapsed="false">
      <c r="C416" s="17" t="str">
        <f aca="false">IF(TRIM(B416)="","",IFERROR(INDEX('Code Aliases'!$B:$B,MATCH(TRIM(B416),'Code Aliases'!$A:$A,0)),TRIM(B416)))</f>
        <v/>
      </c>
      <c r="I416" s="67" t="str">
        <f aca="false">IF(TRIM(D416)="","",UPPER(TRIM(D416)))</f>
        <v/>
      </c>
      <c r="J416" s="67" t="str">
        <f aca="false">IF(TRIM(E416)="","",UPPER(TRIM(E416)))</f>
        <v/>
      </c>
    </row>
    <row r="417" customFormat="false" ht="14.25" hidden="false" customHeight="true" outlineLevel="0" collapsed="false">
      <c r="C417" s="17" t="str">
        <f aca="false">IF(TRIM(B417)="","",IFERROR(INDEX('Code Aliases'!$B:$B,MATCH(TRIM(B417),'Code Aliases'!$A:$A,0)),TRIM(B417)))</f>
        <v/>
      </c>
      <c r="I417" s="67" t="str">
        <f aca="false">IF(TRIM(D417)="","",UPPER(TRIM(D417)))</f>
        <v/>
      </c>
      <c r="J417" s="67" t="str">
        <f aca="false">IF(TRIM(E417)="","",UPPER(TRIM(E417)))</f>
        <v/>
      </c>
    </row>
    <row r="418" customFormat="false" ht="14.25" hidden="false" customHeight="true" outlineLevel="0" collapsed="false">
      <c r="C418" s="17" t="str">
        <f aca="false">IF(TRIM(B418)="","",IFERROR(INDEX('Code Aliases'!$B:$B,MATCH(TRIM(B418),'Code Aliases'!$A:$A,0)),TRIM(B418)))</f>
        <v/>
      </c>
      <c r="I418" s="67" t="str">
        <f aca="false">IF(TRIM(D418)="","",UPPER(TRIM(D418)))</f>
        <v/>
      </c>
      <c r="J418" s="67" t="str">
        <f aca="false">IF(TRIM(E418)="","",UPPER(TRIM(E418)))</f>
        <v/>
      </c>
    </row>
    <row r="419" customFormat="false" ht="14.25" hidden="false" customHeight="true" outlineLevel="0" collapsed="false">
      <c r="C419" s="17" t="str">
        <f aca="false">IF(TRIM(B419)="","",IFERROR(INDEX('Code Aliases'!$B:$B,MATCH(TRIM(B419),'Code Aliases'!$A:$A,0)),TRIM(B419)))</f>
        <v/>
      </c>
      <c r="I419" s="67" t="str">
        <f aca="false">IF(TRIM(D419)="","",UPPER(TRIM(D419)))</f>
        <v/>
      </c>
      <c r="J419" s="67" t="str">
        <f aca="false">IF(TRIM(E419)="","",UPPER(TRIM(E419)))</f>
        <v/>
      </c>
    </row>
    <row r="420" customFormat="false" ht="14.25" hidden="false" customHeight="true" outlineLevel="0" collapsed="false">
      <c r="C420" s="17" t="str">
        <f aca="false">IF(TRIM(B420)="","",IFERROR(INDEX('Code Aliases'!$B:$B,MATCH(TRIM(B420),'Code Aliases'!$A:$A,0)),TRIM(B420)))</f>
        <v/>
      </c>
      <c r="I420" s="67" t="str">
        <f aca="false">IF(TRIM(D420)="","",UPPER(TRIM(D420)))</f>
        <v/>
      </c>
      <c r="J420" s="67" t="str">
        <f aca="false">IF(TRIM(E420)="","",UPPER(TRIM(E420)))</f>
        <v/>
      </c>
    </row>
    <row r="421" customFormat="false" ht="14.25" hidden="false" customHeight="true" outlineLevel="0" collapsed="false">
      <c r="C421" s="17" t="str">
        <f aca="false">IF(TRIM(B421)="","",IFERROR(INDEX('Code Aliases'!$B:$B,MATCH(TRIM(B421),'Code Aliases'!$A:$A,0)),TRIM(B421)))</f>
        <v/>
      </c>
      <c r="I421" s="67" t="str">
        <f aca="false">IF(TRIM(D421)="","",UPPER(TRIM(D421)))</f>
        <v/>
      </c>
      <c r="J421" s="67" t="str">
        <f aca="false">IF(TRIM(E421)="","",UPPER(TRIM(E421)))</f>
        <v/>
      </c>
    </row>
    <row r="422" customFormat="false" ht="14.25" hidden="false" customHeight="true" outlineLevel="0" collapsed="false">
      <c r="C422" s="17" t="str">
        <f aca="false">IF(TRIM(B422)="","",IFERROR(INDEX('Code Aliases'!$B:$B,MATCH(TRIM(B422),'Code Aliases'!$A:$A,0)),TRIM(B422)))</f>
        <v/>
      </c>
      <c r="I422" s="67" t="str">
        <f aca="false">IF(TRIM(D422)="","",UPPER(TRIM(D422)))</f>
        <v/>
      </c>
      <c r="J422" s="67" t="str">
        <f aca="false">IF(TRIM(E422)="","",UPPER(TRIM(E422)))</f>
        <v/>
      </c>
    </row>
    <row r="423" customFormat="false" ht="14.25" hidden="false" customHeight="true" outlineLevel="0" collapsed="false">
      <c r="C423" s="17" t="str">
        <f aca="false">IF(TRIM(B423)="","",IFERROR(INDEX('Code Aliases'!$B:$B,MATCH(TRIM(B423),'Code Aliases'!$A:$A,0)),TRIM(B423)))</f>
        <v/>
      </c>
      <c r="I423" s="67" t="str">
        <f aca="false">IF(TRIM(D423)="","",UPPER(TRIM(D423)))</f>
        <v/>
      </c>
      <c r="J423" s="67" t="str">
        <f aca="false">IF(TRIM(E423)="","",UPPER(TRIM(E423)))</f>
        <v/>
      </c>
    </row>
    <row r="424" customFormat="false" ht="14.25" hidden="false" customHeight="true" outlineLevel="0" collapsed="false">
      <c r="C424" s="17" t="str">
        <f aca="false">IF(TRIM(B424)="","",IFERROR(INDEX('Code Aliases'!$B:$B,MATCH(TRIM(B424),'Code Aliases'!$A:$A,0)),TRIM(B424)))</f>
        <v/>
      </c>
      <c r="I424" s="67" t="str">
        <f aca="false">IF(TRIM(D424)="","",UPPER(TRIM(D424)))</f>
        <v/>
      </c>
      <c r="J424" s="67" t="str">
        <f aca="false">IF(TRIM(E424)="","",UPPER(TRIM(E424)))</f>
        <v/>
      </c>
    </row>
    <row r="425" customFormat="false" ht="14.25" hidden="false" customHeight="true" outlineLevel="0" collapsed="false">
      <c r="C425" s="17" t="str">
        <f aca="false">IF(TRIM(B425)="","",IFERROR(INDEX('Code Aliases'!$B:$B,MATCH(TRIM(B425),'Code Aliases'!$A:$A,0)),TRIM(B425)))</f>
        <v/>
      </c>
      <c r="I425" s="67" t="str">
        <f aca="false">IF(TRIM(D425)="","",UPPER(TRIM(D425)))</f>
        <v/>
      </c>
      <c r="J425" s="67" t="str">
        <f aca="false">IF(TRIM(E425)="","",UPPER(TRIM(E425)))</f>
        <v/>
      </c>
    </row>
    <row r="426" customFormat="false" ht="14.25" hidden="false" customHeight="true" outlineLevel="0" collapsed="false">
      <c r="C426" s="17" t="str">
        <f aca="false">IF(TRIM(B426)="","",IFERROR(INDEX('Code Aliases'!$B:$B,MATCH(TRIM(B426),'Code Aliases'!$A:$A,0)),TRIM(B426)))</f>
        <v/>
      </c>
      <c r="I426" s="67" t="str">
        <f aca="false">IF(TRIM(D426)="","",UPPER(TRIM(D426)))</f>
        <v/>
      </c>
      <c r="J426" s="67" t="str">
        <f aca="false">IF(TRIM(E426)="","",UPPER(TRIM(E426)))</f>
        <v/>
      </c>
    </row>
    <row r="427" customFormat="false" ht="14.25" hidden="false" customHeight="true" outlineLevel="0" collapsed="false">
      <c r="C427" s="17" t="str">
        <f aca="false">IF(TRIM(B427)="","",IFERROR(INDEX('Code Aliases'!$B:$B,MATCH(TRIM(B427),'Code Aliases'!$A:$A,0)),TRIM(B427)))</f>
        <v/>
      </c>
      <c r="I427" s="67" t="str">
        <f aca="false">IF(TRIM(D427)="","",UPPER(TRIM(D427)))</f>
        <v/>
      </c>
      <c r="J427" s="67" t="str">
        <f aca="false">IF(TRIM(E427)="","",UPPER(TRIM(E427)))</f>
        <v/>
      </c>
    </row>
    <row r="428" customFormat="false" ht="14.25" hidden="false" customHeight="true" outlineLevel="0" collapsed="false">
      <c r="C428" s="17" t="str">
        <f aca="false">IF(TRIM(B428)="","",IFERROR(INDEX('Code Aliases'!$B:$B,MATCH(TRIM(B428),'Code Aliases'!$A:$A,0)),TRIM(B428)))</f>
        <v/>
      </c>
      <c r="I428" s="67" t="str">
        <f aca="false">IF(TRIM(D428)="","",UPPER(TRIM(D428)))</f>
        <v/>
      </c>
      <c r="J428" s="67" t="str">
        <f aca="false">IF(TRIM(E428)="","",UPPER(TRIM(E428)))</f>
        <v/>
      </c>
    </row>
    <row r="429" customFormat="false" ht="14.25" hidden="false" customHeight="true" outlineLevel="0" collapsed="false">
      <c r="C429" s="17" t="str">
        <f aca="false">IF(TRIM(B429)="","",IFERROR(INDEX('Code Aliases'!$B:$B,MATCH(TRIM(B429),'Code Aliases'!$A:$A,0)),TRIM(B429)))</f>
        <v/>
      </c>
      <c r="I429" s="67" t="str">
        <f aca="false">IF(TRIM(D429)="","",UPPER(TRIM(D429)))</f>
        <v/>
      </c>
      <c r="J429" s="67" t="str">
        <f aca="false">IF(TRIM(E429)="","",UPPER(TRIM(E429)))</f>
        <v/>
      </c>
    </row>
    <row r="430" customFormat="false" ht="14.25" hidden="false" customHeight="true" outlineLevel="0" collapsed="false">
      <c r="C430" s="17" t="str">
        <f aca="false">IF(TRIM(B430)="","",IFERROR(INDEX('Code Aliases'!$B:$B,MATCH(TRIM(B430),'Code Aliases'!$A:$A,0)),TRIM(B430)))</f>
        <v/>
      </c>
      <c r="I430" s="67" t="str">
        <f aca="false">IF(TRIM(D430)="","",UPPER(TRIM(D430)))</f>
        <v/>
      </c>
      <c r="J430" s="67" t="str">
        <f aca="false">IF(TRIM(E430)="","",UPPER(TRIM(E430)))</f>
        <v/>
      </c>
    </row>
    <row r="431" customFormat="false" ht="14.25" hidden="false" customHeight="true" outlineLevel="0" collapsed="false">
      <c r="C431" s="17" t="str">
        <f aca="false">IF(TRIM(B431)="","",IFERROR(INDEX('Code Aliases'!$B:$B,MATCH(TRIM(B431),'Code Aliases'!$A:$A,0)),TRIM(B431)))</f>
        <v/>
      </c>
      <c r="I431" s="67" t="str">
        <f aca="false">IF(TRIM(D431)="","",UPPER(TRIM(D431)))</f>
        <v/>
      </c>
      <c r="J431" s="67" t="str">
        <f aca="false">IF(TRIM(E431)="","",UPPER(TRIM(E431)))</f>
        <v/>
      </c>
    </row>
    <row r="432" customFormat="false" ht="14.25" hidden="false" customHeight="true" outlineLevel="0" collapsed="false">
      <c r="C432" s="17" t="str">
        <f aca="false">IF(TRIM(B432)="","",IFERROR(INDEX('Code Aliases'!$B:$B,MATCH(TRIM(B432),'Code Aliases'!$A:$A,0)),TRIM(B432)))</f>
        <v/>
      </c>
      <c r="I432" s="67" t="str">
        <f aca="false">IF(TRIM(D432)="","",UPPER(TRIM(D432)))</f>
        <v/>
      </c>
      <c r="J432" s="67" t="str">
        <f aca="false">IF(TRIM(E432)="","",UPPER(TRIM(E432)))</f>
        <v/>
      </c>
    </row>
    <row r="433" customFormat="false" ht="14.25" hidden="false" customHeight="true" outlineLevel="0" collapsed="false">
      <c r="C433" s="17" t="str">
        <f aca="false">IF(TRIM(B433)="","",IFERROR(INDEX('Code Aliases'!$B:$B,MATCH(TRIM(B433),'Code Aliases'!$A:$A,0)),TRIM(B433)))</f>
        <v/>
      </c>
      <c r="I433" s="67" t="str">
        <f aca="false">IF(TRIM(D433)="","",UPPER(TRIM(D433)))</f>
        <v/>
      </c>
      <c r="J433" s="67" t="str">
        <f aca="false">IF(TRIM(E433)="","",UPPER(TRIM(E433)))</f>
        <v/>
      </c>
    </row>
    <row r="434" customFormat="false" ht="14.25" hidden="false" customHeight="true" outlineLevel="0" collapsed="false">
      <c r="C434" s="17" t="str">
        <f aca="false">IF(TRIM(B434)="","",IFERROR(INDEX('Code Aliases'!$B:$B,MATCH(TRIM(B434),'Code Aliases'!$A:$A,0)),TRIM(B434)))</f>
        <v/>
      </c>
      <c r="I434" s="67" t="str">
        <f aca="false">IF(TRIM(D434)="","",UPPER(TRIM(D434)))</f>
        <v/>
      </c>
      <c r="J434" s="67" t="str">
        <f aca="false">IF(TRIM(E434)="","",UPPER(TRIM(E434)))</f>
        <v/>
      </c>
    </row>
    <row r="435" customFormat="false" ht="14.25" hidden="false" customHeight="true" outlineLevel="0" collapsed="false">
      <c r="C435" s="17" t="str">
        <f aca="false">IF(TRIM(B435)="","",IFERROR(INDEX('Code Aliases'!$B:$B,MATCH(TRIM(B435),'Code Aliases'!$A:$A,0)),TRIM(B435)))</f>
        <v/>
      </c>
      <c r="I435" s="67" t="str">
        <f aca="false">IF(TRIM(D435)="","",UPPER(TRIM(D435)))</f>
        <v/>
      </c>
      <c r="J435" s="67" t="str">
        <f aca="false">IF(TRIM(E435)="","",UPPER(TRIM(E435)))</f>
        <v/>
      </c>
    </row>
    <row r="436" customFormat="false" ht="14.25" hidden="false" customHeight="true" outlineLevel="0" collapsed="false">
      <c r="C436" s="17" t="str">
        <f aca="false">IF(TRIM(B436)="","",IFERROR(INDEX('Code Aliases'!$B:$B,MATCH(TRIM(B436),'Code Aliases'!$A:$A,0)),TRIM(B436)))</f>
        <v/>
      </c>
      <c r="I436" s="67" t="str">
        <f aca="false">IF(TRIM(D436)="","",UPPER(TRIM(D436)))</f>
        <v/>
      </c>
      <c r="J436" s="67" t="str">
        <f aca="false">IF(TRIM(E436)="","",UPPER(TRIM(E436)))</f>
        <v/>
      </c>
    </row>
    <row r="437" customFormat="false" ht="14.25" hidden="false" customHeight="true" outlineLevel="0" collapsed="false">
      <c r="C437" s="17" t="str">
        <f aca="false">IF(TRIM(B437)="","",IFERROR(INDEX('Code Aliases'!$B:$B,MATCH(TRIM(B437),'Code Aliases'!$A:$A,0)),TRIM(B437)))</f>
        <v/>
      </c>
      <c r="I437" s="67" t="str">
        <f aca="false">IF(TRIM(D437)="","",UPPER(TRIM(D437)))</f>
        <v/>
      </c>
      <c r="J437" s="67" t="str">
        <f aca="false">IF(TRIM(E437)="","",UPPER(TRIM(E437)))</f>
        <v/>
      </c>
    </row>
    <row r="438" customFormat="false" ht="14.25" hidden="false" customHeight="true" outlineLevel="0" collapsed="false">
      <c r="C438" s="17" t="str">
        <f aca="false">IF(TRIM(B438)="","",IFERROR(INDEX('Code Aliases'!$B:$B,MATCH(TRIM(B438),'Code Aliases'!$A:$A,0)),TRIM(B438)))</f>
        <v/>
      </c>
      <c r="I438" s="67" t="str">
        <f aca="false">IF(TRIM(D438)="","",UPPER(TRIM(D438)))</f>
        <v/>
      </c>
      <c r="J438" s="67" t="str">
        <f aca="false">IF(TRIM(E438)="","",UPPER(TRIM(E438)))</f>
        <v/>
      </c>
    </row>
    <row r="439" customFormat="false" ht="14.25" hidden="false" customHeight="true" outlineLevel="0" collapsed="false">
      <c r="C439" s="17" t="str">
        <f aca="false">IF(TRIM(B439)="","",IFERROR(INDEX('Code Aliases'!$B:$B,MATCH(TRIM(B439),'Code Aliases'!$A:$A,0)),TRIM(B439)))</f>
        <v/>
      </c>
      <c r="I439" s="67" t="str">
        <f aca="false">IF(TRIM(D439)="","",UPPER(TRIM(D439)))</f>
        <v/>
      </c>
      <c r="J439" s="67" t="str">
        <f aca="false">IF(TRIM(E439)="","",UPPER(TRIM(E439)))</f>
        <v/>
      </c>
    </row>
    <row r="440" customFormat="false" ht="14.25" hidden="false" customHeight="true" outlineLevel="0" collapsed="false">
      <c r="C440" s="17" t="str">
        <f aca="false">IF(TRIM(B440)="","",IFERROR(INDEX('Code Aliases'!$B:$B,MATCH(TRIM(B440),'Code Aliases'!$A:$A,0)),TRIM(B440)))</f>
        <v/>
      </c>
      <c r="I440" s="67" t="str">
        <f aca="false">IF(TRIM(D440)="","",UPPER(TRIM(D440)))</f>
        <v/>
      </c>
      <c r="J440" s="67" t="str">
        <f aca="false">IF(TRIM(E440)="","",UPPER(TRIM(E440)))</f>
        <v/>
      </c>
    </row>
    <row r="441" customFormat="false" ht="14.25" hidden="false" customHeight="true" outlineLevel="0" collapsed="false">
      <c r="C441" s="17" t="str">
        <f aca="false">IF(TRIM(B441)="","",IFERROR(INDEX('Code Aliases'!$B:$B,MATCH(TRIM(B441),'Code Aliases'!$A:$A,0)),TRIM(B441)))</f>
        <v/>
      </c>
      <c r="I441" s="67" t="str">
        <f aca="false">IF(TRIM(D441)="","",UPPER(TRIM(D441)))</f>
        <v/>
      </c>
      <c r="J441" s="67" t="str">
        <f aca="false">IF(TRIM(E441)="","",UPPER(TRIM(E441)))</f>
        <v/>
      </c>
    </row>
    <row r="442" customFormat="false" ht="14.25" hidden="false" customHeight="true" outlineLevel="0" collapsed="false">
      <c r="C442" s="17" t="str">
        <f aca="false">IF(TRIM(B442)="","",IFERROR(INDEX('Code Aliases'!$B:$B,MATCH(TRIM(B442),'Code Aliases'!$A:$A,0)),TRIM(B442)))</f>
        <v/>
      </c>
      <c r="I442" s="67" t="str">
        <f aca="false">IF(TRIM(D442)="","",UPPER(TRIM(D442)))</f>
        <v/>
      </c>
      <c r="J442" s="67" t="str">
        <f aca="false">IF(TRIM(E442)="","",UPPER(TRIM(E442)))</f>
        <v/>
      </c>
    </row>
    <row r="443" customFormat="false" ht="14.25" hidden="false" customHeight="true" outlineLevel="0" collapsed="false">
      <c r="C443" s="17" t="str">
        <f aca="false">IF(TRIM(B443)="","",IFERROR(INDEX('Code Aliases'!$B:$B,MATCH(TRIM(B443),'Code Aliases'!$A:$A,0)),TRIM(B443)))</f>
        <v/>
      </c>
      <c r="I443" s="67" t="str">
        <f aca="false">IF(TRIM(D443)="","",UPPER(TRIM(D443)))</f>
        <v/>
      </c>
      <c r="J443" s="67" t="str">
        <f aca="false">IF(TRIM(E443)="","",UPPER(TRIM(E443)))</f>
        <v/>
      </c>
    </row>
    <row r="444" customFormat="false" ht="14.25" hidden="false" customHeight="true" outlineLevel="0" collapsed="false">
      <c r="C444" s="17" t="str">
        <f aca="false">IF(TRIM(B444)="","",IFERROR(INDEX('Code Aliases'!$B:$B,MATCH(TRIM(B444),'Code Aliases'!$A:$A,0)),TRIM(B444)))</f>
        <v/>
      </c>
      <c r="I444" s="67" t="str">
        <f aca="false">IF(TRIM(D444)="","",UPPER(TRIM(D444)))</f>
        <v/>
      </c>
      <c r="J444" s="67" t="str">
        <f aca="false">IF(TRIM(E444)="","",UPPER(TRIM(E444)))</f>
        <v/>
      </c>
    </row>
    <row r="445" customFormat="false" ht="14.25" hidden="false" customHeight="true" outlineLevel="0" collapsed="false">
      <c r="C445" s="17" t="str">
        <f aca="false">IF(TRIM(B445)="","",IFERROR(INDEX('Code Aliases'!$B:$B,MATCH(TRIM(B445),'Code Aliases'!$A:$A,0)),TRIM(B445)))</f>
        <v/>
      </c>
      <c r="I445" s="67" t="str">
        <f aca="false">IF(TRIM(D445)="","",UPPER(TRIM(D445)))</f>
        <v/>
      </c>
      <c r="J445" s="67" t="str">
        <f aca="false">IF(TRIM(E445)="","",UPPER(TRIM(E445)))</f>
        <v/>
      </c>
    </row>
    <row r="446" customFormat="false" ht="14.25" hidden="false" customHeight="true" outlineLevel="0" collapsed="false">
      <c r="C446" s="17" t="str">
        <f aca="false">IF(TRIM(B446)="","",IFERROR(INDEX('Code Aliases'!$B:$B,MATCH(TRIM(B446),'Code Aliases'!$A:$A,0)),TRIM(B446)))</f>
        <v/>
      </c>
      <c r="I446" s="67" t="str">
        <f aca="false">IF(TRIM(D446)="","",UPPER(TRIM(D446)))</f>
        <v/>
      </c>
      <c r="J446" s="67" t="str">
        <f aca="false">IF(TRIM(E446)="","",UPPER(TRIM(E446)))</f>
        <v/>
      </c>
    </row>
    <row r="447" customFormat="false" ht="14.25" hidden="false" customHeight="true" outlineLevel="0" collapsed="false">
      <c r="C447" s="17" t="str">
        <f aca="false">IF(TRIM(B447)="","",IFERROR(INDEX('Code Aliases'!$B:$B,MATCH(TRIM(B447),'Code Aliases'!$A:$A,0)),TRIM(B447)))</f>
        <v/>
      </c>
      <c r="I447" s="67" t="str">
        <f aca="false">IF(TRIM(D447)="","",UPPER(TRIM(D447)))</f>
        <v/>
      </c>
      <c r="J447" s="67" t="str">
        <f aca="false">IF(TRIM(E447)="","",UPPER(TRIM(E447)))</f>
        <v/>
      </c>
    </row>
    <row r="448" customFormat="false" ht="14.25" hidden="false" customHeight="true" outlineLevel="0" collapsed="false">
      <c r="C448" s="17" t="str">
        <f aca="false">IF(TRIM(B448)="","",IFERROR(INDEX('Code Aliases'!$B:$B,MATCH(TRIM(B448),'Code Aliases'!$A:$A,0)),TRIM(B448)))</f>
        <v/>
      </c>
      <c r="I448" s="67" t="str">
        <f aca="false">IF(TRIM(D448)="","",UPPER(TRIM(D448)))</f>
        <v/>
      </c>
      <c r="J448" s="67" t="str">
        <f aca="false">IF(TRIM(E448)="","",UPPER(TRIM(E448)))</f>
        <v/>
      </c>
    </row>
    <row r="449" customFormat="false" ht="14.25" hidden="false" customHeight="true" outlineLevel="0" collapsed="false">
      <c r="C449" s="17" t="str">
        <f aca="false">IF(TRIM(B449)="","",IFERROR(INDEX('Code Aliases'!$B:$B,MATCH(TRIM(B449),'Code Aliases'!$A:$A,0)),TRIM(B449)))</f>
        <v/>
      </c>
      <c r="I449" s="67" t="str">
        <f aca="false">IF(TRIM(D449)="","",UPPER(TRIM(D449)))</f>
        <v/>
      </c>
      <c r="J449" s="67" t="str">
        <f aca="false">IF(TRIM(E449)="","",UPPER(TRIM(E449)))</f>
        <v/>
      </c>
    </row>
    <row r="450" customFormat="false" ht="14.25" hidden="false" customHeight="true" outlineLevel="0" collapsed="false">
      <c r="C450" s="17" t="str">
        <f aca="false">IF(TRIM(B450)="","",IFERROR(INDEX('Code Aliases'!$B:$B,MATCH(TRIM(B450),'Code Aliases'!$A:$A,0)),TRIM(B450)))</f>
        <v/>
      </c>
      <c r="I450" s="67" t="str">
        <f aca="false">IF(TRIM(D450)="","",UPPER(TRIM(D450)))</f>
        <v/>
      </c>
      <c r="J450" s="67" t="str">
        <f aca="false">IF(TRIM(E450)="","",UPPER(TRIM(E450)))</f>
        <v/>
      </c>
    </row>
    <row r="451" customFormat="false" ht="14.25" hidden="false" customHeight="true" outlineLevel="0" collapsed="false">
      <c r="C451" s="17" t="str">
        <f aca="false">IF(TRIM(B451)="","",IFERROR(INDEX('Code Aliases'!$B:$B,MATCH(TRIM(B451),'Code Aliases'!$A:$A,0)),TRIM(B451)))</f>
        <v/>
      </c>
      <c r="I451" s="67" t="str">
        <f aca="false">IF(TRIM(D451)="","",UPPER(TRIM(D451)))</f>
        <v/>
      </c>
      <c r="J451" s="67" t="str">
        <f aca="false">IF(TRIM(E451)="","",UPPER(TRIM(E451)))</f>
        <v/>
      </c>
    </row>
    <row r="452" customFormat="false" ht="14.25" hidden="false" customHeight="true" outlineLevel="0" collapsed="false">
      <c r="C452" s="17" t="str">
        <f aca="false">IF(TRIM(B452)="","",IFERROR(INDEX('Code Aliases'!$B:$B,MATCH(TRIM(B452),'Code Aliases'!$A:$A,0)),TRIM(B452)))</f>
        <v/>
      </c>
      <c r="I452" s="67" t="str">
        <f aca="false">IF(TRIM(D452)="","",UPPER(TRIM(D452)))</f>
        <v/>
      </c>
      <c r="J452" s="67" t="str">
        <f aca="false">IF(TRIM(E452)="","",UPPER(TRIM(E452)))</f>
        <v/>
      </c>
    </row>
    <row r="453" customFormat="false" ht="14.25" hidden="false" customHeight="true" outlineLevel="0" collapsed="false">
      <c r="C453" s="17" t="str">
        <f aca="false">IF(TRIM(B453)="","",IFERROR(INDEX('Code Aliases'!$B:$B,MATCH(TRIM(B453),'Code Aliases'!$A:$A,0)),TRIM(B453)))</f>
        <v/>
      </c>
      <c r="I453" s="67" t="str">
        <f aca="false">IF(TRIM(D453)="","",UPPER(TRIM(D453)))</f>
        <v/>
      </c>
      <c r="J453" s="67" t="str">
        <f aca="false">IF(TRIM(E453)="","",UPPER(TRIM(E453)))</f>
        <v/>
      </c>
    </row>
    <row r="454" customFormat="false" ht="14.25" hidden="false" customHeight="true" outlineLevel="0" collapsed="false">
      <c r="C454" s="17" t="str">
        <f aca="false">IF(TRIM(B454)="","",IFERROR(INDEX('Code Aliases'!$B:$B,MATCH(TRIM(B454),'Code Aliases'!$A:$A,0)),TRIM(B454)))</f>
        <v/>
      </c>
      <c r="I454" s="67" t="str">
        <f aca="false">IF(TRIM(D454)="","",UPPER(TRIM(D454)))</f>
        <v/>
      </c>
      <c r="J454" s="67" t="str">
        <f aca="false">IF(TRIM(E454)="","",UPPER(TRIM(E454)))</f>
        <v/>
      </c>
    </row>
    <row r="455" customFormat="false" ht="14.25" hidden="false" customHeight="true" outlineLevel="0" collapsed="false">
      <c r="C455" s="17" t="str">
        <f aca="false">IF(TRIM(B455)="","",IFERROR(INDEX('Code Aliases'!$B:$B,MATCH(TRIM(B455),'Code Aliases'!$A:$A,0)),TRIM(B455)))</f>
        <v/>
      </c>
      <c r="I455" s="67" t="str">
        <f aca="false">IF(TRIM(D455)="","",UPPER(TRIM(D455)))</f>
        <v/>
      </c>
      <c r="J455" s="67" t="str">
        <f aca="false">IF(TRIM(E455)="","",UPPER(TRIM(E455)))</f>
        <v/>
      </c>
    </row>
    <row r="456" customFormat="false" ht="14.25" hidden="false" customHeight="true" outlineLevel="0" collapsed="false">
      <c r="C456" s="17" t="str">
        <f aca="false">IF(TRIM(B456)="","",IFERROR(INDEX('Code Aliases'!$B:$B,MATCH(TRIM(B456),'Code Aliases'!$A:$A,0)),TRIM(B456)))</f>
        <v/>
      </c>
      <c r="I456" s="67" t="str">
        <f aca="false">IF(TRIM(D456)="","",UPPER(TRIM(D456)))</f>
        <v/>
      </c>
      <c r="J456" s="67" t="str">
        <f aca="false">IF(TRIM(E456)="","",UPPER(TRIM(E456)))</f>
        <v/>
      </c>
    </row>
    <row r="457" customFormat="false" ht="14.25" hidden="false" customHeight="true" outlineLevel="0" collapsed="false">
      <c r="C457" s="17" t="str">
        <f aca="false">IF(TRIM(B457)="","",IFERROR(INDEX('Code Aliases'!$B:$B,MATCH(TRIM(B457),'Code Aliases'!$A:$A,0)),TRIM(B457)))</f>
        <v/>
      </c>
      <c r="I457" s="67" t="str">
        <f aca="false">IF(TRIM(D457)="","",UPPER(TRIM(D457)))</f>
        <v/>
      </c>
      <c r="J457" s="67" t="str">
        <f aca="false">IF(TRIM(E457)="","",UPPER(TRIM(E457)))</f>
        <v/>
      </c>
    </row>
    <row r="458" customFormat="false" ht="14.25" hidden="false" customHeight="true" outlineLevel="0" collapsed="false">
      <c r="C458" s="17" t="str">
        <f aca="false">IF(TRIM(B458)="","",IFERROR(INDEX('Code Aliases'!$B:$B,MATCH(TRIM(B458),'Code Aliases'!$A:$A,0)),TRIM(B458)))</f>
        <v/>
      </c>
      <c r="I458" s="67" t="str">
        <f aca="false">IF(TRIM(D458)="","",UPPER(TRIM(D458)))</f>
        <v/>
      </c>
      <c r="J458" s="67" t="str">
        <f aca="false">IF(TRIM(E458)="","",UPPER(TRIM(E458)))</f>
        <v/>
      </c>
    </row>
    <row r="459" customFormat="false" ht="14.25" hidden="false" customHeight="true" outlineLevel="0" collapsed="false">
      <c r="C459" s="17" t="str">
        <f aca="false">IF(TRIM(B459)="","",IFERROR(INDEX('Code Aliases'!$B:$B,MATCH(TRIM(B459),'Code Aliases'!$A:$A,0)),TRIM(B459)))</f>
        <v/>
      </c>
      <c r="I459" s="67" t="str">
        <f aca="false">IF(TRIM(D459)="","",UPPER(TRIM(D459)))</f>
        <v/>
      </c>
      <c r="J459" s="67" t="str">
        <f aca="false">IF(TRIM(E459)="","",UPPER(TRIM(E459)))</f>
        <v/>
      </c>
    </row>
    <row r="460" customFormat="false" ht="14.25" hidden="false" customHeight="true" outlineLevel="0" collapsed="false">
      <c r="C460" s="17" t="str">
        <f aca="false">IF(TRIM(B460)="","",IFERROR(INDEX('Code Aliases'!$B:$B,MATCH(TRIM(B460),'Code Aliases'!$A:$A,0)),TRIM(B460)))</f>
        <v/>
      </c>
      <c r="I460" s="67" t="str">
        <f aca="false">IF(TRIM(D460)="","",UPPER(TRIM(D460)))</f>
        <v/>
      </c>
      <c r="J460" s="67" t="str">
        <f aca="false">IF(TRIM(E460)="","",UPPER(TRIM(E460)))</f>
        <v/>
      </c>
    </row>
    <row r="461" customFormat="false" ht="14.25" hidden="false" customHeight="true" outlineLevel="0" collapsed="false">
      <c r="C461" s="17" t="str">
        <f aca="false">IF(TRIM(B461)="","",IFERROR(INDEX('Code Aliases'!$B:$B,MATCH(TRIM(B461),'Code Aliases'!$A:$A,0)),TRIM(B461)))</f>
        <v/>
      </c>
      <c r="I461" s="67" t="str">
        <f aca="false">IF(TRIM(D461)="","",UPPER(TRIM(D461)))</f>
        <v/>
      </c>
      <c r="J461" s="67" t="str">
        <f aca="false">IF(TRIM(E461)="","",UPPER(TRIM(E461)))</f>
        <v/>
      </c>
    </row>
    <row r="462" customFormat="false" ht="14.25" hidden="false" customHeight="true" outlineLevel="0" collapsed="false">
      <c r="C462" s="17" t="str">
        <f aca="false">IF(TRIM(B462)="","",IFERROR(INDEX('Code Aliases'!$B:$B,MATCH(TRIM(B462),'Code Aliases'!$A:$A,0)),TRIM(B462)))</f>
        <v/>
      </c>
      <c r="I462" s="67" t="str">
        <f aca="false">IF(TRIM(D462)="","",UPPER(TRIM(D462)))</f>
        <v/>
      </c>
      <c r="J462" s="67" t="str">
        <f aca="false">IF(TRIM(E462)="","",UPPER(TRIM(E462)))</f>
        <v/>
      </c>
    </row>
    <row r="463" customFormat="false" ht="14.25" hidden="false" customHeight="true" outlineLevel="0" collapsed="false">
      <c r="C463" s="17" t="str">
        <f aca="false">IF(TRIM(B463)="","",IFERROR(INDEX('Code Aliases'!$B:$B,MATCH(TRIM(B463),'Code Aliases'!$A:$A,0)),TRIM(B463)))</f>
        <v/>
      </c>
      <c r="I463" s="67" t="str">
        <f aca="false">IF(TRIM(D463)="","",UPPER(TRIM(D463)))</f>
        <v/>
      </c>
      <c r="J463" s="67" t="str">
        <f aca="false">IF(TRIM(E463)="","",UPPER(TRIM(E463)))</f>
        <v/>
      </c>
    </row>
    <row r="464" customFormat="false" ht="14.25" hidden="false" customHeight="true" outlineLevel="0" collapsed="false">
      <c r="C464" s="17" t="str">
        <f aca="false">IF(TRIM(B464)="","",IFERROR(INDEX('Code Aliases'!$B:$B,MATCH(TRIM(B464),'Code Aliases'!$A:$A,0)),TRIM(B464)))</f>
        <v/>
      </c>
      <c r="I464" s="67" t="str">
        <f aca="false">IF(TRIM(D464)="","",UPPER(TRIM(D464)))</f>
        <v/>
      </c>
      <c r="J464" s="67" t="str">
        <f aca="false">IF(TRIM(E464)="","",UPPER(TRIM(E464)))</f>
        <v/>
      </c>
    </row>
    <row r="465" customFormat="false" ht="14.25" hidden="false" customHeight="true" outlineLevel="0" collapsed="false">
      <c r="C465" s="17" t="str">
        <f aca="false">IF(TRIM(B465)="","",IFERROR(INDEX('Code Aliases'!$B:$B,MATCH(TRIM(B465),'Code Aliases'!$A:$A,0)),TRIM(B465)))</f>
        <v/>
      </c>
      <c r="I465" s="67" t="str">
        <f aca="false">IF(TRIM(D465)="","",UPPER(TRIM(D465)))</f>
        <v/>
      </c>
      <c r="J465" s="67" t="str">
        <f aca="false">IF(TRIM(E465)="","",UPPER(TRIM(E465)))</f>
        <v/>
      </c>
    </row>
    <row r="466" customFormat="false" ht="14.25" hidden="false" customHeight="true" outlineLevel="0" collapsed="false">
      <c r="C466" s="17" t="str">
        <f aca="false">IF(TRIM(B466)="","",IFERROR(INDEX('Code Aliases'!$B:$B,MATCH(TRIM(B466),'Code Aliases'!$A:$A,0)),TRIM(B466)))</f>
        <v/>
      </c>
      <c r="I466" s="67" t="str">
        <f aca="false">IF(TRIM(D466)="","",UPPER(TRIM(D466)))</f>
        <v/>
      </c>
      <c r="J466" s="67" t="str">
        <f aca="false">IF(TRIM(E466)="","",UPPER(TRIM(E466)))</f>
        <v/>
      </c>
    </row>
    <row r="467" customFormat="false" ht="14.25" hidden="false" customHeight="true" outlineLevel="0" collapsed="false">
      <c r="C467" s="17" t="str">
        <f aca="false">IF(TRIM(B467)="","",IFERROR(INDEX('Code Aliases'!$B:$B,MATCH(TRIM(B467),'Code Aliases'!$A:$A,0)),TRIM(B467)))</f>
        <v/>
      </c>
      <c r="I467" s="67" t="str">
        <f aca="false">IF(TRIM(D467)="","",UPPER(TRIM(D467)))</f>
        <v/>
      </c>
      <c r="J467" s="67" t="str">
        <f aca="false">IF(TRIM(E467)="","",UPPER(TRIM(E467)))</f>
        <v/>
      </c>
    </row>
    <row r="468" customFormat="false" ht="14.25" hidden="false" customHeight="true" outlineLevel="0" collapsed="false">
      <c r="C468" s="17" t="str">
        <f aca="false">IF(TRIM(B468)="","",IFERROR(INDEX('Code Aliases'!$B:$B,MATCH(TRIM(B468),'Code Aliases'!$A:$A,0)),TRIM(B468)))</f>
        <v/>
      </c>
      <c r="I468" s="67" t="str">
        <f aca="false">IF(TRIM(D468)="","",UPPER(TRIM(D468)))</f>
        <v/>
      </c>
      <c r="J468" s="67" t="str">
        <f aca="false">IF(TRIM(E468)="","",UPPER(TRIM(E468)))</f>
        <v/>
      </c>
    </row>
    <row r="469" customFormat="false" ht="14.25" hidden="false" customHeight="true" outlineLevel="0" collapsed="false">
      <c r="C469" s="17" t="str">
        <f aca="false">IF(TRIM(B469)="","",IFERROR(INDEX('Code Aliases'!$B:$B,MATCH(TRIM(B469),'Code Aliases'!$A:$A,0)),TRIM(B469)))</f>
        <v/>
      </c>
      <c r="I469" s="67" t="str">
        <f aca="false">IF(TRIM(D469)="","",UPPER(TRIM(D469)))</f>
        <v/>
      </c>
      <c r="J469" s="67" t="str">
        <f aca="false">IF(TRIM(E469)="","",UPPER(TRIM(E469)))</f>
        <v/>
      </c>
    </row>
    <row r="470" customFormat="false" ht="14.25" hidden="false" customHeight="true" outlineLevel="0" collapsed="false">
      <c r="C470" s="17" t="str">
        <f aca="false">IF(TRIM(B470)="","",IFERROR(INDEX('Code Aliases'!$B:$B,MATCH(TRIM(B470),'Code Aliases'!$A:$A,0)),TRIM(B470)))</f>
        <v/>
      </c>
      <c r="I470" s="67" t="str">
        <f aca="false">IF(TRIM(D470)="","",UPPER(TRIM(D470)))</f>
        <v/>
      </c>
      <c r="J470" s="67" t="str">
        <f aca="false">IF(TRIM(E470)="","",UPPER(TRIM(E470)))</f>
        <v/>
      </c>
    </row>
    <row r="471" customFormat="false" ht="14.25" hidden="false" customHeight="true" outlineLevel="0" collapsed="false">
      <c r="C471" s="17" t="str">
        <f aca="false">IF(TRIM(B471)="","",IFERROR(INDEX('Code Aliases'!$B:$B,MATCH(TRIM(B471),'Code Aliases'!$A:$A,0)),TRIM(B471)))</f>
        <v/>
      </c>
      <c r="I471" s="67" t="str">
        <f aca="false">IF(TRIM(D471)="","",UPPER(TRIM(D471)))</f>
        <v/>
      </c>
      <c r="J471" s="67" t="str">
        <f aca="false">IF(TRIM(E471)="","",UPPER(TRIM(E471)))</f>
        <v/>
      </c>
    </row>
    <row r="472" customFormat="false" ht="14.25" hidden="false" customHeight="true" outlineLevel="0" collapsed="false">
      <c r="C472" s="17" t="str">
        <f aca="false">IF(TRIM(B472)="","",IFERROR(INDEX('Code Aliases'!$B:$B,MATCH(TRIM(B472),'Code Aliases'!$A:$A,0)),TRIM(B472)))</f>
        <v/>
      </c>
      <c r="I472" s="67" t="str">
        <f aca="false">IF(TRIM(D472)="","",UPPER(TRIM(D472)))</f>
        <v/>
      </c>
      <c r="J472" s="67" t="str">
        <f aca="false">IF(TRIM(E472)="","",UPPER(TRIM(E472)))</f>
        <v/>
      </c>
    </row>
    <row r="473" customFormat="false" ht="14.25" hidden="false" customHeight="true" outlineLevel="0" collapsed="false">
      <c r="C473" s="17" t="str">
        <f aca="false">IF(TRIM(B473)="","",IFERROR(INDEX('Code Aliases'!$B:$B,MATCH(TRIM(B473),'Code Aliases'!$A:$A,0)),TRIM(B473)))</f>
        <v/>
      </c>
      <c r="I473" s="67" t="str">
        <f aca="false">IF(TRIM(D473)="","",UPPER(TRIM(D473)))</f>
        <v/>
      </c>
      <c r="J473" s="67" t="str">
        <f aca="false">IF(TRIM(E473)="","",UPPER(TRIM(E473)))</f>
        <v/>
      </c>
    </row>
    <row r="474" customFormat="false" ht="14.25" hidden="false" customHeight="true" outlineLevel="0" collapsed="false">
      <c r="C474" s="17" t="str">
        <f aca="false">IF(TRIM(B474)="","",IFERROR(INDEX('Code Aliases'!$B:$B,MATCH(TRIM(B474),'Code Aliases'!$A:$A,0)),TRIM(B474)))</f>
        <v/>
      </c>
      <c r="I474" s="67" t="str">
        <f aca="false">IF(TRIM(D474)="","",UPPER(TRIM(D474)))</f>
        <v/>
      </c>
      <c r="J474" s="67" t="str">
        <f aca="false">IF(TRIM(E474)="","",UPPER(TRIM(E474)))</f>
        <v/>
      </c>
    </row>
    <row r="475" customFormat="false" ht="14.25" hidden="false" customHeight="true" outlineLevel="0" collapsed="false">
      <c r="C475" s="17" t="str">
        <f aca="false">IF(TRIM(B475)="","",IFERROR(INDEX('Code Aliases'!$B:$B,MATCH(TRIM(B475),'Code Aliases'!$A:$A,0)),TRIM(B475)))</f>
        <v/>
      </c>
      <c r="I475" s="67" t="str">
        <f aca="false">IF(TRIM(D475)="","",UPPER(TRIM(D475)))</f>
        <v/>
      </c>
      <c r="J475" s="67" t="str">
        <f aca="false">IF(TRIM(E475)="","",UPPER(TRIM(E475)))</f>
        <v/>
      </c>
    </row>
    <row r="476" customFormat="false" ht="14.25" hidden="false" customHeight="true" outlineLevel="0" collapsed="false">
      <c r="C476" s="17" t="str">
        <f aca="false">IF(TRIM(B476)="","",IFERROR(INDEX('Code Aliases'!$B:$B,MATCH(TRIM(B476),'Code Aliases'!$A:$A,0)),TRIM(B476)))</f>
        <v/>
      </c>
      <c r="I476" s="67" t="str">
        <f aca="false">IF(TRIM(D476)="","",UPPER(TRIM(D476)))</f>
        <v/>
      </c>
      <c r="J476" s="67" t="str">
        <f aca="false">IF(TRIM(E476)="","",UPPER(TRIM(E476)))</f>
        <v/>
      </c>
    </row>
    <row r="477" customFormat="false" ht="14.25" hidden="false" customHeight="true" outlineLevel="0" collapsed="false">
      <c r="C477" s="17" t="str">
        <f aca="false">IF(TRIM(B477)="","",IFERROR(INDEX('Code Aliases'!$B:$B,MATCH(TRIM(B477),'Code Aliases'!$A:$A,0)),TRIM(B477)))</f>
        <v/>
      </c>
      <c r="I477" s="67" t="str">
        <f aca="false">IF(TRIM(D477)="","",UPPER(TRIM(D477)))</f>
        <v/>
      </c>
      <c r="J477" s="67" t="str">
        <f aca="false">IF(TRIM(E477)="","",UPPER(TRIM(E477)))</f>
        <v/>
      </c>
    </row>
    <row r="478" customFormat="false" ht="14.25" hidden="false" customHeight="true" outlineLevel="0" collapsed="false">
      <c r="C478" s="17" t="str">
        <f aca="false">IF(TRIM(B478)="","",IFERROR(INDEX('Code Aliases'!$B:$B,MATCH(TRIM(B478),'Code Aliases'!$A:$A,0)),TRIM(B478)))</f>
        <v/>
      </c>
      <c r="I478" s="67" t="str">
        <f aca="false">IF(TRIM(D478)="","",UPPER(TRIM(D478)))</f>
        <v/>
      </c>
      <c r="J478" s="67" t="str">
        <f aca="false">IF(TRIM(E478)="","",UPPER(TRIM(E478)))</f>
        <v/>
      </c>
    </row>
    <row r="479" customFormat="false" ht="14.25" hidden="false" customHeight="true" outlineLevel="0" collapsed="false">
      <c r="C479" s="17" t="str">
        <f aca="false">IF(TRIM(B479)="","",IFERROR(INDEX('Code Aliases'!$B:$B,MATCH(TRIM(B479),'Code Aliases'!$A:$A,0)),TRIM(B479)))</f>
        <v/>
      </c>
      <c r="I479" s="67" t="str">
        <f aca="false">IF(TRIM(D479)="","",UPPER(TRIM(D479)))</f>
        <v/>
      </c>
      <c r="J479" s="67" t="str">
        <f aca="false">IF(TRIM(E479)="","",UPPER(TRIM(E479)))</f>
        <v/>
      </c>
    </row>
    <row r="480" customFormat="false" ht="14.25" hidden="false" customHeight="true" outlineLevel="0" collapsed="false">
      <c r="C480" s="17" t="str">
        <f aca="false">IF(TRIM(B480)="","",IFERROR(INDEX('Code Aliases'!$B:$B,MATCH(TRIM(B480),'Code Aliases'!$A:$A,0)),TRIM(B480)))</f>
        <v/>
      </c>
      <c r="I480" s="67" t="str">
        <f aca="false">IF(TRIM(D480)="","",UPPER(TRIM(D480)))</f>
        <v/>
      </c>
      <c r="J480" s="67" t="str">
        <f aca="false">IF(TRIM(E480)="","",UPPER(TRIM(E480)))</f>
        <v/>
      </c>
    </row>
    <row r="481" customFormat="false" ht="14.25" hidden="false" customHeight="true" outlineLevel="0" collapsed="false">
      <c r="C481" s="17" t="str">
        <f aca="false">IF(TRIM(B481)="","",IFERROR(INDEX('Code Aliases'!$B:$B,MATCH(TRIM(B481),'Code Aliases'!$A:$A,0)),TRIM(B481)))</f>
        <v/>
      </c>
      <c r="I481" s="67" t="str">
        <f aca="false">IF(TRIM(D481)="","",UPPER(TRIM(D481)))</f>
        <v/>
      </c>
      <c r="J481" s="67" t="str">
        <f aca="false">IF(TRIM(E481)="","",UPPER(TRIM(E481)))</f>
        <v/>
      </c>
    </row>
    <row r="482" customFormat="false" ht="14.25" hidden="false" customHeight="true" outlineLevel="0" collapsed="false">
      <c r="C482" s="17" t="str">
        <f aca="false">IF(TRIM(B482)="","",IFERROR(INDEX('Code Aliases'!$B:$B,MATCH(TRIM(B482),'Code Aliases'!$A:$A,0)),TRIM(B482)))</f>
        <v/>
      </c>
      <c r="I482" s="67" t="str">
        <f aca="false">IF(TRIM(D482)="","",UPPER(TRIM(D482)))</f>
        <v/>
      </c>
      <c r="J482" s="67" t="str">
        <f aca="false">IF(TRIM(E482)="","",UPPER(TRIM(E482)))</f>
        <v/>
      </c>
    </row>
    <row r="483" customFormat="false" ht="14.25" hidden="false" customHeight="true" outlineLevel="0" collapsed="false">
      <c r="C483" s="17" t="str">
        <f aca="false">IF(TRIM(B483)="","",IFERROR(INDEX('Code Aliases'!$B:$B,MATCH(TRIM(B483),'Code Aliases'!$A:$A,0)),TRIM(B483)))</f>
        <v/>
      </c>
      <c r="I483" s="67" t="str">
        <f aca="false">IF(TRIM(D483)="","",UPPER(TRIM(D483)))</f>
        <v/>
      </c>
      <c r="J483" s="67" t="str">
        <f aca="false">IF(TRIM(E483)="","",UPPER(TRIM(E483)))</f>
        <v/>
      </c>
    </row>
    <row r="484" customFormat="false" ht="14.25" hidden="false" customHeight="true" outlineLevel="0" collapsed="false">
      <c r="C484" s="17" t="str">
        <f aca="false">IF(TRIM(B484)="","",IFERROR(INDEX('Code Aliases'!$B:$B,MATCH(TRIM(B484),'Code Aliases'!$A:$A,0)),TRIM(B484)))</f>
        <v/>
      </c>
      <c r="I484" s="67" t="str">
        <f aca="false">IF(TRIM(D484)="","",UPPER(TRIM(D484)))</f>
        <v/>
      </c>
      <c r="J484" s="67" t="str">
        <f aca="false">IF(TRIM(E484)="","",UPPER(TRIM(E484)))</f>
        <v/>
      </c>
    </row>
    <row r="485" customFormat="false" ht="14.25" hidden="false" customHeight="true" outlineLevel="0" collapsed="false">
      <c r="C485" s="17" t="str">
        <f aca="false">IF(TRIM(B485)="","",IFERROR(INDEX('Code Aliases'!$B:$B,MATCH(TRIM(B485),'Code Aliases'!$A:$A,0)),TRIM(B485)))</f>
        <v/>
      </c>
      <c r="I485" s="67" t="str">
        <f aca="false">IF(TRIM(D485)="","",UPPER(TRIM(D485)))</f>
        <v/>
      </c>
      <c r="J485" s="67" t="str">
        <f aca="false">IF(TRIM(E485)="","",UPPER(TRIM(E485)))</f>
        <v/>
      </c>
    </row>
    <row r="486" customFormat="false" ht="14.25" hidden="false" customHeight="true" outlineLevel="0" collapsed="false">
      <c r="C486" s="17" t="str">
        <f aca="false">IF(TRIM(B486)="","",IFERROR(INDEX('Code Aliases'!$B:$B,MATCH(TRIM(B486),'Code Aliases'!$A:$A,0)),TRIM(B486)))</f>
        <v/>
      </c>
      <c r="I486" s="67" t="str">
        <f aca="false">IF(TRIM(D486)="","",UPPER(TRIM(D486)))</f>
        <v/>
      </c>
      <c r="J486" s="67" t="str">
        <f aca="false">IF(TRIM(E486)="","",UPPER(TRIM(E486)))</f>
        <v/>
      </c>
    </row>
    <row r="487" customFormat="false" ht="14.25" hidden="false" customHeight="true" outlineLevel="0" collapsed="false">
      <c r="C487" s="17" t="str">
        <f aca="false">IF(TRIM(B487)="","",IFERROR(INDEX('Code Aliases'!$B:$B,MATCH(TRIM(B487),'Code Aliases'!$A:$A,0)),TRIM(B487)))</f>
        <v/>
      </c>
      <c r="I487" s="67" t="str">
        <f aca="false">IF(TRIM(D487)="","",UPPER(TRIM(D487)))</f>
        <v/>
      </c>
      <c r="J487" s="67" t="str">
        <f aca="false">IF(TRIM(E487)="","",UPPER(TRIM(E487)))</f>
        <v/>
      </c>
    </row>
    <row r="488" customFormat="false" ht="14.25" hidden="false" customHeight="true" outlineLevel="0" collapsed="false">
      <c r="C488" s="17" t="str">
        <f aca="false">IF(TRIM(B488)="","",IFERROR(INDEX('Code Aliases'!$B:$B,MATCH(TRIM(B488),'Code Aliases'!$A:$A,0)),TRIM(B488)))</f>
        <v/>
      </c>
      <c r="I488" s="67" t="str">
        <f aca="false">IF(TRIM(D488)="","",UPPER(TRIM(D488)))</f>
        <v/>
      </c>
      <c r="J488" s="67" t="str">
        <f aca="false">IF(TRIM(E488)="","",UPPER(TRIM(E488)))</f>
        <v/>
      </c>
    </row>
    <row r="489" customFormat="false" ht="14.25" hidden="false" customHeight="true" outlineLevel="0" collapsed="false">
      <c r="C489" s="17" t="str">
        <f aca="false">IF(TRIM(B489)="","",IFERROR(INDEX('Code Aliases'!$B:$B,MATCH(TRIM(B489),'Code Aliases'!$A:$A,0)),TRIM(B489)))</f>
        <v/>
      </c>
      <c r="I489" s="67" t="str">
        <f aca="false">IF(TRIM(D489)="","",UPPER(TRIM(D489)))</f>
        <v/>
      </c>
      <c r="J489" s="67" t="str">
        <f aca="false">IF(TRIM(E489)="","",UPPER(TRIM(E489)))</f>
        <v/>
      </c>
    </row>
    <row r="490" customFormat="false" ht="14.25" hidden="false" customHeight="true" outlineLevel="0" collapsed="false">
      <c r="C490" s="17" t="str">
        <f aca="false">IF(TRIM(B490)="","",IFERROR(INDEX('Code Aliases'!$B:$B,MATCH(TRIM(B490),'Code Aliases'!$A:$A,0)),TRIM(B490)))</f>
        <v/>
      </c>
      <c r="I490" s="67" t="str">
        <f aca="false">IF(TRIM(D490)="","",UPPER(TRIM(D490)))</f>
        <v/>
      </c>
      <c r="J490" s="67" t="str">
        <f aca="false">IF(TRIM(E490)="","",UPPER(TRIM(E490)))</f>
        <v/>
      </c>
    </row>
    <row r="491" customFormat="false" ht="14.25" hidden="false" customHeight="true" outlineLevel="0" collapsed="false">
      <c r="C491" s="17" t="str">
        <f aca="false">IF(TRIM(B491)="","",IFERROR(INDEX('Code Aliases'!$B:$B,MATCH(TRIM(B491),'Code Aliases'!$A:$A,0)),TRIM(B491)))</f>
        <v/>
      </c>
      <c r="I491" s="67" t="str">
        <f aca="false">IF(TRIM(D491)="","",UPPER(TRIM(D491)))</f>
        <v/>
      </c>
      <c r="J491" s="67" t="str">
        <f aca="false">IF(TRIM(E491)="","",UPPER(TRIM(E491)))</f>
        <v/>
      </c>
    </row>
    <row r="492" customFormat="false" ht="14.25" hidden="false" customHeight="true" outlineLevel="0" collapsed="false">
      <c r="C492" s="17" t="str">
        <f aca="false">IF(TRIM(B492)="","",IFERROR(INDEX('Code Aliases'!$B:$B,MATCH(TRIM(B492),'Code Aliases'!$A:$A,0)),TRIM(B492)))</f>
        <v/>
      </c>
      <c r="I492" s="67" t="str">
        <f aca="false">IF(TRIM(D492)="","",UPPER(TRIM(D492)))</f>
        <v/>
      </c>
      <c r="J492" s="67" t="str">
        <f aca="false">IF(TRIM(E492)="","",UPPER(TRIM(E492)))</f>
        <v/>
      </c>
    </row>
    <row r="493" customFormat="false" ht="14.25" hidden="false" customHeight="true" outlineLevel="0" collapsed="false">
      <c r="C493" s="17" t="str">
        <f aca="false">IF(TRIM(B493)="","",IFERROR(INDEX('Code Aliases'!$B:$B,MATCH(TRIM(B493),'Code Aliases'!$A:$A,0)),TRIM(B493)))</f>
        <v/>
      </c>
      <c r="I493" s="67" t="str">
        <f aca="false">IF(TRIM(D493)="","",UPPER(TRIM(D493)))</f>
        <v/>
      </c>
      <c r="J493" s="67" t="str">
        <f aca="false">IF(TRIM(E493)="","",UPPER(TRIM(E493)))</f>
        <v/>
      </c>
    </row>
    <row r="494" customFormat="false" ht="14.25" hidden="false" customHeight="true" outlineLevel="0" collapsed="false">
      <c r="C494" s="17" t="str">
        <f aca="false">IF(TRIM(B494)="","",IFERROR(INDEX('Code Aliases'!$B:$B,MATCH(TRIM(B494),'Code Aliases'!$A:$A,0)),TRIM(B494)))</f>
        <v/>
      </c>
      <c r="I494" s="67" t="str">
        <f aca="false">IF(TRIM(D494)="","",UPPER(TRIM(D494)))</f>
        <v/>
      </c>
      <c r="J494" s="67" t="str">
        <f aca="false">IF(TRIM(E494)="","",UPPER(TRIM(E494)))</f>
        <v/>
      </c>
    </row>
    <row r="495" customFormat="false" ht="14.25" hidden="false" customHeight="true" outlineLevel="0" collapsed="false">
      <c r="C495" s="17" t="str">
        <f aca="false">IF(TRIM(B495)="","",IFERROR(INDEX('Code Aliases'!$B:$B,MATCH(TRIM(B495),'Code Aliases'!$A:$A,0)),TRIM(B495)))</f>
        <v/>
      </c>
      <c r="I495" s="67" t="str">
        <f aca="false">IF(TRIM(D495)="","",UPPER(TRIM(D495)))</f>
        <v/>
      </c>
      <c r="J495" s="67" t="str">
        <f aca="false">IF(TRIM(E495)="","",UPPER(TRIM(E495)))</f>
        <v/>
      </c>
    </row>
    <row r="496" customFormat="false" ht="14.25" hidden="false" customHeight="true" outlineLevel="0" collapsed="false">
      <c r="C496" s="17" t="str">
        <f aca="false">IF(TRIM(B496)="","",IFERROR(INDEX('Code Aliases'!$B:$B,MATCH(TRIM(B496),'Code Aliases'!$A:$A,0)),TRIM(B496)))</f>
        <v/>
      </c>
      <c r="I496" s="67" t="str">
        <f aca="false">IF(TRIM(D496)="","",UPPER(TRIM(D496)))</f>
        <v/>
      </c>
      <c r="J496" s="67" t="str">
        <f aca="false">IF(TRIM(E496)="","",UPPER(TRIM(E496)))</f>
        <v/>
      </c>
    </row>
    <row r="497" customFormat="false" ht="14.25" hidden="false" customHeight="true" outlineLevel="0" collapsed="false">
      <c r="C497" s="17" t="str">
        <f aca="false">IF(TRIM(B497)="","",IFERROR(INDEX('Code Aliases'!$B:$B,MATCH(TRIM(B497),'Code Aliases'!$A:$A,0)),TRIM(B497)))</f>
        <v/>
      </c>
      <c r="I497" s="67" t="str">
        <f aca="false">IF(TRIM(D497)="","",UPPER(TRIM(D497)))</f>
        <v/>
      </c>
      <c r="J497" s="67" t="str">
        <f aca="false">IF(TRIM(E497)="","",UPPER(TRIM(E497)))</f>
        <v/>
      </c>
    </row>
    <row r="498" customFormat="false" ht="14.25" hidden="false" customHeight="true" outlineLevel="0" collapsed="false">
      <c r="C498" s="17" t="str">
        <f aca="false">IF(TRIM(B498)="","",IFERROR(INDEX('Code Aliases'!$B:$B,MATCH(TRIM(B498),'Code Aliases'!$A:$A,0)),TRIM(B498)))</f>
        <v/>
      </c>
      <c r="I498" s="67" t="str">
        <f aca="false">IF(TRIM(D498)="","",UPPER(TRIM(D498)))</f>
        <v/>
      </c>
      <c r="J498" s="67" t="str">
        <f aca="false">IF(TRIM(E498)="","",UPPER(TRIM(E498)))</f>
        <v/>
      </c>
    </row>
    <row r="499" customFormat="false" ht="14.25" hidden="false" customHeight="true" outlineLevel="0" collapsed="false">
      <c r="C499" s="17" t="str">
        <f aca="false">IF(TRIM(B499)="","",IFERROR(INDEX('Code Aliases'!$B:$B,MATCH(TRIM(B499),'Code Aliases'!$A:$A,0)),TRIM(B499)))</f>
        <v/>
      </c>
      <c r="I499" s="67" t="str">
        <f aca="false">IF(TRIM(D499)="","",UPPER(TRIM(D499)))</f>
        <v/>
      </c>
      <c r="J499" s="67" t="str">
        <f aca="false">IF(TRIM(E499)="","",UPPER(TRIM(E499)))</f>
        <v/>
      </c>
    </row>
    <row r="500" customFormat="false" ht="14.25" hidden="false" customHeight="true" outlineLevel="0" collapsed="false">
      <c r="C500" s="17" t="str">
        <f aca="false">IF(TRIM(B500)="","",IFERROR(INDEX('Code Aliases'!$B:$B,MATCH(TRIM(B500),'Code Aliases'!$A:$A,0)),TRIM(B500)))</f>
        <v/>
      </c>
      <c r="I500" s="67" t="str">
        <f aca="false">IF(TRIM(D500)="","",UPPER(TRIM(D500)))</f>
        <v/>
      </c>
      <c r="J500" s="67" t="str">
        <f aca="false">IF(TRIM(E500)="","",UPPER(TRIM(E500)))</f>
        <v/>
      </c>
    </row>
    <row r="501" customFormat="false" ht="14.25" hidden="false" customHeight="true" outlineLevel="0" collapsed="false">
      <c r="C501" s="17" t="str">
        <f aca="false">IF(TRIM(B501)="","",IFERROR(INDEX('Code Aliases'!$B:$B,MATCH(TRIM(B501),'Code Aliases'!$A:$A,0)),TRIM(B501)))</f>
        <v/>
      </c>
      <c r="I501" s="67" t="str">
        <f aca="false">IF(TRIM(D501)="","",UPPER(TRIM(D501)))</f>
        <v/>
      </c>
      <c r="J501" s="67" t="str">
        <f aca="false">IF(TRIM(E501)="","",UPPER(TRIM(E501)))</f>
        <v/>
      </c>
    </row>
    <row r="502" customFormat="false" ht="14.25" hidden="false" customHeight="true" outlineLevel="0" collapsed="false">
      <c r="C502" s="17" t="str">
        <f aca="false">IF(TRIM(B502)="","",IFERROR(INDEX('Code Aliases'!$B:$B,MATCH(TRIM(B502),'Code Aliases'!$A:$A,0)),TRIM(B502)))</f>
        <v/>
      </c>
      <c r="I502" s="67" t="str">
        <f aca="false">IF(TRIM(D502)="","",UPPER(TRIM(D502)))</f>
        <v/>
      </c>
      <c r="J502" s="67" t="str">
        <f aca="false">IF(TRIM(E502)="","",UPPER(TRIM(E502)))</f>
        <v/>
      </c>
    </row>
    <row r="503" customFormat="false" ht="14.25" hidden="false" customHeight="true" outlineLevel="0" collapsed="false">
      <c r="C503" s="17" t="str">
        <f aca="false">IF(TRIM(B503)="","",IFERROR(INDEX('Code Aliases'!$B:$B,MATCH(TRIM(B503),'Code Aliases'!$A:$A,0)),TRIM(B503)))</f>
        <v/>
      </c>
      <c r="I503" s="67" t="str">
        <f aca="false">IF(TRIM(D503)="","",UPPER(TRIM(D503)))</f>
        <v/>
      </c>
      <c r="J503" s="67" t="str">
        <f aca="false">IF(TRIM(E503)="","",UPPER(TRIM(E503)))</f>
        <v/>
      </c>
    </row>
    <row r="504" customFormat="false" ht="14.25" hidden="false" customHeight="true" outlineLevel="0" collapsed="false">
      <c r="C504" s="17" t="str">
        <f aca="false">IF(TRIM(B504)="","",IFERROR(INDEX('Code Aliases'!$B:$B,MATCH(TRIM(B504),'Code Aliases'!$A:$A,0)),TRIM(B504)))</f>
        <v/>
      </c>
      <c r="I504" s="67" t="str">
        <f aca="false">IF(TRIM(D504)="","",UPPER(TRIM(D504)))</f>
        <v/>
      </c>
      <c r="J504" s="67" t="str">
        <f aca="false">IF(TRIM(E504)="","",UPPER(TRIM(E504)))</f>
        <v/>
      </c>
    </row>
    <row r="505" customFormat="false" ht="14.25" hidden="false" customHeight="true" outlineLevel="0" collapsed="false">
      <c r="C505" s="17" t="str">
        <f aca="false">IF(TRIM(B505)="","",IFERROR(INDEX('Code Aliases'!$B:$B,MATCH(TRIM(B505),'Code Aliases'!$A:$A,0)),TRIM(B505)))</f>
        <v/>
      </c>
      <c r="I505" s="67" t="str">
        <f aca="false">IF(TRIM(D505)="","",UPPER(TRIM(D505)))</f>
        <v/>
      </c>
      <c r="J505" s="67" t="str">
        <f aca="false">IF(TRIM(E505)="","",UPPER(TRIM(E505)))</f>
        <v/>
      </c>
    </row>
    <row r="506" customFormat="false" ht="14.25" hidden="false" customHeight="true" outlineLevel="0" collapsed="false">
      <c r="C506" s="17" t="str">
        <f aca="false">IF(TRIM(B506)="","",IFERROR(INDEX('Code Aliases'!$B:$B,MATCH(TRIM(B506),'Code Aliases'!$A:$A,0)),TRIM(B506)))</f>
        <v/>
      </c>
      <c r="I506" s="67" t="str">
        <f aca="false">IF(TRIM(D506)="","",UPPER(TRIM(D506)))</f>
        <v/>
      </c>
      <c r="J506" s="67" t="str">
        <f aca="false">IF(TRIM(E506)="","",UPPER(TRIM(E506)))</f>
        <v/>
      </c>
    </row>
    <row r="507" customFormat="false" ht="14.25" hidden="false" customHeight="true" outlineLevel="0" collapsed="false">
      <c r="C507" s="17" t="str">
        <f aca="false">IF(TRIM(B507)="","",IFERROR(INDEX('Code Aliases'!$B:$B,MATCH(TRIM(B507),'Code Aliases'!$A:$A,0)),TRIM(B507)))</f>
        <v/>
      </c>
      <c r="I507" s="67" t="str">
        <f aca="false">IF(TRIM(D507)="","",UPPER(TRIM(D507)))</f>
        <v/>
      </c>
      <c r="J507" s="67" t="str">
        <f aca="false">IF(TRIM(E507)="","",UPPER(TRIM(E507)))</f>
        <v/>
      </c>
    </row>
    <row r="508" customFormat="false" ht="14.25" hidden="false" customHeight="true" outlineLevel="0" collapsed="false">
      <c r="C508" s="17" t="str">
        <f aca="false">IF(TRIM(B508)="","",IFERROR(INDEX('Code Aliases'!$B:$B,MATCH(TRIM(B508),'Code Aliases'!$A:$A,0)),TRIM(B508)))</f>
        <v/>
      </c>
      <c r="I508" s="67" t="str">
        <f aca="false">IF(TRIM(D508)="","",UPPER(TRIM(D508)))</f>
        <v/>
      </c>
      <c r="J508" s="67" t="str">
        <f aca="false">IF(TRIM(E508)="","",UPPER(TRIM(E508)))</f>
        <v/>
      </c>
    </row>
    <row r="509" customFormat="false" ht="14.25" hidden="false" customHeight="true" outlineLevel="0" collapsed="false">
      <c r="C509" s="17" t="str">
        <f aca="false">IF(TRIM(B509)="","",IFERROR(INDEX('Code Aliases'!$B:$B,MATCH(TRIM(B509),'Code Aliases'!$A:$A,0)),TRIM(B509)))</f>
        <v/>
      </c>
      <c r="I509" s="67" t="str">
        <f aca="false">IF(TRIM(D509)="","",UPPER(TRIM(D509)))</f>
        <v/>
      </c>
      <c r="J509" s="67" t="str">
        <f aca="false">IF(TRIM(E509)="","",UPPER(TRIM(E509)))</f>
        <v/>
      </c>
    </row>
    <row r="510" customFormat="false" ht="14.25" hidden="false" customHeight="true" outlineLevel="0" collapsed="false">
      <c r="C510" s="17" t="str">
        <f aca="false">IF(TRIM(B510)="","",IFERROR(INDEX('Code Aliases'!$B:$B,MATCH(TRIM(B510),'Code Aliases'!$A:$A,0)),TRIM(B510)))</f>
        <v/>
      </c>
      <c r="I510" s="67" t="str">
        <f aca="false">IF(TRIM(D510)="","",UPPER(TRIM(D510)))</f>
        <v/>
      </c>
      <c r="J510" s="67" t="str">
        <f aca="false">IF(TRIM(E510)="","",UPPER(TRIM(E510)))</f>
        <v/>
      </c>
    </row>
    <row r="511" customFormat="false" ht="14.25" hidden="false" customHeight="true" outlineLevel="0" collapsed="false">
      <c r="C511" s="17" t="str">
        <f aca="false">IF(TRIM(B511)="","",IFERROR(INDEX('Code Aliases'!$B:$B,MATCH(TRIM(B511),'Code Aliases'!$A:$A,0)),TRIM(B511)))</f>
        <v/>
      </c>
      <c r="I511" s="67" t="str">
        <f aca="false">IF(TRIM(D511)="","",UPPER(TRIM(D511)))</f>
        <v/>
      </c>
      <c r="J511" s="67" t="str">
        <f aca="false">IF(TRIM(E511)="","",UPPER(TRIM(E511)))</f>
        <v/>
      </c>
    </row>
    <row r="512" customFormat="false" ht="14.25" hidden="false" customHeight="true" outlineLevel="0" collapsed="false">
      <c r="C512" s="17" t="str">
        <f aca="false">IF(TRIM(B512)="","",IFERROR(INDEX('Code Aliases'!$B:$B,MATCH(TRIM(B512),'Code Aliases'!$A:$A,0)),TRIM(B512)))</f>
        <v/>
      </c>
      <c r="I512" s="67" t="str">
        <f aca="false">IF(TRIM(D512)="","",UPPER(TRIM(D512)))</f>
        <v/>
      </c>
      <c r="J512" s="67" t="str">
        <f aca="false">IF(TRIM(E512)="","",UPPER(TRIM(E512)))</f>
        <v/>
      </c>
    </row>
    <row r="513" customFormat="false" ht="14.25" hidden="false" customHeight="true" outlineLevel="0" collapsed="false">
      <c r="C513" s="17" t="str">
        <f aca="false">IF(TRIM(B513)="","",IFERROR(INDEX('Code Aliases'!$B:$B,MATCH(TRIM(B513),'Code Aliases'!$A:$A,0)),TRIM(B513)))</f>
        <v/>
      </c>
      <c r="I513" s="67" t="str">
        <f aca="false">IF(TRIM(D513)="","",UPPER(TRIM(D513)))</f>
        <v/>
      </c>
      <c r="J513" s="67" t="str">
        <f aca="false">IF(TRIM(E513)="","",UPPER(TRIM(E513)))</f>
        <v/>
      </c>
    </row>
    <row r="514" customFormat="false" ht="14.25" hidden="false" customHeight="true" outlineLevel="0" collapsed="false">
      <c r="C514" s="17" t="str">
        <f aca="false">IF(TRIM(B514)="","",IFERROR(INDEX('Code Aliases'!$B:$B,MATCH(TRIM(B514),'Code Aliases'!$A:$A,0)),TRIM(B514)))</f>
        <v/>
      </c>
      <c r="I514" s="67" t="str">
        <f aca="false">IF(TRIM(D514)="","",UPPER(TRIM(D514)))</f>
        <v/>
      </c>
      <c r="J514" s="67" t="str">
        <f aca="false">IF(TRIM(E514)="","",UPPER(TRIM(E514)))</f>
        <v/>
      </c>
    </row>
    <row r="515" customFormat="false" ht="14.25" hidden="false" customHeight="true" outlineLevel="0" collapsed="false">
      <c r="C515" s="17" t="str">
        <f aca="false">IF(TRIM(B515)="","",IFERROR(INDEX('Code Aliases'!$B:$B,MATCH(TRIM(B515),'Code Aliases'!$A:$A,0)),TRIM(B515)))</f>
        <v/>
      </c>
      <c r="I515" s="67" t="str">
        <f aca="false">IF(TRIM(D515)="","",UPPER(TRIM(D515)))</f>
        <v/>
      </c>
      <c r="J515" s="67" t="str">
        <f aca="false">IF(TRIM(E515)="","",UPPER(TRIM(E515)))</f>
        <v/>
      </c>
    </row>
    <row r="516" customFormat="false" ht="14.25" hidden="false" customHeight="true" outlineLevel="0" collapsed="false">
      <c r="C516" s="17" t="str">
        <f aca="false">IF(TRIM(B516)="","",IFERROR(INDEX('Code Aliases'!$B:$B,MATCH(TRIM(B516),'Code Aliases'!$A:$A,0)),TRIM(B516)))</f>
        <v/>
      </c>
      <c r="I516" s="67" t="str">
        <f aca="false">IF(TRIM(D516)="","",UPPER(TRIM(D516)))</f>
        <v/>
      </c>
      <c r="J516" s="67" t="str">
        <f aca="false">IF(TRIM(E516)="","",UPPER(TRIM(E516)))</f>
        <v/>
      </c>
    </row>
    <row r="517" customFormat="false" ht="14.25" hidden="false" customHeight="true" outlineLevel="0" collapsed="false">
      <c r="C517" s="17" t="str">
        <f aca="false">IF(TRIM(B517)="","",IFERROR(INDEX('Code Aliases'!$B:$B,MATCH(TRIM(B517),'Code Aliases'!$A:$A,0)),TRIM(B517)))</f>
        <v/>
      </c>
      <c r="I517" s="67" t="str">
        <f aca="false">IF(TRIM(D517)="","",UPPER(TRIM(D517)))</f>
        <v/>
      </c>
      <c r="J517" s="67" t="str">
        <f aca="false">IF(TRIM(E517)="","",UPPER(TRIM(E517)))</f>
        <v/>
      </c>
    </row>
    <row r="518" customFormat="false" ht="14.25" hidden="false" customHeight="true" outlineLevel="0" collapsed="false">
      <c r="C518" s="17" t="str">
        <f aca="false">IF(TRIM(B518)="","",IFERROR(INDEX('Code Aliases'!$B:$B,MATCH(TRIM(B518),'Code Aliases'!$A:$A,0)),TRIM(B518)))</f>
        <v/>
      </c>
      <c r="I518" s="67" t="str">
        <f aca="false">IF(TRIM(D518)="","",UPPER(TRIM(D518)))</f>
        <v/>
      </c>
      <c r="J518" s="67" t="str">
        <f aca="false">IF(TRIM(E518)="","",UPPER(TRIM(E518)))</f>
        <v/>
      </c>
    </row>
    <row r="519" customFormat="false" ht="14.25" hidden="false" customHeight="true" outlineLevel="0" collapsed="false">
      <c r="C519" s="17" t="str">
        <f aca="false">IF(TRIM(B519)="","",IFERROR(INDEX('Code Aliases'!$B:$B,MATCH(TRIM(B519),'Code Aliases'!$A:$A,0)),TRIM(B519)))</f>
        <v/>
      </c>
      <c r="I519" s="67" t="str">
        <f aca="false">IF(TRIM(D519)="","",UPPER(TRIM(D519)))</f>
        <v/>
      </c>
      <c r="J519" s="67" t="str">
        <f aca="false">IF(TRIM(E519)="","",UPPER(TRIM(E519)))</f>
        <v/>
      </c>
    </row>
    <row r="520" customFormat="false" ht="14.25" hidden="false" customHeight="true" outlineLevel="0" collapsed="false">
      <c r="C520" s="17" t="str">
        <f aca="false">IF(TRIM(B520)="","",IFERROR(INDEX('Code Aliases'!$B:$B,MATCH(TRIM(B520),'Code Aliases'!$A:$A,0)),TRIM(B520)))</f>
        <v/>
      </c>
      <c r="I520" s="67" t="str">
        <f aca="false">IF(TRIM(D520)="","",UPPER(TRIM(D520)))</f>
        <v/>
      </c>
      <c r="J520" s="67" t="str">
        <f aca="false">IF(TRIM(E520)="","",UPPER(TRIM(E520)))</f>
        <v/>
      </c>
    </row>
    <row r="521" customFormat="false" ht="14.25" hidden="false" customHeight="true" outlineLevel="0" collapsed="false">
      <c r="C521" s="17" t="str">
        <f aca="false">IF(TRIM(B521)="","",IFERROR(INDEX('Code Aliases'!$B:$B,MATCH(TRIM(B521),'Code Aliases'!$A:$A,0)),TRIM(B521)))</f>
        <v/>
      </c>
      <c r="I521" s="67" t="str">
        <f aca="false">IF(TRIM(D521)="","",UPPER(TRIM(D521)))</f>
        <v/>
      </c>
      <c r="J521" s="67" t="str">
        <f aca="false">IF(TRIM(E521)="","",UPPER(TRIM(E521)))</f>
        <v/>
      </c>
    </row>
    <row r="522" customFormat="false" ht="14.25" hidden="false" customHeight="true" outlineLevel="0" collapsed="false">
      <c r="C522" s="17" t="str">
        <f aca="false">IF(TRIM(B522)="","",IFERROR(INDEX('Code Aliases'!$B:$B,MATCH(TRIM(B522),'Code Aliases'!$A:$A,0)),TRIM(B522)))</f>
        <v/>
      </c>
      <c r="I522" s="67" t="str">
        <f aca="false">IF(TRIM(D522)="","",UPPER(TRIM(D522)))</f>
        <v/>
      </c>
      <c r="J522" s="67" t="str">
        <f aca="false">IF(TRIM(E522)="","",UPPER(TRIM(E522)))</f>
        <v/>
      </c>
    </row>
    <row r="523" customFormat="false" ht="14.25" hidden="false" customHeight="true" outlineLevel="0" collapsed="false">
      <c r="C523" s="17" t="str">
        <f aca="false">IF(TRIM(B523)="","",IFERROR(INDEX('Code Aliases'!$B:$B,MATCH(TRIM(B523),'Code Aliases'!$A:$A,0)),TRIM(B523)))</f>
        <v/>
      </c>
      <c r="I523" s="67" t="str">
        <f aca="false">IF(TRIM(D523)="","",UPPER(TRIM(D523)))</f>
        <v/>
      </c>
      <c r="J523" s="67" t="str">
        <f aca="false">IF(TRIM(E523)="","",UPPER(TRIM(E523)))</f>
        <v/>
      </c>
    </row>
    <row r="524" customFormat="false" ht="14.25" hidden="false" customHeight="true" outlineLevel="0" collapsed="false">
      <c r="C524" s="17" t="str">
        <f aca="false">IF(TRIM(B524)="","",IFERROR(INDEX('Code Aliases'!$B:$B,MATCH(TRIM(B524),'Code Aliases'!$A:$A,0)),TRIM(B524)))</f>
        <v/>
      </c>
      <c r="I524" s="67" t="str">
        <f aca="false">IF(TRIM(D524)="","",UPPER(TRIM(D524)))</f>
        <v/>
      </c>
      <c r="J524" s="67" t="str">
        <f aca="false">IF(TRIM(E524)="","",UPPER(TRIM(E524)))</f>
        <v/>
      </c>
    </row>
    <row r="525" customFormat="false" ht="14.25" hidden="false" customHeight="true" outlineLevel="0" collapsed="false">
      <c r="C525" s="17" t="str">
        <f aca="false">IF(TRIM(B525)="","",IFERROR(INDEX('Code Aliases'!$B:$B,MATCH(TRIM(B525),'Code Aliases'!$A:$A,0)),TRIM(B525)))</f>
        <v/>
      </c>
      <c r="I525" s="67" t="str">
        <f aca="false">IF(TRIM(D525)="","",UPPER(TRIM(D525)))</f>
        <v/>
      </c>
      <c r="J525" s="67" t="str">
        <f aca="false">IF(TRIM(E525)="","",UPPER(TRIM(E525)))</f>
        <v/>
      </c>
    </row>
    <row r="526" customFormat="false" ht="14.25" hidden="false" customHeight="true" outlineLevel="0" collapsed="false">
      <c r="C526" s="17" t="str">
        <f aca="false">IF(TRIM(B526)="","",IFERROR(INDEX('Code Aliases'!$B:$B,MATCH(TRIM(B526),'Code Aliases'!$A:$A,0)),TRIM(B526)))</f>
        <v/>
      </c>
      <c r="I526" s="67" t="str">
        <f aca="false">IF(TRIM(D526)="","",UPPER(TRIM(D526)))</f>
        <v/>
      </c>
      <c r="J526" s="67" t="str">
        <f aca="false">IF(TRIM(E526)="","",UPPER(TRIM(E526)))</f>
        <v/>
      </c>
    </row>
    <row r="527" customFormat="false" ht="14.25" hidden="false" customHeight="true" outlineLevel="0" collapsed="false">
      <c r="C527" s="17" t="str">
        <f aca="false">IF(TRIM(B527)="","",IFERROR(INDEX('Code Aliases'!$B:$B,MATCH(TRIM(B527),'Code Aliases'!$A:$A,0)),TRIM(B527)))</f>
        <v/>
      </c>
      <c r="I527" s="67" t="str">
        <f aca="false">IF(TRIM(D527)="","",UPPER(TRIM(D527)))</f>
        <v/>
      </c>
      <c r="J527" s="67" t="str">
        <f aca="false">IF(TRIM(E527)="","",UPPER(TRIM(E527)))</f>
        <v/>
      </c>
    </row>
    <row r="528" customFormat="false" ht="14.25" hidden="false" customHeight="true" outlineLevel="0" collapsed="false">
      <c r="C528" s="17" t="str">
        <f aca="false">IF(TRIM(B528)="","",IFERROR(INDEX('Code Aliases'!$B:$B,MATCH(TRIM(B528),'Code Aliases'!$A:$A,0)),TRIM(B528)))</f>
        <v/>
      </c>
      <c r="I528" s="67" t="str">
        <f aca="false">IF(TRIM(D528)="","",UPPER(TRIM(D528)))</f>
        <v/>
      </c>
      <c r="J528" s="67" t="str">
        <f aca="false">IF(TRIM(E528)="","",UPPER(TRIM(E528)))</f>
        <v/>
      </c>
    </row>
    <row r="529" customFormat="false" ht="14.25" hidden="false" customHeight="true" outlineLevel="0" collapsed="false">
      <c r="C529" s="17" t="str">
        <f aca="false">IF(TRIM(B529)="","",IFERROR(INDEX('Code Aliases'!$B:$B,MATCH(TRIM(B529),'Code Aliases'!$A:$A,0)),TRIM(B529)))</f>
        <v/>
      </c>
      <c r="I529" s="67" t="str">
        <f aca="false">IF(TRIM(D529)="","",UPPER(TRIM(D529)))</f>
        <v/>
      </c>
      <c r="J529" s="67" t="str">
        <f aca="false">IF(TRIM(E529)="","",UPPER(TRIM(E529)))</f>
        <v/>
      </c>
    </row>
    <row r="530" customFormat="false" ht="14.25" hidden="false" customHeight="true" outlineLevel="0" collapsed="false">
      <c r="C530" s="17" t="str">
        <f aca="false">IF(TRIM(B530)="","",IFERROR(INDEX('Code Aliases'!$B:$B,MATCH(TRIM(B530),'Code Aliases'!$A:$A,0)),TRIM(B530)))</f>
        <v/>
      </c>
      <c r="I530" s="67" t="str">
        <f aca="false">IF(TRIM(D530)="","",UPPER(TRIM(D530)))</f>
        <v/>
      </c>
      <c r="J530" s="67" t="str">
        <f aca="false">IF(TRIM(E530)="","",UPPER(TRIM(E530)))</f>
        <v/>
      </c>
    </row>
    <row r="531" customFormat="false" ht="14.25" hidden="false" customHeight="true" outlineLevel="0" collapsed="false">
      <c r="C531" s="17" t="str">
        <f aca="false">IF(TRIM(B531)="","",IFERROR(INDEX('Code Aliases'!$B:$B,MATCH(TRIM(B531),'Code Aliases'!$A:$A,0)),TRIM(B531)))</f>
        <v/>
      </c>
      <c r="I531" s="67" t="str">
        <f aca="false">IF(TRIM(D531)="","",UPPER(TRIM(D531)))</f>
        <v/>
      </c>
      <c r="J531" s="67" t="str">
        <f aca="false">IF(TRIM(E531)="","",UPPER(TRIM(E531)))</f>
        <v/>
      </c>
    </row>
    <row r="532" customFormat="false" ht="14.25" hidden="false" customHeight="true" outlineLevel="0" collapsed="false">
      <c r="C532" s="17" t="str">
        <f aca="false">IF(TRIM(B532)="","",IFERROR(INDEX('Code Aliases'!$B:$B,MATCH(TRIM(B532),'Code Aliases'!$A:$A,0)),TRIM(B532)))</f>
        <v/>
      </c>
      <c r="I532" s="67" t="str">
        <f aca="false">IF(TRIM(D532)="","",UPPER(TRIM(D532)))</f>
        <v/>
      </c>
      <c r="J532" s="67" t="str">
        <f aca="false">IF(TRIM(E532)="","",UPPER(TRIM(E532)))</f>
        <v/>
      </c>
    </row>
    <row r="533" customFormat="false" ht="14.25" hidden="false" customHeight="true" outlineLevel="0" collapsed="false">
      <c r="C533" s="17" t="str">
        <f aca="false">IF(TRIM(B533)="","",IFERROR(INDEX('Code Aliases'!$B:$B,MATCH(TRIM(B533),'Code Aliases'!$A:$A,0)),TRIM(B533)))</f>
        <v/>
      </c>
      <c r="I533" s="67" t="str">
        <f aca="false">IF(TRIM(D533)="","",UPPER(TRIM(D533)))</f>
        <v/>
      </c>
      <c r="J533" s="67" t="str">
        <f aca="false">IF(TRIM(E533)="","",UPPER(TRIM(E533)))</f>
        <v/>
      </c>
    </row>
    <row r="534" customFormat="false" ht="14.25" hidden="false" customHeight="true" outlineLevel="0" collapsed="false">
      <c r="C534" s="17" t="str">
        <f aca="false">IF(TRIM(B534)="","",IFERROR(INDEX('Code Aliases'!$B:$B,MATCH(TRIM(B534),'Code Aliases'!$A:$A,0)),TRIM(B534)))</f>
        <v/>
      </c>
      <c r="I534" s="67" t="str">
        <f aca="false">IF(TRIM(D534)="","",UPPER(TRIM(D534)))</f>
        <v/>
      </c>
      <c r="J534" s="67" t="str">
        <f aca="false">IF(TRIM(E534)="","",UPPER(TRIM(E534)))</f>
        <v/>
      </c>
    </row>
    <row r="535" customFormat="false" ht="14.25" hidden="false" customHeight="true" outlineLevel="0" collapsed="false">
      <c r="C535" s="17" t="str">
        <f aca="false">IF(TRIM(B535)="","",IFERROR(INDEX('Code Aliases'!$B:$B,MATCH(TRIM(B535),'Code Aliases'!$A:$A,0)),TRIM(B535)))</f>
        <v/>
      </c>
      <c r="I535" s="67" t="str">
        <f aca="false">IF(TRIM(D535)="","",UPPER(TRIM(D535)))</f>
        <v/>
      </c>
      <c r="J535" s="67" t="str">
        <f aca="false">IF(TRIM(E535)="","",UPPER(TRIM(E535)))</f>
        <v/>
      </c>
    </row>
    <row r="536" customFormat="false" ht="14.25" hidden="false" customHeight="true" outlineLevel="0" collapsed="false">
      <c r="C536" s="17" t="str">
        <f aca="false">IF(TRIM(B536)="","",IFERROR(INDEX('Code Aliases'!$B:$B,MATCH(TRIM(B536),'Code Aliases'!$A:$A,0)),TRIM(B536)))</f>
        <v/>
      </c>
      <c r="I536" s="67" t="str">
        <f aca="false">IF(TRIM(D536)="","",UPPER(TRIM(D536)))</f>
        <v/>
      </c>
      <c r="J536" s="67" t="str">
        <f aca="false">IF(TRIM(E536)="","",UPPER(TRIM(E536)))</f>
        <v/>
      </c>
    </row>
    <row r="537" customFormat="false" ht="14.25" hidden="false" customHeight="true" outlineLevel="0" collapsed="false">
      <c r="C537" s="17" t="str">
        <f aca="false">IF(TRIM(B537)="","",IFERROR(INDEX('Code Aliases'!$B:$B,MATCH(TRIM(B537),'Code Aliases'!$A:$A,0)),TRIM(B537)))</f>
        <v/>
      </c>
      <c r="I537" s="67" t="str">
        <f aca="false">IF(TRIM(D537)="","",UPPER(TRIM(D537)))</f>
        <v/>
      </c>
      <c r="J537" s="67" t="str">
        <f aca="false">IF(TRIM(E537)="","",UPPER(TRIM(E537)))</f>
        <v/>
      </c>
    </row>
    <row r="538" customFormat="false" ht="14.25" hidden="false" customHeight="true" outlineLevel="0" collapsed="false">
      <c r="C538" s="17" t="str">
        <f aca="false">IF(TRIM(B538)="","",IFERROR(INDEX('Code Aliases'!$B:$B,MATCH(TRIM(B538),'Code Aliases'!$A:$A,0)),TRIM(B538)))</f>
        <v/>
      </c>
      <c r="I538" s="67" t="str">
        <f aca="false">IF(TRIM(D538)="","",UPPER(TRIM(D538)))</f>
        <v/>
      </c>
      <c r="J538" s="67" t="str">
        <f aca="false">IF(TRIM(E538)="","",UPPER(TRIM(E538)))</f>
        <v/>
      </c>
    </row>
    <row r="539" customFormat="false" ht="14.25" hidden="false" customHeight="true" outlineLevel="0" collapsed="false">
      <c r="C539" s="17" t="str">
        <f aca="false">IF(TRIM(B539)="","",IFERROR(INDEX('Code Aliases'!$B:$B,MATCH(TRIM(B539),'Code Aliases'!$A:$A,0)),TRIM(B539)))</f>
        <v/>
      </c>
      <c r="I539" s="67" t="str">
        <f aca="false">IF(TRIM(D539)="","",UPPER(TRIM(D539)))</f>
        <v/>
      </c>
      <c r="J539" s="67" t="str">
        <f aca="false">IF(TRIM(E539)="","",UPPER(TRIM(E539)))</f>
        <v/>
      </c>
    </row>
    <row r="540" customFormat="false" ht="14.25" hidden="false" customHeight="true" outlineLevel="0" collapsed="false">
      <c r="C540" s="17" t="str">
        <f aca="false">IF(TRIM(B540)="","",IFERROR(INDEX('Code Aliases'!$B:$B,MATCH(TRIM(B540),'Code Aliases'!$A:$A,0)),TRIM(B540)))</f>
        <v/>
      </c>
      <c r="I540" s="67" t="str">
        <f aca="false">IF(TRIM(D540)="","",UPPER(TRIM(D540)))</f>
        <v/>
      </c>
      <c r="J540" s="67" t="str">
        <f aca="false">IF(TRIM(E540)="","",UPPER(TRIM(E540)))</f>
        <v/>
      </c>
    </row>
    <row r="541" customFormat="false" ht="14.25" hidden="false" customHeight="true" outlineLevel="0" collapsed="false">
      <c r="C541" s="17" t="str">
        <f aca="false">IF(TRIM(B541)="","",IFERROR(INDEX('Code Aliases'!$B:$B,MATCH(TRIM(B541),'Code Aliases'!$A:$A,0)),TRIM(B541)))</f>
        <v/>
      </c>
      <c r="I541" s="67" t="str">
        <f aca="false">IF(TRIM(D541)="","",UPPER(TRIM(D541)))</f>
        <v/>
      </c>
      <c r="J541" s="67" t="str">
        <f aca="false">IF(TRIM(E541)="","",UPPER(TRIM(E541)))</f>
        <v/>
      </c>
    </row>
    <row r="542" customFormat="false" ht="14.25" hidden="false" customHeight="true" outlineLevel="0" collapsed="false">
      <c r="C542" s="17" t="str">
        <f aca="false">IF(TRIM(B542)="","",IFERROR(INDEX('Code Aliases'!$B:$B,MATCH(TRIM(B542),'Code Aliases'!$A:$A,0)),TRIM(B542)))</f>
        <v/>
      </c>
      <c r="I542" s="67" t="str">
        <f aca="false">IF(TRIM(D542)="","",UPPER(TRIM(D542)))</f>
        <v/>
      </c>
      <c r="J542" s="67" t="str">
        <f aca="false">IF(TRIM(E542)="","",UPPER(TRIM(E542)))</f>
        <v/>
      </c>
    </row>
    <row r="543" customFormat="false" ht="14.25" hidden="false" customHeight="true" outlineLevel="0" collapsed="false">
      <c r="C543" s="17" t="str">
        <f aca="false">IF(TRIM(B543)="","",IFERROR(INDEX('Code Aliases'!$B:$B,MATCH(TRIM(B543),'Code Aliases'!$A:$A,0)),TRIM(B543)))</f>
        <v/>
      </c>
      <c r="I543" s="67" t="str">
        <f aca="false">IF(TRIM(D543)="","",UPPER(TRIM(D543)))</f>
        <v/>
      </c>
      <c r="J543" s="67" t="str">
        <f aca="false">IF(TRIM(E543)="","",UPPER(TRIM(E543)))</f>
        <v/>
      </c>
    </row>
    <row r="544" customFormat="false" ht="14.25" hidden="false" customHeight="true" outlineLevel="0" collapsed="false">
      <c r="C544" s="17" t="str">
        <f aca="false">IF(TRIM(B544)="","",IFERROR(INDEX('Code Aliases'!$B:$B,MATCH(TRIM(B544),'Code Aliases'!$A:$A,0)),TRIM(B544)))</f>
        <v/>
      </c>
      <c r="I544" s="67" t="str">
        <f aca="false">IF(TRIM(D544)="","",UPPER(TRIM(D544)))</f>
        <v/>
      </c>
      <c r="J544" s="67" t="str">
        <f aca="false">IF(TRIM(E544)="","",UPPER(TRIM(E544)))</f>
        <v/>
      </c>
    </row>
    <row r="545" customFormat="false" ht="14.25" hidden="false" customHeight="true" outlineLevel="0" collapsed="false">
      <c r="C545" s="17" t="str">
        <f aca="false">IF(TRIM(B545)="","",IFERROR(INDEX('Code Aliases'!$B:$B,MATCH(TRIM(B545),'Code Aliases'!$A:$A,0)),TRIM(B545)))</f>
        <v/>
      </c>
      <c r="I545" s="67" t="str">
        <f aca="false">IF(TRIM(D545)="","",UPPER(TRIM(D545)))</f>
        <v/>
      </c>
      <c r="J545" s="67" t="str">
        <f aca="false">IF(TRIM(E545)="","",UPPER(TRIM(E545)))</f>
        <v/>
      </c>
    </row>
    <row r="546" customFormat="false" ht="14.25" hidden="false" customHeight="true" outlineLevel="0" collapsed="false">
      <c r="C546" s="17" t="str">
        <f aca="false">IF(TRIM(B546)="","",IFERROR(INDEX('Code Aliases'!$B:$B,MATCH(TRIM(B546),'Code Aliases'!$A:$A,0)),TRIM(B546)))</f>
        <v/>
      </c>
      <c r="I546" s="67" t="str">
        <f aca="false">IF(TRIM(D546)="","",UPPER(TRIM(D546)))</f>
        <v/>
      </c>
      <c r="J546" s="67" t="str">
        <f aca="false">IF(TRIM(E546)="","",UPPER(TRIM(E546)))</f>
        <v/>
      </c>
    </row>
    <row r="547" customFormat="false" ht="14.25" hidden="false" customHeight="true" outlineLevel="0" collapsed="false">
      <c r="C547" s="17" t="str">
        <f aca="false">IF(TRIM(B547)="","",IFERROR(INDEX('Code Aliases'!$B:$B,MATCH(TRIM(B547),'Code Aliases'!$A:$A,0)),TRIM(B547)))</f>
        <v/>
      </c>
      <c r="I547" s="67" t="str">
        <f aca="false">IF(TRIM(D547)="","",UPPER(TRIM(D547)))</f>
        <v/>
      </c>
      <c r="J547" s="67" t="str">
        <f aca="false">IF(TRIM(E547)="","",UPPER(TRIM(E547)))</f>
        <v/>
      </c>
    </row>
    <row r="548" customFormat="false" ht="14.25" hidden="false" customHeight="true" outlineLevel="0" collapsed="false">
      <c r="C548" s="17" t="str">
        <f aca="false">IF(TRIM(B548)="","",IFERROR(INDEX('Code Aliases'!$B:$B,MATCH(TRIM(B548),'Code Aliases'!$A:$A,0)),TRIM(B548)))</f>
        <v/>
      </c>
      <c r="I548" s="67" t="str">
        <f aca="false">IF(TRIM(D548)="","",UPPER(TRIM(D548)))</f>
        <v/>
      </c>
      <c r="J548" s="67" t="str">
        <f aca="false">IF(TRIM(E548)="","",UPPER(TRIM(E548)))</f>
        <v/>
      </c>
    </row>
    <row r="549" customFormat="false" ht="14.25" hidden="false" customHeight="true" outlineLevel="0" collapsed="false">
      <c r="C549" s="17" t="str">
        <f aca="false">IF(TRIM(B549)="","",IFERROR(INDEX('Code Aliases'!$B:$B,MATCH(TRIM(B549),'Code Aliases'!$A:$A,0)),TRIM(B549)))</f>
        <v/>
      </c>
      <c r="I549" s="67" t="str">
        <f aca="false">IF(TRIM(D549)="","",UPPER(TRIM(D549)))</f>
        <v/>
      </c>
      <c r="J549" s="67" t="str">
        <f aca="false">IF(TRIM(E549)="","",UPPER(TRIM(E549)))</f>
        <v/>
      </c>
    </row>
    <row r="550" customFormat="false" ht="14.25" hidden="false" customHeight="true" outlineLevel="0" collapsed="false">
      <c r="C550" s="17" t="str">
        <f aca="false">IF(TRIM(B550)="","",IFERROR(INDEX('Code Aliases'!$B:$B,MATCH(TRIM(B550),'Code Aliases'!$A:$A,0)),TRIM(B550)))</f>
        <v/>
      </c>
      <c r="I550" s="67" t="str">
        <f aca="false">IF(TRIM(D550)="","",UPPER(TRIM(D550)))</f>
        <v/>
      </c>
      <c r="J550" s="67" t="str">
        <f aca="false">IF(TRIM(E550)="","",UPPER(TRIM(E550)))</f>
        <v/>
      </c>
    </row>
    <row r="551" customFormat="false" ht="14.25" hidden="false" customHeight="true" outlineLevel="0" collapsed="false">
      <c r="C551" s="17" t="str">
        <f aca="false">IF(TRIM(B551)="","",IFERROR(INDEX('Code Aliases'!$B:$B,MATCH(TRIM(B551),'Code Aliases'!$A:$A,0)),TRIM(B551)))</f>
        <v/>
      </c>
      <c r="I551" s="67" t="str">
        <f aca="false">IF(TRIM(D551)="","",UPPER(TRIM(D551)))</f>
        <v/>
      </c>
      <c r="J551" s="67" t="str">
        <f aca="false">IF(TRIM(E551)="","",UPPER(TRIM(E551)))</f>
        <v/>
      </c>
    </row>
    <row r="552" customFormat="false" ht="14.25" hidden="false" customHeight="true" outlineLevel="0" collapsed="false">
      <c r="C552" s="17" t="str">
        <f aca="false">IF(TRIM(B552)="","",IFERROR(INDEX('Code Aliases'!$B:$B,MATCH(TRIM(B552),'Code Aliases'!$A:$A,0)),TRIM(B552)))</f>
        <v/>
      </c>
      <c r="I552" s="67" t="str">
        <f aca="false">IF(TRIM(D552)="","",UPPER(TRIM(D552)))</f>
        <v/>
      </c>
      <c r="J552" s="67" t="str">
        <f aca="false">IF(TRIM(E552)="","",UPPER(TRIM(E552)))</f>
        <v/>
      </c>
    </row>
    <row r="553" customFormat="false" ht="14.25" hidden="false" customHeight="true" outlineLevel="0" collapsed="false">
      <c r="C553" s="17" t="str">
        <f aca="false">IF(TRIM(B553)="","",IFERROR(INDEX('Code Aliases'!$B:$B,MATCH(TRIM(B553),'Code Aliases'!$A:$A,0)),TRIM(B553)))</f>
        <v/>
      </c>
      <c r="I553" s="67" t="str">
        <f aca="false">IF(TRIM(D553)="","",UPPER(TRIM(D553)))</f>
        <v/>
      </c>
      <c r="J553" s="67" t="str">
        <f aca="false">IF(TRIM(E553)="","",UPPER(TRIM(E553)))</f>
        <v/>
      </c>
    </row>
    <row r="554" customFormat="false" ht="14.25" hidden="false" customHeight="true" outlineLevel="0" collapsed="false">
      <c r="C554" s="17" t="str">
        <f aca="false">IF(TRIM(B554)="","",IFERROR(INDEX('Code Aliases'!$B:$B,MATCH(TRIM(B554),'Code Aliases'!$A:$A,0)),TRIM(B554)))</f>
        <v/>
      </c>
      <c r="I554" s="67" t="str">
        <f aca="false">IF(TRIM(D554)="","",UPPER(TRIM(D554)))</f>
        <v/>
      </c>
      <c r="J554" s="67" t="str">
        <f aca="false">IF(TRIM(E554)="","",UPPER(TRIM(E554)))</f>
        <v/>
      </c>
    </row>
    <row r="555" customFormat="false" ht="14.25" hidden="false" customHeight="true" outlineLevel="0" collapsed="false">
      <c r="C555" s="17" t="str">
        <f aca="false">IF(TRIM(B555)="","",IFERROR(INDEX('Code Aliases'!$B:$B,MATCH(TRIM(B555),'Code Aliases'!$A:$A,0)),TRIM(B555)))</f>
        <v/>
      </c>
      <c r="I555" s="67" t="str">
        <f aca="false">IF(TRIM(D555)="","",UPPER(TRIM(D555)))</f>
        <v/>
      </c>
      <c r="J555" s="67" t="str">
        <f aca="false">IF(TRIM(E555)="","",UPPER(TRIM(E555)))</f>
        <v/>
      </c>
    </row>
    <row r="556" customFormat="false" ht="14.25" hidden="false" customHeight="true" outlineLevel="0" collapsed="false">
      <c r="C556" s="17" t="str">
        <f aca="false">IF(TRIM(B556)="","",IFERROR(INDEX('Code Aliases'!$B:$B,MATCH(TRIM(B556),'Code Aliases'!$A:$A,0)),TRIM(B556)))</f>
        <v/>
      </c>
      <c r="I556" s="67" t="str">
        <f aca="false">IF(TRIM(D556)="","",UPPER(TRIM(D556)))</f>
        <v/>
      </c>
      <c r="J556" s="67" t="str">
        <f aca="false">IF(TRIM(E556)="","",UPPER(TRIM(E556)))</f>
        <v/>
      </c>
    </row>
    <row r="557" customFormat="false" ht="14.25" hidden="false" customHeight="true" outlineLevel="0" collapsed="false">
      <c r="C557" s="17" t="str">
        <f aca="false">IF(TRIM(B557)="","",IFERROR(INDEX('Code Aliases'!$B:$B,MATCH(TRIM(B557),'Code Aliases'!$A:$A,0)),TRIM(B557)))</f>
        <v/>
      </c>
      <c r="I557" s="67" t="str">
        <f aca="false">IF(TRIM(D557)="","",UPPER(TRIM(D557)))</f>
        <v/>
      </c>
      <c r="J557" s="67" t="str">
        <f aca="false">IF(TRIM(E557)="","",UPPER(TRIM(E557)))</f>
        <v/>
      </c>
    </row>
    <row r="558" customFormat="false" ht="14.25" hidden="false" customHeight="true" outlineLevel="0" collapsed="false">
      <c r="C558" s="17" t="str">
        <f aca="false">IF(TRIM(B558)="","",IFERROR(INDEX('Code Aliases'!$B:$B,MATCH(TRIM(B558),'Code Aliases'!$A:$A,0)),TRIM(B558)))</f>
        <v/>
      </c>
      <c r="I558" s="67" t="str">
        <f aca="false">IF(TRIM(D558)="","",UPPER(TRIM(D558)))</f>
        <v/>
      </c>
      <c r="J558" s="67" t="str">
        <f aca="false">IF(TRIM(E558)="","",UPPER(TRIM(E558)))</f>
        <v/>
      </c>
    </row>
    <row r="559" customFormat="false" ht="14.25" hidden="false" customHeight="true" outlineLevel="0" collapsed="false">
      <c r="C559" s="17" t="str">
        <f aca="false">IF(TRIM(B559)="","",IFERROR(INDEX('Code Aliases'!$B:$B,MATCH(TRIM(B559),'Code Aliases'!$A:$A,0)),TRIM(B559)))</f>
        <v/>
      </c>
      <c r="I559" s="67" t="str">
        <f aca="false">IF(TRIM(D559)="","",UPPER(TRIM(D559)))</f>
        <v/>
      </c>
      <c r="J559" s="67" t="str">
        <f aca="false">IF(TRIM(E559)="","",UPPER(TRIM(E559)))</f>
        <v/>
      </c>
    </row>
    <row r="560" customFormat="false" ht="14.25" hidden="false" customHeight="true" outlineLevel="0" collapsed="false">
      <c r="C560" s="17" t="str">
        <f aca="false">IF(TRIM(B560)="","",IFERROR(INDEX('Code Aliases'!$B:$B,MATCH(TRIM(B560),'Code Aliases'!$A:$A,0)),TRIM(B560)))</f>
        <v/>
      </c>
      <c r="I560" s="67" t="str">
        <f aca="false">IF(TRIM(D560)="","",UPPER(TRIM(D560)))</f>
        <v/>
      </c>
      <c r="J560" s="67" t="str">
        <f aca="false">IF(TRIM(E560)="","",UPPER(TRIM(E560)))</f>
        <v/>
      </c>
    </row>
    <row r="561" customFormat="false" ht="14.25" hidden="false" customHeight="true" outlineLevel="0" collapsed="false">
      <c r="C561" s="17" t="str">
        <f aca="false">IF(TRIM(B561)="","",IFERROR(INDEX('Code Aliases'!$B:$B,MATCH(TRIM(B561),'Code Aliases'!$A:$A,0)),TRIM(B561)))</f>
        <v/>
      </c>
      <c r="I561" s="67" t="str">
        <f aca="false">IF(TRIM(D561)="","",UPPER(TRIM(D561)))</f>
        <v/>
      </c>
      <c r="J561" s="67" t="str">
        <f aca="false">IF(TRIM(E561)="","",UPPER(TRIM(E561)))</f>
        <v/>
      </c>
    </row>
    <row r="562" customFormat="false" ht="14.25" hidden="false" customHeight="true" outlineLevel="0" collapsed="false">
      <c r="C562" s="17" t="str">
        <f aca="false">IF(TRIM(B562)="","",IFERROR(INDEX('Code Aliases'!$B:$B,MATCH(TRIM(B562),'Code Aliases'!$A:$A,0)),TRIM(B562)))</f>
        <v/>
      </c>
      <c r="I562" s="67" t="str">
        <f aca="false">IF(TRIM(D562)="","",UPPER(TRIM(D562)))</f>
        <v/>
      </c>
      <c r="J562" s="67" t="str">
        <f aca="false">IF(TRIM(E562)="","",UPPER(TRIM(E562)))</f>
        <v/>
      </c>
    </row>
    <row r="563" customFormat="false" ht="14.25" hidden="false" customHeight="true" outlineLevel="0" collapsed="false">
      <c r="C563" s="17" t="str">
        <f aca="false">IF(TRIM(B563)="","",IFERROR(INDEX('Code Aliases'!$B:$B,MATCH(TRIM(B563),'Code Aliases'!$A:$A,0)),TRIM(B563)))</f>
        <v/>
      </c>
      <c r="I563" s="67" t="str">
        <f aca="false">IF(TRIM(D563)="","",UPPER(TRIM(D563)))</f>
        <v/>
      </c>
      <c r="J563" s="67" t="str">
        <f aca="false">IF(TRIM(E563)="","",UPPER(TRIM(E563)))</f>
        <v/>
      </c>
    </row>
    <row r="564" customFormat="false" ht="14.25" hidden="false" customHeight="true" outlineLevel="0" collapsed="false">
      <c r="C564" s="17" t="str">
        <f aca="false">IF(TRIM(B564)="","",IFERROR(INDEX('Code Aliases'!$B:$B,MATCH(TRIM(B564),'Code Aliases'!$A:$A,0)),TRIM(B564)))</f>
        <v/>
      </c>
      <c r="I564" s="67" t="str">
        <f aca="false">IF(TRIM(D564)="","",UPPER(TRIM(D564)))</f>
        <v/>
      </c>
      <c r="J564" s="67" t="str">
        <f aca="false">IF(TRIM(E564)="","",UPPER(TRIM(E564)))</f>
        <v/>
      </c>
    </row>
    <row r="565" customFormat="false" ht="14.25" hidden="false" customHeight="true" outlineLevel="0" collapsed="false">
      <c r="C565" s="17" t="str">
        <f aca="false">IF(TRIM(B565)="","",IFERROR(INDEX('Code Aliases'!$B:$B,MATCH(TRIM(B565),'Code Aliases'!$A:$A,0)),TRIM(B565)))</f>
        <v/>
      </c>
      <c r="I565" s="67" t="str">
        <f aca="false">IF(TRIM(D565)="","",UPPER(TRIM(D565)))</f>
        <v/>
      </c>
      <c r="J565" s="67" t="str">
        <f aca="false">IF(TRIM(E565)="","",UPPER(TRIM(E565)))</f>
        <v/>
      </c>
    </row>
    <row r="566" customFormat="false" ht="14.25" hidden="false" customHeight="true" outlineLevel="0" collapsed="false">
      <c r="C566" s="17" t="str">
        <f aca="false">IF(TRIM(B566)="","",IFERROR(INDEX('Code Aliases'!$B:$B,MATCH(TRIM(B566),'Code Aliases'!$A:$A,0)),TRIM(B566)))</f>
        <v/>
      </c>
      <c r="I566" s="67" t="str">
        <f aca="false">IF(TRIM(D566)="","",UPPER(TRIM(D566)))</f>
        <v/>
      </c>
      <c r="J566" s="67" t="str">
        <f aca="false">IF(TRIM(E566)="","",UPPER(TRIM(E566)))</f>
        <v/>
      </c>
    </row>
    <row r="567" customFormat="false" ht="14.25" hidden="false" customHeight="true" outlineLevel="0" collapsed="false">
      <c r="C567" s="17" t="str">
        <f aca="false">IF(TRIM(B567)="","",IFERROR(INDEX('Code Aliases'!$B:$B,MATCH(TRIM(B567),'Code Aliases'!$A:$A,0)),TRIM(B567)))</f>
        <v/>
      </c>
      <c r="I567" s="67" t="str">
        <f aca="false">IF(TRIM(D567)="","",UPPER(TRIM(D567)))</f>
        <v/>
      </c>
      <c r="J567" s="67" t="str">
        <f aca="false">IF(TRIM(E567)="","",UPPER(TRIM(E567)))</f>
        <v/>
      </c>
    </row>
    <row r="568" customFormat="false" ht="14.25" hidden="false" customHeight="true" outlineLevel="0" collapsed="false">
      <c r="C568" s="17" t="str">
        <f aca="false">IF(TRIM(B568)="","",IFERROR(INDEX('Code Aliases'!$B:$B,MATCH(TRIM(B568),'Code Aliases'!$A:$A,0)),TRIM(B568)))</f>
        <v/>
      </c>
      <c r="I568" s="67" t="str">
        <f aca="false">IF(TRIM(D568)="","",UPPER(TRIM(D568)))</f>
        <v/>
      </c>
      <c r="J568" s="67" t="str">
        <f aca="false">IF(TRIM(E568)="","",UPPER(TRIM(E568)))</f>
        <v/>
      </c>
    </row>
    <row r="569" customFormat="false" ht="14.25" hidden="false" customHeight="true" outlineLevel="0" collapsed="false">
      <c r="C569" s="17" t="str">
        <f aca="false">IF(TRIM(B569)="","",IFERROR(INDEX('Code Aliases'!$B:$B,MATCH(TRIM(B569),'Code Aliases'!$A:$A,0)),TRIM(B569)))</f>
        <v/>
      </c>
      <c r="I569" s="67" t="str">
        <f aca="false">IF(TRIM(D569)="","",UPPER(TRIM(D569)))</f>
        <v/>
      </c>
      <c r="J569" s="67" t="str">
        <f aca="false">IF(TRIM(E569)="","",UPPER(TRIM(E569)))</f>
        <v/>
      </c>
    </row>
    <row r="570" customFormat="false" ht="14.25" hidden="false" customHeight="true" outlineLevel="0" collapsed="false">
      <c r="C570" s="17" t="str">
        <f aca="false">IF(TRIM(B570)="","",IFERROR(INDEX('Code Aliases'!$B:$B,MATCH(TRIM(B570),'Code Aliases'!$A:$A,0)),TRIM(B570)))</f>
        <v/>
      </c>
      <c r="I570" s="67" t="str">
        <f aca="false">IF(TRIM(D570)="","",UPPER(TRIM(D570)))</f>
        <v/>
      </c>
      <c r="J570" s="67" t="str">
        <f aca="false">IF(TRIM(E570)="","",UPPER(TRIM(E570)))</f>
        <v/>
      </c>
    </row>
    <row r="571" customFormat="false" ht="14.25" hidden="false" customHeight="true" outlineLevel="0" collapsed="false">
      <c r="C571" s="17" t="str">
        <f aca="false">IF(TRIM(B571)="","",IFERROR(INDEX('Code Aliases'!$B:$B,MATCH(TRIM(B571),'Code Aliases'!$A:$A,0)),TRIM(B571)))</f>
        <v/>
      </c>
      <c r="I571" s="67" t="str">
        <f aca="false">IF(TRIM(D571)="","",UPPER(TRIM(D571)))</f>
        <v/>
      </c>
      <c r="J571" s="67" t="str">
        <f aca="false">IF(TRIM(E571)="","",UPPER(TRIM(E571)))</f>
        <v/>
      </c>
    </row>
    <row r="572" customFormat="false" ht="14.25" hidden="false" customHeight="true" outlineLevel="0" collapsed="false">
      <c r="C572" s="17" t="str">
        <f aca="false">IF(TRIM(B572)="","",IFERROR(INDEX('Code Aliases'!$B:$B,MATCH(TRIM(B572),'Code Aliases'!$A:$A,0)),TRIM(B572)))</f>
        <v/>
      </c>
      <c r="I572" s="67" t="str">
        <f aca="false">IF(TRIM(D572)="","",UPPER(TRIM(D572)))</f>
        <v/>
      </c>
      <c r="J572" s="67" t="str">
        <f aca="false">IF(TRIM(E572)="","",UPPER(TRIM(E572)))</f>
        <v/>
      </c>
    </row>
    <row r="573" customFormat="false" ht="14.25" hidden="false" customHeight="true" outlineLevel="0" collapsed="false">
      <c r="C573" s="17" t="str">
        <f aca="false">IF(TRIM(B573)="","",IFERROR(INDEX('Code Aliases'!$B:$B,MATCH(TRIM(B573),'Code Aliases'!$A:$A,0)),TRIM(B573)))</f>
        <v/>
      </c>
      <c r="I573" s="67" t="str">
        <f aca="false">IF(TRIM(D573)="","",UPPER(TRIM(D573)))</f>
        <v/>
      </c>
      <c r="J573" s="67" t="str">
        <f aca="false">IF(TRIM(E573)="","",UPPER(TRIM(E573)))</f>
        <v/>
      </c>
    </row>
    <row r="574" customFormat="false" ht="14.25" hidden="false" customHeight="true" outlineLevel="0" collapsed="false">
      <c r="C574" s="17" t="str">
        <f aca="false">IF(TRIM(B574)="","",IFERROR(INDEX('Code Aliases'!$B:$B,MATCH(TRIM(B574),'Code Aliases'!$A:$A,0)),TRIM(B574)))</f>
        <v/>
      </c>
      <c r="I574" s="67" t="str">
        <f aca="false">IF(TRIM(D574)="","",UPPER(TRIM(D574)))</f>
        <v/>
      </c>
      <c r="J574" s="67" t="str">
        <f aca="false">IF(TRIM(E574)="","",UPPER(TRIM(E574)))</f>
        <v/>
      </c>
    </row>
    <row r="575" customFormat="false" ht="14.25" hidden="false" customHeight="true" outlineLevel="0" collapsed="false">
      <c r="C575" s="17" t="str">
        <f aca="false">IF(TRIM(B575)="","",IFERROR(INDEX('Code Aliases'!$B:$B,MATCH(TRIM(B575),'Code Aliases'!$A:$A,0)),TRIM(B575)))</f>
        <v/>
      </c>
      <c r="I575" s="67" t="str">
        <f aca="false">IF(TRIM(D575)="","",UPPER(TRIM(D575)))</f>
        <v/>
      </c>
      <c r="J575" s="67" t="str">
        <f aca="false">IF(TRIM(E575)="","",UPPER(TRIM(E575)))</f>
        <v/>
      </c>
    </row>
    <row r="576" customFormat="false" ht="14.25" hidden="false" customHeight="true" outlineLevel="0" collapsed="false">
      <c r="C576" s="17" t="str">
        <f aca="false">IF(TRIM(B576)="","",IFERROR(INDEX('Code Aliases'!$B:$B,MATCH(TRIM(B576),'Code Aliases'!$A:$A,0)),TRIM(B576)))</f>
        <v/>
      </c>
      <c r="I576" s="67" t="str">
        <f aca="false">IF(TRIM(D576)="","",UPPER(TRIM(D576)))</f>
        <v/>
      </c>
      <c r="J576" s="67" t="str">
        <f aca="false">IF(TRIM(E576)="","",UPPER(TRIM(E576)))</f>
        <v/>
      </c>
    </row>
    <row r="577" customFormat="false" ht="14.25" hidden="false" customHeight="true" outlineLevel="0" collapsed="false">
      <c r="C577" s="17" t="str">
        <f aca="false">IF(TRIM(B577)="","",IFERROR(INDEX('Code Aliases'!$B:$B,MATCH(TRIM(B577),'Code Aliases'!$A:$A,0)),TRIM(B577)))</f>
        <v/>
      </c>
      <c r="I577" s="67" t="str">
        <f aca="false">IF(TRIM(D577)="","",UPPER(TRIM(D577)))</f>
        <v/>
      </c>
      <c r="J577" s="67" t="str">
        <f aca="false">IF(TRIM(E577)="","",UPPER(TRIM(E577)))</f>
        <v/>
      </c>
    </row>
    <row r="578" customFormat="false" ht="14.25" hidden="false" customHeight="true" outlineLevel="0" collapsed="false">
      <c r="C578" s="17" t="str">
        <f aca="false">IF(TRIM(B578)="","",IFERROR(INDEX('Code Aliases'!$B:$B,MATCH(TRIM(B578),'Code Aliases'!$A:$A,0)),TRIM(B578)))</f>
        <v/>
      </c>
      <c r="I578" s="67" t="str">
        <f aca="false">IF(TRIM(D578)="","",UPPER(TRIM(D578)))</f>
        <v/>
      </c>
      <c r="J578" s="67" t="str">
        <f aca="false">IF(TRIM(E578)="","",UPPER(TRIM(E578)))</f>
        <v/>
      </c>
    </row>
    <row r="579" customFormat="false" ht="14.25" hidden="false" customHeight="true" outlineLevel="0" collapsed="false">
      <c r="C579" s="17" t="str">
        <f aca="false">IF(TRIM(B579)="","",IFERROR(INDEX('Code Aliases'!$B:$B,MATCH(TRIM(B579),'Code Aliases'!$A:$A,0)),TRIM(B579)))</f>
        <v/>
      </c>
      <c r="I579" s="67" t="str">
        <f aca="false">IF(TRIM(D579)="","",UPPER(TRIM(D579)))</f>
        <v/>
      </c>
      <c r="J579" s="67" t="str">
        <f aca="false">IF(TRIM(E579)="","",UPPER(TRIM(E579)))</f>
        <v/>
      </c>
    </row>
    <row r="580" customFormat="false" ht="14.25" hidden="false" customHeight="true" outlineLevel="0" collapsed="false">
      <c r="C580" s="17" t="str">
        <f aca="false">IF(TRIM(B580)="","",IFERROR(INDEX('Code Aliases'!$B:$B,MATCH(TRIM(B580),'Code Aliases'!$A:$A,0)),TRIM(B580)))</f>
        <v/>
      </c>
      <c r="I580" s="67" t="str">
        <f aca="false">IF(TRIM(D580)="","",UPPER(TRIM(D580)))</f>
        <v/>
      </c>
      <c r="J580" s="67" t="str">
        <f aca="false">IF(TRIM(E580)="","",UPPER(TRIM(E580)))</f>
        <v/>
      </c>
    </row>
    <row r="581" customFormat="false" ht="14.25" hidden="false" customHeight="true" outlineLevel="0" collapsed="false">
      <c r="C581" s="17" t="str">
        <f aca="false">IF(TRIM(B581)="","",IFERROR(INDEX('Code Aliases'!$B:$B,MATCH(TRIM(B581),'Code Aliases'!$A:$A,0)),TRIM(B581)))</f>
        <v/>
      </c>
      <c r="I581" s="67" t="str">
        <f aca="false">IF(TRIM(D581)="","",UPPER(TRIM(D581)))</f>
        <v/>
      </c>
      <c r="J581" s="67" t="str">
        <f aca="false">IF(TRIM(E581)="","",UPPER(TRIM(E581)))</f>
        <v/>
      </c>
    </row>
    <row r="582" customFormat="false" ht="14.25" hidden="false" customHeight="true" outlineLevel="0" collapsed="false">
      <c r="C582" s="17" t="str">
        <f aca="false">IF(TRIM(B582)="","",IFERROR(INDEX('Code Aliases'!$B:$B,MATCH(TRIM(B582),'Code Aliases'!$A:$A,0)),TRIM(B582)))</f>
        <v/>
      </c>
      <c r="I582" s="67" t="str">
        <f aca="false">IF(TRIM(D582)="","",UPPER(TRIM(D582)))</f>
        <v/>
      </c>
      <c r="J582" s="67" t="str">
        <f aca="false">IF(TRIM(E582)="","",UPPER(TRIM(E582)))</f>
        <v/>
      </c>
    </row>
    <row r="583" customFormat="false" ht="14.25" hidden="false" customHeight="true" outlineLevel="0" collapsed="false">
      <c r="C583" s="17" t="str">
        <f aca="false">IF(TRIM(B583)="","",IFERROR(INDEX('Code Aliases'!$B:$B,MATCH(TRIM(B583),'Code Aliases'!$A:$A,0)),TRIM(B583)))</f>
        <v/>
      </c>
      <c r="I583" s="67" t="str">
        <f aca="false">IF(TRIM(D583)="","",UPPER(TRIM(D583)))</f>
        <v/>
      </c>
      <c r="J583" s="67" t="str">
        <f aca="false">IF(TRIM(E583)="","",UPPER(TRIM(E583)))</f>
        <v/>
      </c>
    </row>
    <row r="584" customFormat="false" ht="14.25" hidden="false" customHeight="true" outlineLevel="0" collapsed="false">
      <c r="C584" s="17" t="str">
        <f aca="false">IF(TRIM(B584)="","",IFERROR(INDEX('Code Aliases'!$B:$B,MATCH(TRIM(B584),'Code Aliases'!$A:$A,0)),TRIM(B584)))</f>
        <v/>
      </c>
      <c r="I584" s="67" t="str">
        <f aca="false">IF(TRIM(D584)="","",UPPER(TRIM(D584)))</f>
        <v/>
      </c>
      <c r="J584" s="67" t="str">
        <f aca="false">IF(TRIM(E584)="","",UPPER(TRIM(E584)))</f>
        <v/>
      </c>
    </row>
    <row r="585" customFormat="false" ht="14.25" hidden="false" customHeight="true" outlineLevel="0" collapsed="false">
      <c r="C585" s="17" t="str">
        <f aca="false">IF(TRIM(B585)="","",IFERROR(INDEX('Code Aliases'!$B:$B,MATCH(TRIM(B585),'Code Aliases'!$A:$A,0)),TRIM(B585)))</f>
        <v/>
      </c>
      <c r="I585" s="67" t="str">
        <f aca="false">IF(TRIM(D585)="","",UPPER(TRIM(D585)))</f>
        <v/>
      </c>
      <c r="J585" s="67" t="str">
        <f aca="false">IF(TRIM(E585)="","",UPPER(TRIM(E585)))</f>
        <v/>
      </c>
    </row>
    <row r="586" customFormat="false" ht="14.25" hidden="false" customHeight="true" outlineLevel="0" collapsed="false">
      <c r="C586" s="17" t="str">
        <f aca="false">IF(TRIM(B586)="","",IFERROR(INDEX('Code Aliases'!$B:$B,MATCH(TRIM(B586),'Code Aliases'!$A:$A,0)),TRIM(B586)))</f>
        <v/>
      </c>
      <c r="I586" s="67" t="str">
        <f aca="false">IF(TRIM(D586)="","",UPPER(TRIM(D586)))</f>
        <v/>
      </c>
      <c r="J586" s="67" t="str">
        <f aca="false">IF(TRIM(E586)="","",UPPER(TRIM(E586)))</f>
        <v/>
      </c>
    </row>
    <row r="587" customFormat="false" ht="14.25" hidden="false" customHeight="true" outlineLevel="0" collapsed="false">
      <c r="C587" s="17" t="str">
        <f aca="false">IF(TRIM(B587)="","",IFERROR(INDEX('Code Aliases'!$B:$B,MATCH(TRIM(B587),'Code Aliases'!$A:$A,0)),TRIM(B587)))</f>
        <v/>
      </c>
      <c r="I587" s="67" t="str">
        <f aca="false">IF(TRIM(D587)="","",UPPER(TRIM(D587)))</f>
        <v/>
      </c>
      <c r="J587" s="67" t="str">
        <f aca="false">IF(TRIM(E587)="","",UPPER(TRIM(E587)))</f>
        <v/>
      </c>
    </row>
    <row r="588" customFormat="false" ht="14.25" hidden="false" customHeight="true" outlineLevel="0" collapsed="false">
      <c r="C588" s="17" t="str">
        <f aca="false">IF(TRIM(B588)="","",IFERROR(INDEX('Code Aliases'!$B:$B,MATCH(TRIM(B588),'Code Aliases'!$A:$A,0)),TRIM(B588)))</f>
        <v/>
      </c>
      <c r="I588" s="67" t="str">
        <f aca="false">IF(TRIM(D588)="","",UPPER(TRIM(D588)))</f>
        <v/>
      </c>
      <c r="J588" s="67" t="str">
        <f aca="false">IF(TRIM(E588)="","",UPPER(TRIM(E588)))</f>
        <v/>
      </c>
    </row>
    <row r="589" customFormat="false" ht="14.25" hidden="false" customHeight="true" outlineLevel="0" collapsed="false">
      <c r="C589" s="17" t="str">
        <f aca="false">IF(TRIM(B589)="","",IFERROR(INDEX('Code Aliases'!$B:$B,MATCH(TRIM(B589),'Code Aliases'!$A:$A,0)),TRIM(B589)))</f>
        <v/>
      </c>
      <c r="I589" s="67" t="str">
        <f aca="false">IF(TRIM(D589)="","",UPPER(TRIM(D589)))</f>
        <v/>
      </c>
      <c r="J589" s="67" t="str">
        <f aca="false">IF(TRIM(E589)="","",UPPER(TRIM(E589)))</f>
        <v/>
      </c>
    </row>
    <row r="590" customFormat="false" ht="14.25" hidden="false" customHeight="true" outlineLevel="0" collapsed="false">
      <c r="C590" s="17" t="str">
        <f aca="false">IF(TRIM(B590)="","",IFERROR(INDEX('Code Aliases'!$B:$B,MATCH(TRIM(B590),'Code Aliases'!$A:$A,0)),TRIM(B590)))</f>
        <v/>
      </c>
      <c r="I590" s="67" t="str">
        <f aca="false">IF(TRIM(D590)="","",UPPER(TRIM(D590)))</f>
        <v/>
      </c>
      <c r="J590" s="67" t="str">
        <f aca="false">IF(TRIM(E590)="","",UPPER(TRIM(E590)))</f>
        <v/>
      </c>
    </row>
    <row r="591" customFormat="false" ht="14.25" hidden="false" customHeight="true" outlineLevel="0" collapsed="false">
      <c r="C591" s="17" t="str">
        <f aca="false">IF(TRIM(B591)="","",IFERROR(INDEX('Code Aliases'!$B:$B,MATCH(TRIM(B591),'Code Aliases'!$A:$A,0)),TRIM(B591)))</f>
        <v/>
      </c>
      <c r="I591" s="67" t="str">
        <f aca="false">IF(TRIM(D591)="","",UPPER(TRIM(D591)))</f>
        <v/>
      </c>
      <c r="J591" s="67" t="str">
        <f aca="false">IF(TRIM(E591)="","",UPPER(TRIM(E591)))</f>
        <v/>
      </c>
    </row>
    <row r="592" customFormat="false" ht="14.25" hidden="false" customHeight="true" outlineLevel="0" collapsed="false">
      <c r="C592" s="17" t="str">
        <f aca="false">IF(TRIM(B592)="","",IFERROR(INDEX('Code Aliases'!$B:$B,MATCH(TRIM(B592),'Code Aliases'!$A:$A,0)),TRIM(B592)))</f>
        <v/>
      </c>
      <c r="I592" s="67" t="str">
        <f aca="false">IF(TRIM(D592)="","",UPPER(TRIM(D592)))</f>
        <v/>
      </c>
      <c r="J592" s="67" t="str">
        <f aca="false">IF(TRIM(E592)="","",UPPER(TRIM(E592)))</f>
        <v/>
      </c>
    </row>
    <row r="593" customFormat="false" ht="14.25" hidden="false" customHeight="true" outlineLevel="0" collapsed="false">
      <c r="C593" s="17" t="str">
        <f aca="false">IF(TRIM(B593)="","",IFERROR(INDEX('Code Aliases'!$B:$B,MATCH(TRIM(B593),'Code Aliases'!$A:$A,0)),TRIM(B593)))</f>
        <v/>
      </c>
      <c r="I593" s="67" t="str">
        <f aca="false">IF(TRIM(D593)="","",UPPER(TRIM(D593)))</f>
        <v/>
      </c>
      <c r="J593" s="67" t="str">
        <f aca="false">IF(TRIM(E593)="","",UPPER(TRIM(E593)))</f>
        <v/>
      </c>
    </row>
    <row r="594" customFormat="false" ht="14.25" hidden="false" customHeight="true" outlineLevel="0" collapsed="false">
      <c r="C594" s="17" t="str">
        <f aca="false">IF(TRIM(B594)="","",IFERROR(INDEX('Code Aliases'!$B:$B,MATCH(TRIM(B594),'Code Aliases'!$A:$A,0)),TRIM(B594)))</f>
        <v/>
      </c>
      <c r="I594" s="67" t="str">
        <f aca="false">IF(TRIM(D594)="","",UPPER(TRIM(D594)))</f>
        <v/>
      </c>
      <c r="J594" s="67" t="str">
        <f aca="false">IF(TRIM(E594)="","",UPPER(TRIM(E594)))</f>
        <v/>
      </c>
    </row>
    <row r="595" customFormat="false" ht="14.25" hidden="false" customHeight="true" outlineLevel="0" collapsed="false">
      <c r="C595" s="17" t="str">
        <f aca="false">IF(TRIM(B595)="","",IFERROR(INDEX('Code Aliases'!$B:$B,MATCH(TRIM(B595),'Code Aliases'!$A:$A,0)),TRIM(B595)))</f>
        <v/>
      </c>
      <c r="I595" s="67" t="str">
        <f aca="false">IF(TRIM(D595)="","",UPPER(TRIM(D595)))</f>
        <v/>
      </c>
      <c r="J595" s="67" t="str">
        <f aca="false">IF(TRIM(E595)="","",UPPER(TRIM(E595)))</f>
        <v/>
      </c>
    </row>
    <row r="596" customFormat="false" ht="14.25" hidden="false" customHeight="true" outlineLevel="0" collapsed="false">
      <c r="C596" s="17" t="str">
        <f aca="false">IF(TRIM(B596)="","",IFERROR(INDEX('Code Aliases'!$B:$B,MATCH(TRIM(B596),'Code Aliases'!$A:$A,0)),TRIM(B596)))</f>
        <v/>
      </c>
      <c r="I596" s="67" t="str">
        <f aca="false">IF(TRIM(D596)="","",UPPER(TRIM(D596)))</f>
        <v/>
      </c>
      <c r="J596" s="67" t="str">
        <f aca="false">IF(TRIM(E596)="","",UPPER(TRIM(E596)))</f>
        <v/>
      </c>
    </row>
    <row r="597" customFormat="false" ht="14.25" hidden="false" customHeight="true" outlineLevel="0" collapsed="false">
      <c r="C597" s="17" t="str">
        <f aca="false">IF(TRIM(B597)="","",IFERROR(INDEX('Code Aliases'!$B:$B,MATCH(TRIM(B597),'Code Aliases'!$A:$A,0)),TRIM(B597)))</f>
        <v/>
      </c>
      <c r="I597" s="67" t="str">
        <f aca="false">IF(TRIM(D597)="","",UPPER(TRIM(D597)))</f>
        <v/>
      </c>
      <c r="J597" s="67" t="str">
        <f aca="false">IF(TRIM(E597)="","",UPPER(TRIM(E597)))</f>
        <v/>
      </c>
    </row>
    <row r="598" customFormat="false" ht="14.25" hidden="false" customHeight="true" outlineLevel="0" collapsed="false">
      <c r="C598" s="17" t="str">
        <f aca="false">IF(TRIM(B598)="","",IFERROR(INDEX('Code Aliases'!$B:$B,MATCH(TRIM(B598),'Code Aliases'!$A:$A,0)),TRIM(B598)))</f>
        <v/>
      </c>
      <c r="I598" s="67" t="str">
        <f aca="false">IF(TRIM(D598)="","",UPPER(TRIM(D598)))</f>
        <v/>
      </c>
      <c r="J598" s="67" t="str">
        <f aca="false">IF(TRIM(E598)="","",UPPER(TRIM(E598)))</f>
        <v/>
      </c>
    </row>
    <row r="599" customFormat="false" ht="14.25" hidden="false" customHeight="true" outlineLevel="0" collapsed="false">
      <c r="C599" s="17" t="str">
        <f aca="false">IF(TRIM(B599)="","",IFERROR(INDEX('Code Aliases'!$B:$B,MATCH(TRIM(B599),'Code Aliases'!$A:$A,0)),TRIM(B599)))</f>
        <v/>
      </c>
      <c r="I599" s="67" t="str">
        <f aca="false">IF(TRIM(D599)="","",UPPER(TRIM(D599)))</f>
        <v/>
      </c>
      <c r="J599" s="67" t="str">
        <f aca="false">IF(TRIM(E599)="","",UPPER(TRIM(E599)))</f>
        <v/>
      </c>
    </row>
    <row r="600" customFormat="false" ht="14.25" hidden="false" customHeight="true" outlineLevel="0" collapsed="false">
      <c r="C600" s="17" t="str">
        <f aca="false">IF(TRIM(B600)="","",IFERROR(INDEX('Code Aliases'!$B:$B,MATCH(TRIM(B600),'Code Aliases'!$A:$A,0)),TRIM(B600)))</f>
        <v/>
      </c>
      <c r="I600" s="67" t="str">
        <f aca="false">IF(TRIM(D600)="","",UPPER(TRIM(D600)))</f>
        <v/>
      </c>
      <c r="J600" s="67" t="str">
        <f aca="false">IF(TRIM(E600)="","",UPPER(TRIM(E600)))</f>
        <v/>
      </c>
    </row>
    <row r="601" customFormat="false" ht="14.25" hidden="false" customHeight="true" outlineLevel="0" collapsed="false">
      <c r="C601" s="17" t="str">
        <f aca="false">IF(TRIM(B601)="","",IFERROR(INDEX('Code Aliases'!$B:$B,MATCH(TRIM(B601),'Code Aliases'!$A:$A,0)),TRIM(B601)))</f>
        <v/>
      </c>
      <c r="I601" s="67" t="str">
        <f aca="false">IF(TRIM(D601)="","",UPPER(TRIM(D601)))</f>
        <v/>
      </c>
      <c r="J601" s="67" t="str">
        <f aca="false">IF(TRIM(E601)="","",UPPER(TRIM(E601)))</f>
        <v/>
      </c>
    </row>
    <row r="602" customFormat="false" ht="14.25" hidden="false" customHeight="true" outlineLevel="0" collapsed="false">
      <c r="C602" s="17" t="str">
        <f aca="false">IF(TRIM(B602)="","",IFERROR(INDEX('Code Aliases'!$B:$B,MATCH(TRIM(B602),'Code Aliases'!$A:$A,0)),TRIM(B602)))</f>
        <v/>
      </c>
      <c r="I602" s="67" t="str">
        <f aca="false">IF(TRIM(D602)="","",UPPER(TRIM(D602)))</f>
        <v/>
      </c>
      <c r="J602" s="67" t="str">
        <f aca="false">IF(TRIM(E602)="","",UPPER(TRIM(E602)))</f>
        <v/>
      </c>
    </row>
    <row r="603" customFormat="false" ht="14.25" hidden="false" customHeight="true" outlineLevel="0" collapsed="false">
      <c r="C603" s="17" t="str">
        <f aca="false">IF(TRIM(B603)="","",IFERROR(INDEX('Code Aliases'!$B:$B,MATCH(TRIM(B603),'Code Aliases'!$A:$A,0)),TRIM(B603)))</f>
        <v/>
      </c>
      <c r="I603" s="67" t="str">
        <f aca="false">IF(TRIM(D603)="","",UPPER(TRIM(D603)))</f>
        <v/>
      </c>
      <c r="J603" s="67" t="str">
        <f aca="false">IF(TRIM(E603)="","",UPPER(TRIM(E603)))</f>
        <v/>
      </c>
    </row>
    <row r="604" customFormat="false" ht="14.25" hidden="false" customHeight="true" outlineLevel="0" collapsed="false">
      <c r="C604" s="17" t="str">
        <f aca="false">IF(TRIM(B604)="","",IFERROR(INDEX('Code Aliases'!$B:$B,MATCH(TRIM(B604),'Code Aliases'!$A:$A,0)),TRIM(B604)))</f>
        <v/>
      </c>
      <c r="I604" s="67" t="str">
        <f aca="false">IF(TRIM(D604)="","",UPPER(TRIM(D604)))</f>
        <v/>
      </c>
      <c r="J604" s="67" t="str">
        <f aca="false">IF(TRIM(E604)="","",UPPER(TRIM(E604)))</f>
        <v/>
      </c>
    </row>
    <row r="605" customFormat="false" ht="14.25" hidden="false" customHeight="true" outlineLevel="0" collapsed="false">
      <c r="C605" s="17" t="str">
        <f aca="false">IF(TRIM(B605)="","",IFERROR(INDEX('Code Aliases'!$B:$B,MATCH(TRIM(B605),'Code Aliases'!$A:$A,0)),TRIM(B605)))</f>
        <v/>
      </c>
      <c r="I605" s="67" t="str">
        <f aca="false">IF(TRIM(D605)="","",UPPER(TRIM(D605)))</f>
        <v/>
      </c>
      <c r="J605" s="67" t="str">
        <f aca="false">IF(TRIM(E605)="","",UPPER(TRIM(E605)))</f>
        <v/>
      </c>
    </row>
    <row r="606" customFormat="false" ht="14.25" hidden="false" customHeight="true" outlineLevel="0" collapsed="false">
      <c r="C606" s="17" t="str">
        <f aca="false">IF(TRIM(B606)="","",IFERROR(INDEX('Code Aliases'!$B:$B,MATCH(TRIM(B606),'Code Aliases'!$A:$A,0)),TRIM(B606)))</f>
        <v/>
      </c>
      <c r="I606" s="67" t="str">
        <f aca="false">IF(TRIM(D606)="","",UPPER(TRIM(D606)))</f>
        <v/>
      </c>
      <c r="J606" s="67" t="str">
        <f aca="false">IF(TRIM(E606)="","",UPPER(TRIM(E606)))</f>
        <v/>
      </c>
    </row>
    <row r="607" customFormat="false" ht="14.25" hidden="false" customHeight="true" outlineLevel="0" collapsed="false">
      <c r="C607" s="17" t="str">
        <f aca="false">IF(TRIM(B607)="","",IFERROR(INDEX('Code Aliases'!$B:$B,MATCH(TRIM(B607),'Code Aliases'!$A:$A,0)),TRIM(B607)))</f>
        <v/>
      </c>
      <c r="I607" s="67" t="str">
        <f aca="false">IF(TRIM(D607)="","",UPPER(TRIM(D607)))</f>
        <v/>
      </c>
      <c r="J607" s="67" t="str">
        <f aca="false">IF(TRIM(E607)="","",UPPER(TRIM(E607)))</f>
        <v/>
      </c>
    </row>
    <row r="608" customFormat="false" ht="14.25" hidden="false" customHeight="true" outlineLevel="0" collapsed="false">
      <c r="C608" s="17" t="str">
        <f aca="false">IF(TRIM(B608)="","",IFERROR(INDEX('Code Aliases'!$B:$B,MATCH(TRIM(B608),'Code Aliases'!$A:$A,0)),TRIM(B608)))</f>
        <v/>
      </c>
      <c r="I608" s="67" t="str">
        <f aca="false">IF(TRIM(D608)="","",UPPER(TRIM(D608)))</f>
        <v/>
      </c>
      <c r="J608" s="67" t="str">
        <f aca="false">IF(TRIM(E608)="","",UPPER(TRIM(E608)))</f>
        <v/>
      </c>
    </row>
    <row r="609" customFormat="false" ht="14.25" hidden="false" customHeight="true" outlineLevel="0" collapsed="false">
      <c r="C609" s="17" t="str">
        <f aca="false">IF(TRIM(B609)="","",IFERROR(INDEX('Code Aliases'!$B:$B,MATCH(TRIM(B609),'Code Aliases'!$A:$A,0)),TRIM(B609)))</f>
        <v/>
      </c>
      <c r="I609" s="67" t="str">
        <f aca="false">IF(TRIM(D609)="","",UPPER(TRIM(D609)))</f>
        <v/>
      </c>
      <c r="J609" s="67" t="str">
        <f aca="false">IF(TRIM(E609)="","",UPPER(TRIM(E609)))</f>
        <v/>
      </c>
    </row>
    <row r="610" customFormat="false" ht="14.25" hidden="false" customHeight="true" outlineLevel="0" collapsed="false">
      <c r="C610" s="17" t="str">
        <f aca="false">IF(TRIM(B610)="","",IFERROR(INDEX('Code Aliases'!$B:$B,MATCH(TRIM(B610),'Code Aliases'!$A:$A,0)),TRIM(B610)))</f>
        <v/>
      </c>
      <c r="I610" s="67" t="str">
        <f aca="false">IF(TRIM(D610)="","",UPPER(TRIM(D610)))</f>
        <v/>
      </c>
      <c r="J610" s="67" t="str">
        <f aca="false">IF(TRIM(E610)="","",UPPER(TRIM(E610)))</f>
        <v/>
      </c>
    </row>
    <row r="611" customFormat="false" ht="14.25" hidden="false" customHeight="true" outlineLevel="0" collapsed="false">
      <c r="C611" s="17" t="str">
        <f aca="false">IF(TRIM(B611)="","",IFERROR(INDEX('Code Aliases'!$B:$B,MATCH(TRIM(B611),'Code Aliases'!$A:$A,0)),TRIM(B611)))</f>
        <v/>
      </c>
      <c r="I611" s="67" t="str">
        <f aca="false">IF(TRIM(D611)="","",UPPER(TRIM(D611)))</f>
        <v/>
      </c>
      <c r="J611" s="67" t="str">
        <f aca="false">IF(TRIM(E611)="","",UPPER(TRIM(E611)))</f>
        <v/>
      </c>
    </row>
    <row r="612" customFormat="false" ht="14.25" hidden="false" customHeight="true" outlineLevel="0" collapsed="false">
      <c r="C612" s="17" t="str">
        <f aca="false">IF(TRIM(B612)="","",IFERROR(INDEX('Code Aliases'!$B:$B,MATCH(TRIM(B612),'Code Aliases'!$A:$A,0)),TRIM(B612)))</f>
        <v/>
      </c>
      <c r="I612" s="67" t="str">
        <f aca="false">IF(TRIM(D612)="","",UPPER(TRIM(D612)))</f>
        <v/>
      </c>
      <c r="J612" s="67" t="str">
        <f aca="false">IF(TRIM(E612)="","",UPPER(TRIM(E612)))</f>
        <v/>
      </c>
    </row>
    <row r="613" customFormat="false" ht="14.25" hidden="false" customHeight="true" outlineLevel="0" collapsed="false">
      <c r="C613" s="17" t="str">
        <f aca="false">IF(TRIM(B613)="","",IFERROR(INDEX('Code Aliases'!$B:$B,MATCH(TRIM(B613),'Code Aliases'!$A:$A,0)),TRIM(B613)))</f>
        <v/>
      </c>
      <c r="I613" s="67" t="str">
        <f aca="false">IF(TRIM(D613)="","",UPPER(TRIM(D613)))</f>
        <v/>
      </c>
      <c r="J613" s="67" t="str">
        <f aca="false">IF(TRIM(E613)="","",UPPER(TRIM(E613)))</f>
        <v/>
      </c>
    </row>
    <row r="614" customFormat="false" ht="14.25" hidden="false" customHeight="true" outlineLevel="0" collapsed="false">
      <c r="C614" s="17" t="str">
        <f aca="false">IF(TRIM(B614)="","",IFERROR(INDEX('Code Aliases'!$B:$B,MATCH(TRIM(B614),'Code Aliases'!$A:$A,0)),TRIM(B614)))</f>
        <v/>
      </c>
      <c r="I614" s="67" t="str">
        <f aca="false">IF(TRIM(D614)="","",UPPER(TRIM(D614)))</f>
        <v/>
      </c>
      <c r="J614" s="67" t="str">
        <f aca="false">IF(TRIM(E614)="","",UPPER(TRIM(E614)))</f>
        <v/>
      </c>
    </row>
    <row r="615" customFormat="false" ht="14.25" hidden="false" customHeight="true" outlineLevel="0" collapsed="false">
      <c r="C615" s="17" t="str">
        <f aca="false">IF(TRIM(B615)="","",IFERROR(INDEX('Code Aliases'!$B:$B,MATCH(TRIM(B615),'Code Aliases'!$A:$A,0)),TRIM(B615)))</f>
        <v/>
      </c>
      <c r="I615" s="67" t="str">
        <f aca="false">IF(TRIM(D615)="","",UPPER(TRIM(D615)))</f>
        <v/>
      </c>
      <c r="J615" s="67" t="str">
        <f aca="false">IF(TRIM(E615)="","",UPPER(TRIM(E615)))</f>
        <v/>
      </c>
    </row>
    <row r="616" customFormat="false" ht="14.25" hidden="false" customHeight="true" outlineLevel="0" collapsed="false">
      <c r="C616" s="17" t="str">
        <f aca="false">IF(TRIM(B616)="","",IFERROR(INDEX('Code Aliases'!$B:$B,MATCH(TRIM(B616),'Code Aliases'!$A:$A,0)),TRIM(B616)))</f>
        <v/>
      </c>
      <c r="I616" s="67" t="str">
        <f aca="false">IF(TRIM(D616)="","",UPPER(TRIM(D616)))</f>
        <v/>
      </c>
      <c r="J616" s="67" t="str">
        <f aca="false">IF(TRIM(E616)="","",UPPER(TRIM(E616)))</f>
        <v/>
      </c>
    </row>
    <row r="617" customFormat="false" ht="14.25" hidden="false" customHeight="true" outlineLevel="0" collapsed="false">
      <c r="C617" s="17" t="str">
        <f aca="false">IF(TRIM(B617)="","",IFERROR(INDEX('Code Aliases'!$B:$B,MATCH(TRIM(B617),'Code Aliases'!$A:$A,0)),TRIM(B617)))</f>
        <v/>
      </c>
      <c r="I617" s="67" t="str">
        <f aca="false">IF(TRIM(D617)="","",UPPER(TRIM(D617)))</f>
        <v/>
      </c>
      <c r="J617" s="67" t="str">
        <f aca="false">IF(TRIM(E617)="","",UPPER(TRIM(E617)))</f>
        <v/>
      </c>
    </row>
    <row r="618" customFormat="false" ht="14.25" hidden="false" customHeight="true" outlineLevel="0" collapsed="false">
      <c r="C618" s="17" t="str">
        <f aca="false">IF(TRIM(B618)="","",IFERROR(INDEX('Code Aliases'!$B:$B,MATCH(TRIM(B618),'Code Aliases'!$A:$A,0)),TRIM(B618)))</f>
        <v/>
      </c>
      <c r="I618" s="67" t="str">
        <f aca="false">IF(TRIM(D618)="","",UPPER(TRIM(D618)))</f>
        <v/>
      </c>
      <c r="J618" s="67" t="str">
        <f aca="false">IF(TRIM(E618)="","",UPPER(TRIM(E618)))</f>
        <v/>
      </c>
    </row>
    <row r="619" customFormat="false" ht="14.25" hidden="false" customHeight="true" outlineLevel="0" collapsed="false">
      <c r="C619" s="17" t="str">
        <f aca="false">IF(TRIM(B619)="","",IFERROR(INDEX('Code Aliases'!$B:$B,MATCH(TRIM(B619),'Code Aliases'!$A:$A,0)),TRIM(B619)))</f>
        <v/>
      </c>
      <c r="I619" s="67" t="str">
        <f aca="false">IF(TRIM(D619)="","",UPPER(TRIM(D619)))</f>
        <v/>
      </c>
      <c r="J619" s="67" t="str">
        <f aca="false">IF(TRIM(E619)="","",UPPER(TRIM(E619)))</f>
        <v/>
      </c>
    </row>
    <row r="620" customFormat="false" ht="14.25" hidden="false" customHeight="true" outlineLevel="0" collapsed="false">
      <c r="C620" s="17" t="str">
        <f aca="false">IF(TRIM(B620)="","",IFERROR(INDEX('Code Aliases'!$B:$B,MATCH(TRIM(B620),'Code Aliases'!$A:$A,0)),TRIM(B620)))</f>
        <v/>
      </c>
      <c r="I620" s="67" t="str">
        <f aca="false">IF(TRIM(D620)="","",UPPER(TRIM(D620)))</f>
        <v/>
      </c>
      <c r="J620" s="67" t="str">
        <f aca="false">IF(TRIM(E620)="","",UPPER(TRIM(E620)))</f>
        <v/>
      </c>
    </row>
    <row r="621" customFormat="false" ht="14.25" hidden="false" customHeight="true" outlineLevel="0" collapsed="false">
      <c r="C621" s="17" t="str">
        <f aca="false">IF(TRIM(B621)="","",IFERROR(INDEX('Code Aliases'!$B:$B,MATCH(TRIM(B621),'Code Aliases'!$A:$A,0)),TRIM(B621)))</f>
        <v/>
      </c>
      <c r="I621" s="67" t="str">
        <f aca="false">IF(TRIM(D621)="","",UPPER(TRIM(D621)))</f>
        <v/>
      </c>
      <c r="J621" s="67" t="str">
        <f aca="false">IF(TRIM(E621)="","",UPPER(TRIM(E621)))</f>
        <v/>
      </c>
    </row>
    <row r="622" customFormat="false" ht="14.25" hidden="false" customHeight="true" outlineLevel="0" collapsed="false">
      <c r="C622" s="17" t="str">
        <f aca="false">IF(TRIM(B622)="","",IFERROR(INDEX('Code Aliases'!$B:$B,MATCH(TRIM(B622),'Code Aliases'!$A:$A,0)),TRIM(B622)))</f>
        <v/>
      </c>
      <c r="I622" s="67" t="str">
        <f aca="false">IF(TRIM(D622)="","",UPPER(TRIM(D622)))</f>
        <v/>
      </c>
      <c r="J622" s="67" t="str">
        <f aca="false">IF(TRIM(E622)="","",UPPER(TRIM(E622)))</f>
        <v/>
      </c>
    </row>
    <row r="623" customFormat="false" ht="14.25" hidden="false" customHeight="true" outlineLevel="0" collapsed="false">
      <c r="C623" s="17" t="str">
        <f aca="false">IF(TRIM(B623)="","",IFERROR(INDEX('Code Aliases'!$B:$B,MATCH(TRIM(B623),'Code Aliases'!$A:$A,0)),TRIM(B623)))</f>
        <v/>
      </c>
      <c r="I623" s="67" t="str">
        <f aca="false">IF(TRIM(D623)="","",UPPER(TRIM(D623)))</f>
        <v/>
      </c>
      <c r="J623" s="67" t="str">
        <f aca="false">IF(TRIM(E623)="","",UPPER(TRIM(E623)))</f>
        <v/>
      </c>
    </row>
    <row r="624" customFormat="false" ht="14.25" hidden="false" customHeight="true" outlineLevel="0" collapsed="false">
      <c r="C624" s="17" t="str">
        <f aca="false">IF(TRIM(B624)="","",IFERROR(INDEX('Code Aliases'!$B:$B,MATCH(TRIM(B624),'Code Aliases'!$A:$A,0)),TRIM(B624)))</f>
        <v/>
      </c>
      <c r="I624" s="67" t="str">
        <f aca="false">IF(TRIM(D624)="","",UPPER(TRIM(D624)))</f>
        <v/>
      </c>
      <c r="J624" s="67" t="str">
        <f aca="false">IF(TRIM(E624)="","",UPPER(TRIM(E624)))</f>
        <v/>
      </c>
    </row>
    <row r="625" customFormat="false" ht="14.25" hidden="false" customHeight="true" outlineLevel="0" collapsed="false">
      <c r="C625" s="17" t="str">
        <f aca="false">IF(TRIM(B625)="","",IFERROR(INDEX('Code Aliases'!$B:$B,MATCH(TRIM(B625),'Code Aliases'!$A:$A,0)),TRIM(B625)))</f>
        <v/>
      </c>
      <c r="I625" s="67" t="str">
        <f aca="false">IF(TRIM(D625)="","",UPPER(TRIM(D625)))</f>
        <v/>
      </c>
      <c r="J625" s="67" t="str">
        <f aca="false">IF(TRIM(E625)="","",UPPER(TRIM(E625)))</f>
        <v/>
      </c>
    </row>
    <row r="626" customFormat="false" ht="14.25" hidden="false" customHeight="true" outlineLevel="0" collapsed="false">
      <c r="C626" s="17" t="str">
        <f aca="false">IF(TRIM(B626)="","",IFERROR(INDEX('Code Aliases'!$B:$B,MATCH(TRIM(B626),'Code Aliases'!$A:$A,0)),TRIM(B626)))</f>
        <v/>
      </c>
      <c r="I626" s="67" t="str">
        <f aca="false">IF(TRIM(D626)="","",UPPER(TRIM(D626)))</f>
        <v/>
      </c>
      <c r="J626" s="67" t="str">
        <f aca="false">IF(TRIM(E626)="","",UPPER(TRIM(E626)))</f>
        <v/>
      </c>
    </row>
    <row r="627" customFormat="false" ht="14.25" hidden="false" customHeight="true" outlineLevel="0" collapsed="false">
      <c r="C627" s="17" t="str">
        <f aca="false">IF(TRIM(B627)="","",IFERROR(INDEX('Code Aliases'!$B:$B,MATCH(TRIM(B627),'Code Aliases'!$A:$A,0)),TRIM(B627)))</f>
        <v/>
      </c>
      <c r="I627" s="67" t="str">
        <f aca="false">IF(TRIM(D627)="","",UPPER(TRIM(D627)))</f>
        <v/>
      </c>
      <c r="J627" s="67" t="str">
        <f aca="false">IF(TRIM(E627)="","",UPPER(TRIM(E627)))</f>
        <v/>
      </c>
    </row>
    <row r="628" customFormat="false" ht="14.25" hidden="false" customHeight="true" outlineLevel="0" collapsed="false">
      <c r="C628" s="17" t="str">
        <f aca="false">IF(TRIM(B628)="","",IFERROR(INDEX('Code Aliases'!$B:$B,MATCH(TRIM(B628),'Code Aliases'!$A:$A,0)),TRIM(B628)))</f>
        <v/>
      </c>
      <c r="I628" s="67" t="str">
        <f aca="false">IF(TRIM(D628)="","",UPPER(TRIM(D628)))</f>
        <v/>
      </c>
      <c r="J628" s="67" t="str">
        <f aca="false">IF(TRIM(E628)="","",UPPER(TRIM(E628)))</f>
        <v/>
      </c>
    </row>
    <row r="629" customFormat="false" ht="14.25" hidden="false" customHeight="true" outlineLevel="0" collapsed="false">
      <c r="C629" s="17" t="str">
        <f aca="false">IF(TRIM(B629)="","",IFERROR(INDEX('Code Aliases'!$B:$B,MATCH(TRIM(B629),'Code Aliases'!$A:$A,0)),TRIM(B629)))</f>
        <v/>
      </c>
      <c r="I629" s="67" t="str">
        <f aca="false">IF(TRIM(D629)="","",UPPER(TRIM(D629)))</f>
        <v/>
      </c>
      <c r="J629" s="67" t="str">
        <f aca="false">IF(TRIM(E629)="","",UPPER(TRIM(E629)))</f>
        <v/>
      </c>
    </row>
    <row r="630" customFormat="false" ht="14.25" hidden="false" customHeight="true" outlineLevel="0" collapsed="false">
      <c r="C630" s="17" t="str">
        <f aca="false">IF(TRIM(B630)="","",IFERROR(INDEX('Code Aliases'!$B:$B,MATCH(TRIM(B630),'Code Aliases'!$A:$A,0)),TRIM(B630)))</f>
        <v/>
      </c>
      <c r="I630" s="67" t="str">
        <f aca="false">IF(TRIM(D630)="","",UPPER(TRIM(D630)))</f>
        <v/>
      </c>
      <c r="J630" s="67" t="str">
        <f aca="false">IF(TRIM(E630)="","",UPPER(TRIM(E630)))</f>
        <v/>
      </c>
    </row>
    <row r="631" customFormat="false" ht="14.25" hidden="false" customHeight="true" outlineLevel="0" collapsed="false">
      <c r="C631" s="17" t="str">
        <f aca="false">IF(TRIM(B631)="","",IFERROR(INDEX('Code Aliases'!$B:$B,MATCH(TRIM(B631),'Code Aliases'!$A:$A,0)),TRIM(B631)))</f>
        <v/>
      </c>
      <c r="I631" s="67" t="str">
        <f aca="false">IF(TRIM(D631)="","",UPPER(TRIM(D631)))</f>
        <v/>
      </c>
      <c r="J631" s="67" t="str">
        <f aca="false">IF(TRIM(E631)="","",UPPER(TRIM(E631)))</f>
        <v/>
      </c>
    </row>
    <row r="632" customFormat="false" ht="14.25" hidden="false" customHeight="true" outlineLevel="0" collapsed="false">
      <c r="C632" s="17" t="str">
        <f aca="false">IF(TRIM(B632)="","",IFERROR(INDEX('Code Aliases'!$B:$B,MATCH(TRIM(B632),'Code Aliases'!$A:$A,0)),TRIM(B632)))</f>
        <v/>
      </c>
      <c r="I632" s="67" t="str">
        <f aca="false">IF(TRIM(D632)="","",UPPER(TRIM(D632)))</f>
        <v/>
      </c>
      <c r="J632" s="67" t="str">
        <f aca="false">IF(TRIM(E632)="","",UPPER(TRIM(E632)))</f>
        <v/>
      </c>
    </row>
    <row r="633" customFormat="false" ht="14.25" hidden="false" customHeight="true" outlineLevel="0" collapsed="false">
      <c r="C633" s="17" t="str">
        <f aca="false">IF(TRIM(B633)="","",IFERROR(INDEX('Code Aliases'!$B:$B,MATCH(TRIM(B633),'Code Aliases'!$A:$A,0)),TRIM(B633)))</f>
        <v/>
      </c>
      <c r="I633" s="67" t="str">
        <f aca="false">IF(TRIM(D633)="","",UPPER(TRIM(D633)))</f>
        <v/>
      </c>
      <c r="J633" s="67" t="str">
        <f aca="false">IF(TRIM(E633)="","",UPPER(TRIM(E633)))</f>
        <v/>
      </c>
    </row>
    <row r="634" customFormat="false" ht="14.25" hidden="false" customHeight="true" outlineLevel="0" collapsed="false">
      <c r="C634" s="17" t="str">
        <f aca="false">IF(TRIM(B634)="","",IFERROR(INDEX('Code Aliases'!$B:$B,MATCH(TRIM(B634),'Code Aliases'!$A:$A,0)),TRIM(B634)))</f>
        <v/>
      </c>
      <c r="I634" s="67" t="str">
        <f aca="false">IF(TRIM(D634)="","",UPPER(TRIM(D634)))</f>
        <v/>
      </c>
      <c r="J634" s="67" t="str">
        <f aca="false">IF(TRIM(E634)="","",UPPER(TRIM(E634)))</f>
        <v/>
      </c>
    </row>
    <row r="635" customFormat="false" ht="14.25" hidden="false" customHeight="true" outlineLevel="0" collapsed="false">
      <c r="C635" s="17" t="str">
        <f aca="false">IF(TRIM(B635)="","",IFERROR(INDEX('Code Aliases'!$B:$B,MATCH(TRIM(B635),'Code Aliases'!$A:$A,0)),TRIM(B635)))</f>
        <v/>
      </c>
      <c r="I635" s="67" t="str">
        <f aca="false">IF(TRIM(D635)="","",UPPER(TRIM(D635)))</f>
        <v/>
      </c>
      <c r="J635" s="67" t="str">
        <f aca="false">IF(TRIM(E635)="","",UPPER(TRIM(E635)))</f>
        <v/>
      </c>
    </row>
    <row r="636" customFormat="false" ht="14.25" hidden="false" customHeight="true" outlineLevel="0" collapsed="false">
      <c r="C636" s="17" t="str">
        <f aca="false">IF(TRIM(B636)="","",IFERROR(INDEX('Code Aliases'!$B:$B,MATCH(TRIM(B636),'Code Aliases'!$A:$A,0)),TRIM(B636)))</f>
        <v/>
      </c>
      <c r="I636" s="67" t="str">
        <f aca="false">IF(TRIM(D636)="","",UPPER(TRIM(D636)))</f>
        <v/>
      </c>
      <c r="J636" s="67" t="str">
        <f aca="false">IF(TRIM(E636)="","",UPPER(TRIM(E636)))</f>
        <v/>
      </c>
    </row>
    <row r="637" customFormat="false" ht="14.25" hidden="false" customHeight="true" outlineLevel="0" collapsed="false">
      <c r="C637" s="17" t="str">
        <f aca="false">IF(TRIM(B637)="","",IFERROR(INDEX('Code Aliases'!$B:$B,MATCH(TRIM(B637),'Code Aliases'!$A:$A,0)),TRIM(B637)))</f>
        <v/>
      </c>
      <c r="I637" s="67" t="str">
        <f aca="false">IF(TRIM(D637)="","",UPPER(TRIM(D637)))</f>
        <v/>
      </c>
      <c r="J637" s="67" t="str">
        <f aca="false">IF(TRIM(E637)="","",UPPER(TRIM(E637)))</f>
        <v/>
      </c>
    </row>
    <row r="638" customFormat="false" ht="14.25" hidden="false" customHeight="true" outlineLevel="0" collapsed="false">
      <c r="C638" s="17" t="str">
        <f aca="false">IF(TRIM(B638)="","",IFERROR(INDEX('Code Aliases'!$B:$B,MATCH(TRIM(B638),'Code Aliases'!$A:$A,0)),TRIM(B638)))</f>
        <v/>
      </c>
      <c r="I638" s="67" t="str">
        <f aca="false">IF(TRIM(D638)="","",UPPER(TRIM(D638)))</f>
        <v/>
      </c>
      <c r="J638" s="67" t="str">
        <f aca="false">IF(TRIM(E638)="","",UPPER(TRIM(E638)))</f>
        <v/>
      </c>
    </row>
    <row r="639" customFormat="false" ht="14.25" hidden="false" customHeight="true" outlineLevel="0" collapsed="false">
      <c r="C639" s="17" t="str">
        <f aca="false">IF(TRIM(B639)="","",IFERROR(INDEX('Code Aliases'!$B:$B,MATCH(TRIM(B639),'Code Aliases'!$A:$A,0)),TRIM(B639)))</f>
        <v/>
      </c>
      <c r="I639" s="67" t="str">
        <f aca="false">IF(TRIM(D639)="","",UPPER(TRIM(D639)))</f>
        <v/>
      </c>
      <c r="J639" s="67" t="str">
        <f aca="false">IF(TRIM(E639)="","",UPPER(TRIM(E639)))</f>
        <v/>
      </c>
    </row>
    <row r="640" customFormat="false" ht="14.25" hidden="false" customHeight="true" outlineLevel="0" collapsed="false">
      <c r="C640" s="17" t="str">
        <f aca="false">IF(TRIM(B640)="","",IFERROR(INDEX('Code Aliases'!$B:$B,MATCH(TRIM(B640),'Code Aliases'!$A:$A,0)),TRIM(B640)))</f>
        <v/>
      </c>
      <c r="I640" s="67" t="str">
        <f aca="false">IF(TRIM(D640)="","",UPPER(TRIM(D640)))</f>
        <v/>
      </c>
      <c r="J640" s="67" t="str">
        <f aca="false">IF(TRIM(E640)="","",UPPER(TRIM(E640)))</f>
        <v/>
      </c>
    </row>
    <row r="641" customFormat="false" ht="14.25" hidden="false" customHeight="true" outlineLevel="0" collapsed="false">
      <c r="C641" s="17" t="str">
        <f aca="false">IF(TRIM(B641)="","",IFERROR(INDEX('Code Aliases'!$B:$B,MATCH(TRIM(B641),'Code Aliases'!$A:$A,0)),TRIM(B641)))</f>
        <v/>
      </c>
      <c r="I641" s="67" t="str">
        <f aca="false">IF(TRIM(D641)="","",UPPER(TRIM(D641)))</f>
        <v/>
      </c>
      <c r="J641" s="67" t="str">
        <f aca="false">IF(TRIM(E641)="","",UPPER(TRIM(E641)))</f>
        <v/>
      </c>
    </row>
    <row r="642" customFormat="false" ht="14.25" hidden="false" customHeight="true" outlineLevel="0" collapsed="false">
      <c r="C642" s="17" t="str">
        <f aca="false">IF(TRIM(B642)="","",IFERROR(INDEX('Code Aliases'!$B:$B,MATCH(TRIM(B642),'Code Aliases'!$A:$A,0)),TRIM(B642)))</f>
        <v/>
      </c>
      <c r="I642" s="67" t="str">
        <f aca="false">IF(TRIM(D642)="","",UPPER(TRIM(D642)))</f>
        <v/>
      </c>
      <c r="J642" s="67" t="str">
        <f aca="false">IF(TRIM(E642)="","",UPPER(TRIM(E642)))</f>
        <v/>
      </c>
    </row>
    <row r="643" customFormat="false" ht="14.25" hidden="false" customHeight="true" outlineLevel="0" collapsed="false">
      <c r="C643" s="17" t="str">
        <f aca="false">IF(TRIM(B643)="","",IFERROR(INDEX('Code Aliases'!$B:$B,MATCH(TRIM(B643),'Code Aliases'!$A:$A,0)),TRIM(B643)))</f>
        <v/>
      </c>
      <c r="I643" s="67" t="str">
        <f aca="false">IF(TRIM(D643)="","",UPPER(TRIM(D643)))</f>
        <v/>
      </c>
      <c r="J643" s="67" t="str">
        <f aca="false">IF(TRIM(E643)="","",UPPER(TRIM(E643)))</f>
        <v/>
      </c>
    </row>
    <row r="644" customFormat="false" ht="14.25" hidden="false" customHeight="true" outlineLevel="0" collapsed="false">
      <c r="C644" s="17" t="str">
        <f aca="false">IF(TRIM(B644)="","",IFERROR(INDEX('Code Aliases'!$B:$B,MATCH(TRIM(B644),'Code Aliases'!$A:$A,0)),TRIM(B644)))</f>
        <v/>
      </c>
      <c r="I644" s="67" t="str">
        <f aca="false">IF(TRIM(D644)="","",UPPER(TRIM(D644)))</f>
        <v/>
      </c>
      <c r="J644" s="67" t="str">
        <f aca="false">IF(TRIM(E644)="","",UPPER(TRIM(E644)))</f>
        <v/>
      </c>
    </row>
    <row r="645" customFormat="false" ht="14.25" hidden="false" customHeight="true" outlineLevel="0" collapsed="false">
      <c r="C645" s="17" t="str">
        <f aca="false">IF(TRIM(B645)="","",IFERROR(INDEX('Code Aliases'!$B:$B,MATCH(TRIM(B645),'Code Aliases'!$A:$A,0)),TRIM(B645)))</f>
        <v/>
      </c>
      <c r="I645" s="67" t="str">
        <f aca="false">IF(TRIM(D645)="","",UPPER(TRIM(D645)))</f>
        <v/>
      </c>
      <c r="J645" s="67" t="str">
        <f aca="false">IF(TRIM(E645)="","",UPPER(TRIM(E645)))</f>
        <v/>
      </c>
    </row>
    <row r="646" customFormat="false" ht="14.25" hidden="false" customHeight="true" outlineLevel="0" collapsed="false">
      <c r="C646" s="17" t="str">
        <f aca="false">IF(TRIM(B646)="","",IFERROR(INDEX('Code Aliases'!$B:$B,MATCH(TRIM(B646),'Code Aliases'!$A:$A,0)),TRIM(B646)))</f>
        <v/>
      </c>
      <c r="I646" s="67" t="str">
        <f aca="false">IF(TRIM(D646)="","",UPPER(TRIM(D646)))</f>
        <v/>
      </c>
      <c r="J646" s="67" t="str">
        <f aca="false">IF(TRIM(E646)="","",UPPER(TRIM(E646)))</f>
        <v/>
      </c>
    </row>
    <row r="647" customFormat="false" ht="14.25" hidden="false" customHeight="true" outlineLevel="0" collapsed="false">
      <c r="C647" s="17" t="str">
        <f aca="false">IF(TRIM(B647)="","",IFERROR(INDEX('Code Aliases'!$B:$B,MATCH(TRIM(B647),'Code Aliases'!$A:$A,0)),TRIM(B647)))</f>
        <v/>
      </c>
      <c r="I647" s="67" t="str">
        <f aca="false">IF(TRIM(D647)="","",UPPER(TRIM(D647)))</f>
        <v/>
      </c>
      <c r="J647" s="67" t="str">
        <f aca="false">IF(TRIM(E647)="","",UPPER(TRIM(E647)))</f>
        <v/>
      </c>
    </row>
    <row r="648" customFormat="false" ht="14.25" hidden="false" customHeight="true" outlineLevel="0" collapsed="false">
      <c r="C648" s="17" t="str">
        <f aca="false">IF(TRIM(B648)="","",IFERROR(INDEX('Code Aliases'!$B:$B,MATCH(TRIM(B648),'Code Aliases'!$A:$A,0)),TRIM(B648)))</f>
        <v/>
      </c>
      <c r="I648" s="67" t="str">
        <f aca="false">IF(TRIM(D648)="","",UPPER(TRIM(D648)))</f>
        <v/>
      </c>
      <c r="J648" s="67" t="str">
        <f aca="false">IF(TRIM(E648)="","",UPPER(TRIM(E648)))</f>
        <v/>
      </c>
    </row>
    <row r="649" customFormat="false" ht="14.25" hidden="false" customHeight="true" outlineLevel="0" collapsed="false">
      <c r="C649" s="17" t="str">
        <f aca="false">IF(TRIM(B649)="","",IFERROR(INDEX('Code Aliases'!$B:$B,MATCH(TRIM(B649),'Code Aliases'!$A:$A,0)),TRIM(B649)))</f>
        <v/>
      </c>
      <c r="I649" s="67" t="str">
        <f aca="false">IF(TRIM(D649)="","",UPPER(TRIM(D649)))</f>
        <v/>
      </c>
      <c r="J649" s="67" t="str">
        <f aca="false">IF(TRIM(E649)="","",UPPER(TRIM(E649)))</f>
        <v/>
      </c>
    </row>
    <row r="650" customFormat="false" ht="14.25" hidden="false" customHeight="true" outlineLevel="0" collapsed="false">
      <c r="C650" s="17" t="str">
        <f aca="false">IF(TRIM(B650)="","",IFERROR(INDEX('Code Aliases'!$B:$B,MATCH(TRIM(B650),'Code Aliases'!$A:$A,0)),TRIM(B650)))</f>
        <v/>
      </c>
      <c r="I650" s="67" t="str">
        <f aca="false">IF(TRIM(D650)="","",UPPER(TRIM(D650)))</f>
        <v/>
      </c>
      <c r="J650" s="67" t="str">
        <f aca="false">IF(TRIM(E650)="","",UPPER(TRIM(E650)))</f>
        <v/>
      </c>
    </row>
    <row r="651" customFormat="false" ht="14.25" hidden="false" customHeight="true" outlineLevel="0" collapsed="false">
      <c r="C651" s="17" t="str">
        <f aca="false">IF(TRIM(B651)="","",IFERROR(INDEX('Code Aliases'!$B:$B,MATCH(TRIM(B651),'Code Aliases'!$A:$A,0)),TRIM(B651)))</f>
        <v/>
      </c>
      <c r="I651" s="67" t="str">
        <f aca="false">IF(TRIM(D651)="","",UPPER(TRIM(D651)))</f>
        <v/>
      </c>
      <c r="J651" s="67" t="str">
        <f aca="false">IF(TRIM(E651)="","",UPPER(TRIM(E651)))</f>
        <v/>
      </c>
    </row>
    <row r="652" customFormat="false" ht="14.25" hidden="false" customHeight="true" outlineLevel="0" collapsed="false">
      <c r="C652" s="17" t="str">
        <f aca="false">IF(TRIM(B652)="","",IFERROR(INDEX('Code Aliases'!$B:$B,MATCH(TRIM(B652),'Code Aliases'!$A:$A,0)),TRIM(B652)))</f>
        <v/>
      </c>
      <c r="I652" s="67" t="str">
        <f aca="false">IF(TRIM(D652)="","",UPPER(TRIM(D652)))</f>
        <v/>
      </c>
      <c r="J652" s="67" t="str">
        <f aca="false">IF(TRIM(E652)="","",UPPER(TRIM(E652)))</f>
        <v/>
      </c>
    </row>
    <row r="653" customFormat="false" ht="14.25" hidden="false" customHeight="true" outlineLevel="0" collapsed="false">
      <c r="C653" s="17" t="str">
        <f aca="false">IF(TRIM(B653)="","",IFERROR(INDEX('Code Aliases'!$B:$B,MATCH(TRIM(B653),'Code Aliases'!$A:$A,0)),TRIM(B653)))</f>
        <v/>
      </c>
      <c r="I653" s="67" t="str">
        <f aca="false">IF(TRIM(D653)="","",UPPER(TRIM(D653)))</f>
        <v/>
      </c>
      <c r="J653" s="67" t="str">
        <f aca="false">IF(TRIM(E653)="","",UPPER(TRIM(E653)))</f>
        <v/>
      </c>
    </row>
    <row r="654" customFormat="false" ht="14.25" hidden="false" customHeight="true" outlineLevel="0" collapsed="false">
      <c r="C654" s="17" t="str">
        <f aca="false">IF(TRIM(B654)="","",IFERROR(INDEX('Code Aliases'!$B:$B,MATCH(TRIM(B654),'Code Aliases'!$A:$A,0)),TRIM(B654)))</f>
        <v/>
      </c>
      <c r="I654" s="67" t="str">
        <f aca="false">IF(TRIM(D654)="","",UPPER(TRIM(D654)))</f>
        <v/>
      </c>
      <c r="J654" s="67" t="str">
        <f aca="false">IF(TRIM(E654)="","",UPPER(TRIM(E654)))</f>
        <v/>
      </c>
    </row>
    <row r="655" customFormat="false" ht="14.25" hidden="false" customHeight="true" outlineLevel="0" collapsed="false">
      <c r="C655" s="17" t="str">
        <f aca="false">IF(TRIM(B655)="","",IFERROR(INDEX('Code Aliases'!$B:$B,MATCH(TRIM(B655),'Code Aliases'!$A:$A,0)),TRIM(B655)))</f>
        <v/>
      </c>
      <c r="I655" s="67" t="str">
        <f aca="false">IF(TRIM(D655)="","",UPPER(TRIM(D655)))</f>
        <v/>
      </c>
      <c r="J655" s="67" t="str">
        <f aca="false">IF(TRIM(E655)="","",UPPER(TRIM(E655)))</f>
        <v/>
      </c>
    </row>
    <row r="656" customFormat="false" ht="14.25" hidden="false" customHeight="true" outlineLevel="0" collapsed="false">
      <c r="C656" s="17" t="str">
        <f aca="false">IF(TRIM(B656)="","",IFERROR(INDEX('Code Aliases'!$B:$B,MATCH(TRIM(B656),'Code Aliases'!$A:$A,0)),TRIM(B656)))</f>
        <v/>
      </c>
      <c r="I656" s="67" t="str">
        <f aca="false">IF(TRIM(D656)="","",UPPER(TRIM(D656)))</f>
        <v/>
      </c>
      <c r="J656" s="67" t="str">
        <f aca="false">IF(TRIM(E656)="","",UPPER(TRIM(E656)))</f>
        <v/>
      </c>
    </row>
    <row r="657" customFormat="false" ht="14.25" hidden="false" customHeight="true" outlineLevel="0" collapsed="false">
      <c r="C657" s="17" t="str">
        <f aca="false">IF(TRIM(B657)="","",IFERROR(INDEX('Code Aliases'!$B:$B,MATCH(TRIM(B657),'Code Aliases'!$A:$A,0)),TRIM(B657)))</f>
        <v/>
      </c>
      <c r="I657" s="67" t="str">
        <f aca="false">IF(TRIM(D657)="","",UPPER(TRIM(D657)))</f>
        <v/>
      </c>
      <c r="J657" s="67" t="str">
        <f aca="false">IF(TRIM(E657)="","",UPPER(TRIM(E657)))</f>
        <v/>
      </c>
    </row>
    <row r="658" customFormat="false" ht="14.25" hidden="false" customHeight="true" outlineLevel="0" collapsed="false">
      <c r="C658" s="17" t="str">
        <f aca="false">IF(TRIM(B658)="","",IFERROR(INDEX('Code Aliases'!$B:$B,MATCH(TRIM(B658),'Code Aliases'!$A:$A,0)),TRIM(B658)))</f>
        <v/>
      </c>
      <c r="I658" s="67" t="str">
        <f aca="false">IF(TRIM(D658)="","",UPPER(TRIM(D658)))</f>
        <v/>
      </c>
      <c r="J658" s="67" t="str">
        <f aca="false">IF(TRIM(E658)="","",UPPER(TRIM(E658)))</f>
        <v/>
      </c>
    </row>
    <row r="659" customFormat="false" ht="14.25" hidden="false" customHeight="true" outlineLevel="0" collapsed="false">
      <c r="C659" s="17" t="str">
        <f aca="false">IF(TRIM(B659)="","",IFERROR(INDEX('Code Aliases'!$B:$B,MATCH(TRIM(B659),'Code Aliases'!$A:$A,0)),TRIM(B659)))</f>
        <v/>
      </c>
      <c r="I659" s="67" t="str">
        <f aca="false">IF(TRIM(D659)="","",UPPER(TRIM(D659)))</f>
        <v/>
      </c>
      <c r="J659" s="67" t="str">
        <f aca="false">IF(TRIM(E659)="","",UPPER(TRIM(E659)))</f>
        <v/>
      </c>
    </row>
    <row r="660" customFormat="false" ht="14.25" hidden="false" customHeight="true" outlineLevel="0" collapsed="false">
      <c r="C660" s="17" t="str">
        <f aca="false">IF(TRIM(B660)="","",IFERROR(INDEX('Code Aliases'!$B:$B,MATCH(TRIM(B660),'Code Aliases'!$A:$A,0)),TRIM(B660)))</f>
        <v/>
      </c>
      <c r="I660" s="67" t="str">
        <f aca="false">IF(TRIM(D660)="","",UPPER(TRIM(D660)))</f>
        <v/>
      </c>
      <c r="J660" s="67" t="str">
        <f aca="false">IF(TRIM(E660)="","",UPPER(TRIM(E660)))</f>
        <v/>
      </c>
    </row>
    <row r="661" customFormat="false" ht="14.25" hidden="false" customHeight="true" outlineLevel="0" collapsed="false">
      <c r="C661" s="17" t="str">
        <f aca="false">IF(TRIM(B661)="","",IFERROR(INDEX('Code Aliases'!$B:$B,MATCH(TRIM(B661),'Code Aliases'!$A:$A,0)),TRIM(B661)))</f>
        <v/>
      </c>
      <c r="I661" s="67" t="str">
        <f aca="false">IF(TRIM(D661)="","",UPPER(TRIM(D661)))</f>
        <v/>
      </c>
      <c r="J661" s="67" t="str">
        <f aca="false">IF(TRIM(E661)="","",UPPER(TRIM(E661)))</f>
        <v/>
      </c>
    </row>
    <row r="662" customFormat="false" ht="14.25" hidden="false" customHeight="true" outlineLevel="0" collapsed="false">
      <c r="C662" s="17" t="str">
        <f aca="false">IF(TRIM(B662)="","",IFERROR(INDEX('Code Aliases'!$B:$B,MATCH(TRIM(B662),'Code Aliases'!$A:$A,0)),TRIM(B662)))</f>
        <v/>
      </c>
      <c r="I662" s="67" t="str">
        <f aca="false">IF(TRIM(D662)="","",UPPER(TRIM(D662)))</f>
        <v/>
      </c>
      <c r="J662" s="67" t="str">
        <f aca="false">IF(TRIM(E662)="","",UPPER(TRIM(E662)))</f>
        <v/>
      </c>
    </row>
    <row r="663" customFormat="false" ht="14.25" hidden="false" customHeight="true" outlineLevel="0" collapsed="false">
      <c r="C663" s="17" t="str">
        <f aca="false">IF(TRIM(B663)="","",IFERROR(INDEX('Code Aliases'!$B:$B,MATCH(TRIM(B663),'Code Aliases'!$A:$A,0)),TRIM(B663)))</f>
        <v/>
      </c>
      <c r="I663" s="67" t="str">
        <f aca="false">IF(TRIM(D663)="","",UPPER(TRIM(D663)))</f>
        <v/>
      </c>
      <c r="J663" s="67" t="str">
        <f aca="false">IF(TRIM(E663)="","",UPPER(TRIM(E663)))</f>
        <v/>
      </c>
    </row>
    <row r="664" customFormat="false" ht="14.25" hidden="false" customHeight="true" outlineLevel="0" collapsed="false">
      <c r="C664" s="17" t="str">
        <f aca="false">IF(TRIM(B664)="","",IFERROR(INDEX('Code Aliases'!$B:$B,MATCH(TRIM(B664),'Code Aliases'!$A:$A,0)),TRIM(B664)))</f>
        <v/>
      </c>
      <c r="I664" s="67" t="str">
        <f aca="false">IF(TRIM(D664)="","",UPPER(TRIM(D664)))</f>
        <v/>
      </c>
      <c r="J664" s="67" t="str">
        <f aca="false">IF(TRIM(E664)="","",UPPER(TRIM(E664)))</f>
        <v/>
      </c>
    </row>
    <row r="665" customFormat="false" ht="14.25" hidden="false" customHeight="true" outlineLevel="0" collapsed="false">
      <c r="C665" s="17" t="str">
        <f aca="false">IF(TRIM(B665)="","",IFERROR(INDEX('Code Aliases'!$B:$B,MATCH(TRIM(B665),'Code Aliases'!$A:$A,0)),TRIM(B665)))</f>
        <v/>
      </c>
      <c r="I665" s="67" t="str">
        <f aca="false">IF(TRIM(D665)="","",UPPER(TRIM(D665)))</f>
        <v/>
      </c>
      <c r="J665" s="67" t="str">
        <f aca="false">IF(TRIM(E665)="","",UPPER(TRIM(E665)))</f>
        <v/>
      </c>
    </row>
    <row r="666" customFormat="false" ht="14.25" hidden="false" customHeight="true" outlineLevel="0" collapsed="false">
      <c r="C666" s="17" t="str">
        <f aca="false">IF(TRIM(B666)="","",IFERROR(INDEX('Code Aliases'!$B:$B,MATCH(TRIM(B666),'Code Aliases'!$A:$A,0)),TRIM(B666)))</f>
        <v/>
      </c>
      <c r="I666" s="67" t="str">
        <f aca="false">IF(TRIM(D666)="","",UPPER(TRIM(D666)))</f>
        <v/>
      </c>
      <c r="J666" s="67" t="str">
        <f aca="false">IF(TRIM(E666)="","",UPPER(TRIM(E666)))</f>
        <v/>
      </c>
    </row>
    <row r="667" customFormat="false" ht="14.25" hidden="false" customHeight="true" outlineLevel="0" collapsed="false">
      <c r="C667" s="17" t="str">
        <f aca="false">IF(TRIM(B667)="","",IFERROR(INDEX('Code Aliases'!$B:$B,MATCH(TRIM(B667),'Code Aliases'!$A:$A,0)),TRIM(B667)))</f>
        <v/>
      </c>
      <c r="I667" s="67" t="str">
        <f aca="false">IF(TRIM(D667)="","",UPPER(TRIM(D667)))</f>
        <v/>
      </c>
      <c r="J667" s="67" t="str">
        <f aca="false">IF(TRIM(E667)="","",UPPER(TRIM(E667)))</f>
        <v/>
      </c>
    </row>
    <row r="668" customFormat="false" ht="14.25" hidden="false" customHeight="true" outlineLevel="0" collapsed="false">
      <c r="C668" s="17" t="str">
        <f aca="false">IF(TRIM(B668)="","",IFERROR(INDEX('Code Aliases'!$B:$B,MATCH(TRIM(B668),'Code Aliases'!$A:$A,0)),TRIM(B668)))</f>
        <v/>
      </c>
      <c r="I668" s="67" t="str">
        <f aca="false">IF(TRIM(D668)="","",UPPER(TRIM(D668)))</f>
        <v/>
      </c>
      <c r="J668" s="67" t="str">
        <f aca="false">IF(TRIM(E668)="","",UPPER(TRIM(E668)))</f>
        <v/>
      </c>
    </row>
    <row r="669" customFormat="false" ht="14.25" hidden="false" customHeight="true" outlineLevel="0" collapsed="false">
      <c r="C669" s="17" t="str">
        <f aca="false">IF(TRIM(B669)="","",IFERROR(INDEX('Code Aliases'!$B:$B,MATCH(TRIM(B669),'Code Aliases'!$A:$A,0)),TRIM(B669)))</f>
        <v/>
      </c>
      <c r="I669" s="67" t="str">
        <f aca="false">IF(TRIM(D669)="","",UPPER(TRIM(D669)))</f>
        <v/>
      </c>
      <c r="J669" s="67" t="str">
        <f aca="false">IF(TRIM(E669)="","",UPPER(TRIM(E669)))</f>
        <v/>
      </c>
    </row>
    <row r="670" customFormat="false" ht="14.25" hidden="false" customHeight="true" outlineLevel="0" collapsed="false">
      <c r="C670" s="17" t="str">
        <f aca="false">IF(TRIM(B670)="","",IFERROR(INDEX('Code Aliases'!$B:$B,MATCH(TRIM(B670),'Code Aliases'!$A:$A,0)),TRIM(B670)))</f>
        <v/>
      </c>
      <c r="I670" s="67" t="str">
        <f aca="false">IF(TRIM(D670)="","",UPPER(TRIM(D670)))</f>
        <v/>
      </c>
      <c r="J670" s="67" t="str">
        <f aca="false">IF(TRIM(E670)="","",UPPER(TRIM(E670)))</f>
        <v/>
      </c>
    </row>
    <row r="671" customFormat="false" ht="14.25" hidden="false" customHeight="true" outlineLevel="0" collapsed="false">
      <c r="C671" s="17" t="str">
        <f aca="false">IF(TRIM(B671)="","",IFERROR(INDEX('Code Aliases'!$B:$B,MATCH(TRIM(B671),'Code Aliases'!$A:$A,0)),TRIM(B671)))</f>
        <v/>
      </c>
      <c r="I671" s="67" t="str">
        <f aca="false">IF(TRIM(D671)="","",UPPER(TRIM(D671)))</f>
        <v/>
      </c>
      <c r="J671" s="67" t="str">
        <f aca="false">IF(TRIM(E671)="","",UPPER(TRIM(E671)))</f>
        <v/>
      </c>
    </row>
    <row r="672" customFormat="false" ht="14.25" hidden="false" customHeight="true" outlineLevel="0" collapsed="false">
      <c r="C672" s="17" t="str">
        <f aca="false">IF(TRIM(B672)="","",IFERROR(INDEX('Code Aliases'!$B:$B,MATCH(TRIM(B672),'Code Aliases'!$A:$A,0)),TRIM(B672)))</f>
        <v/>
      </c>
      <c r="I672" s="67" t="str">
        <f aca="false">IF(TRIM(D672)="","",UPPER(TRIM(D672)))</f>
        <v/>
      </c>
      <c r="J672" s="67" t="str">
        <f aca="false">IF(TRIM(E672)="","",UPPER(TRIM(E672)))</f>
        <v/>
      </c>
    </row>
    <row r="673" customFormat="false" ht="14.25" hidden="false" customHeight="true" outlineLevel="0" collapsed="false">
      <c r="C673" s="17" t="str">
        <f aca="false">IF(TRIM(B673)="","",IFERROR(INDEX('Code Aliases'!$B:$B,MATCH(TRIM(B673),'Code Aliases'!$A:$A,0)),TRIM(B673)))</f>
        <v/>
      </c>
      <c r="I673" s="67" t="str">
        <f aca="false">IF(TRIM(D673)="","",UPPER(TRIM(D673)))</f>
        <v/>
      </c>
      <c r="J673" s="67" t="str">
        <f aca="false">IF(TRIM(E673)="","",UPPER(TRIM(E673)))</f>
        <v/>
      </c>
    </row>
    <row r="674" customFormat="false" ht="14.25" hidden="false" customHeight="true" outlineLevel="0" collapsed="false">
      <c r="C674" s="17" t="str">
        <f aca="false">IF(TRIM(B674)="","",IFERROR(INDEX('Code Aliases'!$B:$B,MATCH(TRIM(B674),'Code Aliases'!$A:$A,0)),TRIM(B674)))</f>
        <v/>
      </c>
      <c r="I674" s="67" t="str">
        <f aca="false">IF(TRIM(D674)="","",UPPER(TRIM(D674)))</f>
        <v/>
      </c>
      <c r="J674" s="67" t="str">
        <f aca="false">IF(TRIM(E674)="","",UPPER(TRIM(E674)))</f>
        <v/>
      </c>
    </row>
    <row r="675" customFormat="false" ht="14.25" hidden="false" customHeight="true" outlineLevel="0" collapsed="false">
      <c r="C675" s="17" t="str">
        <f aca="false">IF(TRIM(B675)="","",IFERROR(INDEX('Code Aliases'!$B:$B,MATCH(TRIM(B675),'Code Aliases'!$A:$A,0)),TRIM(B675)))</f>
        <v/>
      </c>
      <c r="I675" s="67" t="str">
        <f aca="false">IF(TRIM(D675)="","",UPPER(TRIM(D675)))</f>
        <v/>
      </c>
      <c r="J675" s="67" t="str">
        <f aca="false">IF(TRIM(E675)="","",UPPER(TRIM(E675)))</f>
        <v/>
      </c>
    </row>
    <row r="676" customFormat="false" ht="14.25" hidden="false" customHeight="true" outlineLevel="0" collapsed="false">
      <c r="C676" s="17" t="str">
        <f aca="false">IF(TRIM(B676)="","",IFERROR(INDEX('Code Aliases'!$B:$B,MATCH(TRIM(B676),'Code Aliases'!$A:$A,0)),TRIM(B676)))</f>
        <v/>
      </c>
      <c r="I676" s="67" t="str">
        <f aca="false">IF(TRIM(D676)="","",UPPER(TRIM(D676)))</f>
        <v/>
      </c>
      <c r="J676" s="67" t="str">
        <f aca="false">IF(TRIM(E676)="","",UPPER(TRIM(E676)))</f>
        <v/>
      </c>
    </row>
    <row r="677" customFormat="false" ht="14.25" hidden="false" customHeight="true" outlineLevel="0" collapsed="false">
      <c r="C677" s="17" t="str">
        <f aca="false">IF(TRIM(B677)="","",IFERROR(INDEX('Code Aliases'!$B:$B,MATCH(TRIM(B677),'Code Aliases'!$A:$A,0)),TRIM(B677)))</f>
        <v/>
      </c>
      <c r="I677" s="67" t="str">
        <f aca="false">IF(TRIM(D677)="","",UPPER(TRIM(D677)))</f>
        <v/>
      </c>
      <c r="J677" s="67" t="str">
        <f aca="false">IF(TRIM(E677)="","",UPPER(TRIM(E677)))</f>
        <v/>
      </c>
    </row>
    <row r="678" customFormat="false" ht="14.25" hidden="false" customHeight="true" outlineLevel="0" collapsed="false">
      <c r="C678" s="17" t="str">
        <f aca="false">IF(TRIM(B678)="","",IFERROR(INDEX('Code Aliases'!$B:$B,MATCH(TRIM(B678),'Code Aliases'!$A:$A,0)),TRIM(B678)))</f>
        <v/>
      </c>
      <c r="I678" s="67" t="str">
        <f aca="false">IF(TRIM(D678)="","",UPPER(TRIM(D678)))</f>
        <v/>
      </c>
      <c r="J678" s="67" t="str">
        <f aca="false">IF(TRIM(E678)="","",UPPER(TRIM(E678)))</f>
        <v/>
      </c>
    </row>
    <row r="679" customFormat="false" ht="14.25" hidden="false" customHeight="true" outlineLevel="0" collapsed="false">
      <c r="C679" s="17" t="str">
        <f aca="false">IF(TRIM(B679)="","",IFERROR(INDEX('Code Aliases'!$B:$B,MATCH(TRIM(B679),'Code Aliases'!$A:$A,0)),TRIM(B679)))</f>
        <v/>
      </c>
      <c r="I679" s="67" t="str">
        <f aca="false">IF(TRIM(D679)="","",UPPER(TRIM(D679)))</f>
        <v/>
      </c>
      <c r="J679" s="67" t="str">
        <f aca="false">IF(TRIM(E679)="","",UPPER(TRIM(E679)))</f>
        <v/>
      </c>
    </row>
    <row r="680" customFormat="false" ht="14.25" hidden="false" customHeight="true" outlineLevel="0" collapsed="false">
      <c r="C680" s="17" t="str">
        <f aca="false">IF(TRIM(B680)="","",IFERROR(INDEX('Code Aliases'!$B:$B,MATCH(TRIM(B680),'Code Aliases'!$A:$A,0)),TRIM(B680)))</f>
        <v/>
      </c>
      <c r="I680" s="67" t="str">
        <f aca="false">IF(TRIM(D680)="","",UPPER(TRIM(D680)))</f>
        <v/>
      </c>
      <c r="J680" s="67" t="str">
        <f aca="false">IF(TRIM(E680)="","",UPPER(TRIM(E680)))</f>
        <v/>
      </c>
    </row>
    <row r="681" customFormat="false" ht="14.25" hidden="false" customHeight="true" outlineLevel="0" collapsed="false">
      <c r="C681" s="17" t="str">
        <f aca="false">IF(TRIM(B681)="","",IFERROR(INDEX('Code Aliases'!$B:$B,MATCH(TRIM(B681),'Code Aliases'!$A:$A,0)),TRIM(B681)))</f>
        <v/>
      </c>
      <c r="I681" s="67" t="str">
        <f aca="false">IF(TRIM(D681)="","",UPPER(TRIM(D681)))</f>
        <v/>
      </c>
      <c r="J681" s="67" t="str">
        <f aca="false">IF(TRIM(E681)="","",UPPER(TRIM(E681)))</f>
        <v/>
      </c>
    </row>
    <row r="682" customFormat="false" ht="14.25" hidden="false" customHeight="true" outlineLevel="0" collapsed="false">
      <c r="C682" s="17" t="str">
        <f aca="false">IF(TRIM(B682)="","",IFERROR(INDEX('Code Aliases'!$B:$B,MATCH(TRIM(B682),'Code Aliases'!$A:$A,0)),TRIM(B682)))</f>
        <v/>
      </c>
      <c r="I682" s="67" t="str">
        <f aca="false">IF(TRIM(D682)="","",UPPER(TRIM(D682)))</f>
        <v/>
      </c>
      <c r="J682" s="67" t="str">
        <f aca="false">IF(TRIM(E682)="","",UPPER(TRIM(E682)))</f>
        <v/>
      </c>
    </row>
    <row r="683" customFormat="false" ht="14.25" hidden="false" customHeight="true" outlineLevel="0" collapsed="false">
      <c r="C683" s="17" t="str">
        <f aca="false">IF(TRIM(B683)="","",IFERROR(INDEX('Code Aliases'!$B:$B,MATCH(TRIM(B683),'Code Aliases'!$A:$A,0)),TRIM(B683)))</f>
        <v/>
      </c>
      <c r="I683" s="67" t="str">
        <f aca="false">IF(TRIM(D683)="","",UPPER(TRIM(D683)))</f>
        <v/>
      </c>
      <c r="J683" s="67" t="str">
        <f aca="false">IF(TRIM(E683)="","",UPPER(TRIM(E683)))</f>
        <v/>
      </c>
    </row>
    <row r="684" customFormat="false" ht="14.25" hidden="false" customHeight="true" outlineLevel="0" collapsed="false">
      <c r="C684" s="17" t="str">
        <f aca="false">IF(TRIM(B684)="","",IFERROR(INDEX('Code Aliases'!$B:$B,MATCH(TRIM(B684),'Code Aliases'!$A:$A,0)),TRIM(B684)))</f>
        <v/>
      </c>
      <c r="I684" s="67" t="str">
        <f aca="false">IF(TRIM(D684)="","",UPPER(TRIM(D684)))</f>
        <v/>
      </c>
      <c r="J684" s="67" t="str">
        <f aca="false">IF(TRIM(E684)="","",UPPER(TRIM(E684)))</f>
        <v/>
      </c>
    </row>
    <row r="685" customFormat="false" ht="14.25" hidden="false" customHeight="true" outlineLevel="0" collapsed="false">
      <c r="C685" s="17" t="str">
        <f aca="false">IF(TRIM(B685)="","",IFERROR(INDEX('Code Aliases'!$B:$B,MATCH(TRIM(B685),'Code Aliases'!$A:$A,0)),TRIM(B685)))</f>
        <v/>
      </c>
      <c r="I685" s="67" t="str">
        <f aca="false">IF(TRIM(D685)="","",UPPER(TRIM(D685)))</f>
        <v/>
      </c>
      <c r="J685" s="67" t="str">
        <f aca="false">IF(TRIM(E685)="","",UPPER(TRIM(E685)))</f>
        <v/>
      </c>
    </row>
    <row r="686" customFormat="false" ht="14.25" hidden="false" customHeight="true" outlineLevel="0" collapsed="false">
      <c r="C686" s="17" t="str">
        <f aca="false">IF(TRIM(B686)="","",IFERROR(INDEX('Code Aliases'!$B:$B,MATCH(TRIM(B686),'Code Aliases'!$A:$A,0)),TRIM(B686)))</f>
        <v/>
      </c>
      <c r="I686" s="67" t="str">
        <f aca="false">IF(TRIM(D686)="","",UPPER(TRIM(D686)))</f>
        <v/>
      </c>
      <c r="J686" s="67" t="str">
        <f aca="false">IF(TRIM(E686)="","",UPPER(TRIM(E686)))</f>
        <v/>
      </c>
    </row>
    <row r="687" customFormat="false" ht="14.25" hidden="false" customHeight="true" outlineLevel="0" collapsed="false">
      <c r="C687" s="17" t="str">
        <f aca="false">IF(TRIM(B687)="","",IFERROR(INDEX('Code Aliases'!$B:$B,MATCH(TRIM(B687),'Code Aliases'!$A:$A,0)),TRIM(B687)))</f>
        <v/>
      </c>
      <c r="I687" s="67" t="str">
        <f aca="false">IF(TRIM(D687)="","",UPPER(TRIM(D687)))</f>
        <v/>
      </c>
      <c r="J687" s="67" t="str">
        <f aca="false">IF(TRIM(E687)="","",UPPER(TRIM(E687)))</f>
        <v/>
      </c>
    </row>
    <row r="688" customFormat="false" ht="14.25" hidden="false" customHeight="true" outlineLevel="0" collapsed="false">
      <c r="C688" s="17" t="str">
        <f aca="false">IF(TRIM(B688)="","",IFERROR(INDEX('Code Aliases'!$B:$B,MATCH(TRIM(B688),'Code Aliases'!$A:$A,0)),TRIM(B688)))</f>
        <v/>
      </c>
      <c r="I688" s="67" t="str">
        <f aca="false">IF(TRIM(D688)="","",UPPER(TRIM(D688)))</f>
        <v/>
      </c>
      <c r="J688" s="67" t="str">
        <f aca="false">IF(TRIM(E688)="","",UPPER(TRIM(E688)))</f>
        <v/>
      </c>
    </row>
    <row r="689" customFormat="false" ht="14.25" hidden="false" customHeight="true" outlineLevel="0" collapsed="false">
      <c r="C689" s="17" t="str">
        <f aca="false">IF(TRIM(B689)="","",IFERROR(INDEX('Code Aliases'!$B:$B,MATCH(TRIM(B689),'Code Aliases'!$A:$A,0)),TRIM(B689)))</f>
        <v/>
      </c>
      <c r="I689" s="67" t="str">
        <f aca="false">IF(TRIM(D689)="","",UPPER(TRIM(D689)))</f>
        <v/>
      </c>
      <c r="J689" s="67" t="str">
        <f aca="false">IF(TRIM(E689)="","",UPPER(TRIM(E689)))</f>
        <v/>
      </c>
    </row>
    <row r="690" customFormat="false" ht="14.25" hidden="false" customHeight="true" outlineLevel="0" collapsed="false">
      <c r="C690" s="17" t="str">
        <f aca="false">IF(TRIM(B690)="","",IFERROR(INDEX('Code Aliases'!$B:$B,MATCH(TRIM(B690),'Code Aliases'!$A:$A,0)),TRIM(B690)))</f>
        <v/>
      </c>
      <c r="I690" s="67" t="str">
        <f aca="false">IF(TRIM(D690)="","",UPPER(TRIM(D690)))</f>
        <v/>
      </c>
      <c r="J690" s="67" t="str">
        <f aca="false">IF(TRIM(E690)="","",UPPER(TRIM(E690)))</f>
        <v/>
      </c>
    </row>
    <row r="691" customFormat="false" ht="14.25" hidden="false" customHeight="true" outlineLevel="0" collapsed="false">
      <c r="C691" s="17" t="str">
        <f aca="false">IF(TRIM(B691)="","",IFERROR(INDEX('Code Aliases'!$B:$B,MATCH(TRIM(B691),'Code Aliases'!$A:$A,0)),TRIM(B691)))</f>
        <v/>
      </c>
      <c r="I691" s="67" t="str">
        <f aca="false">IF(TRIM(D691)="","",UPPER(TRIM(D691)))</f>
        <v/>
      </c>
      <c r="J691" s="67" t="str">
        <f aca="false">IF(TRIM(E691)="","",UPPER(TRIM(E691)))</f>
        <v/>
      </c>
    </row>
    <row r="692" customFormat="false" ht="14.25" hidden="false" customHeight="true" outlineLevel="0" collapsed="false">
      <c r="C692" s="17" t="str">
        <f aca="false">IF(TRIM(B692)="","",IFERROR(INDEX('Code Aliases'!$B:$B,MATCH(TRIM(B692),'Code Aliases'!$A:$A,0)),TRIM(B692)))</f>
        <v/>
      </c>
      <c r="I692" s="67" t="str">
        <f aca="false">IF(TRIM(D692)="","",UPPER(TRIM(D692)))</f>
        <v/>
      </c>
      <c r="J692" s="67" t="str">
        <f aca="false">IF(TRIM(E692)="","",UPPER(TRIM(E692)))</f>
        <v/>
      </c>
    </row>
    <row r="693" customFormat="false" ht="14.25" hidden="false" customHeight="true" outlineLevel="0" collapsed="false">
      <c r="C693" s="17" t="str">
        <f aca="false">IF(TRIM(B693)="","",IFERROR(INDEX('Code Aliases'!$B:$B,MATCH(TRIM(B693),'Code Aliases'!$A:$A,0)),TRIM(B693)))</f>
        <v/>
      </c>
      <c r="I693" s="67" t="str">
        <f aca="false">IF(TRIM(D693)="","",UPPER(TRIM(D693)))</f>
        <v/>
      </c>
      <c r="J693" s="67" t="str">
        <f aca="false">IF(TRIM(E693)="","",UPPER(TRIM(E693)))</f>
        <v/>
      </c>
    </row>
    <row r="694" customFormat="false" ht="14.25" hidden="false" customHeight="true" outlineLevel="0" collapsed="false">
      <c r="C694" s="17" t="str">
        <f aca="false">IF(TRIM(B694)="","",IFERROR(INDEX('Code Aliases'!$B:$B,MATCH(TRIM(B694),'Code Aliases'!$A:$A,0)),TRIM(B694)))</f>
        <v/>
      </c>
      <c r="I694" s="67" t="str">
        <f aca="false">IF(TRIM(D694)="","",UPPER(TRIM(D694)))</f>
        <v/>
      </c>
      <c r="J694" s="67" t="str">
        <f aca="false">IF(TRIM(E694)="","",UPPER(TRIM(E694)))</f>
        <v/>
      </c>
    </row>
    <row r="695" customFormat="false" ht="14.25" hidden="false" customHeight="true" outlineLevel="0" collapsed="false">
      <c r="C695" s="17" t="str">
        <f aca="false">IF(TRIM(B695)="","",IFERROR(INDEX('Code Aliases'!$B:$B,MATCH(TRIM(B695),'Code Aliases'!$A:$A,0)),TRIM(B695)))</f>
        <v/>
      </c>
      <c r="I695" s="67" t="str">
        <f aca="false">IF(TRIM(D695)="","",UPPER(TRIM(D695)))</f>
        <v/>
      </c>
      <c r="J695" s="67" t="str">
        <f aca="false">IF(TRIM(E695)="","",UPPER(TRIM(E695)))</f>
        <v/>
      </c>
    </row>
    <row r="696" customFormat="false" ht="14.25" hidden="false" customHeight="true" outlineLevel="0" collapsed="false">
      <c r="C696" s="17" t="str">
        <f aca="false">IF(TRIM(B696)="","",IFERROR(INDEX('Code Aliases'!$B:$B,MATCH(TRIM(B696),'Code Aliases'!$A:$A,0)),TRIM(B696)))</f>
        <v/>
      </c>
      <c r="I696" s="67" t="str">
        <f aca="false">IF(TRIM(D696)="","",UPPER(TRIM(D696)))</f>
        <v/>
      </c>
      <c r="J696" s="67" t="str">
        <f aca="false">IF(TRIM(E696)="","",UPPER(TRIM(E696)))</f>
        <v/>
      </c>
    </row>
    <row r="697" customFormat="false" ht="14.25" hidden="false" customHeight="true" outlineLevel="0" collapsed="false">
      <c r="C697" s="17" t="str">
        <f aca="false">IF(TRIM(B697)="","",IFERROR(INDEX('Code Aliases'!$B:$B,MATCH(TRIM(B697),'Code Aliases'!$A:$A,0)),TRIM(B697)))</f>
        <v/>
      </c>
      <c r="I697" s="67" t="str">
        <f aca="false">IF(TRIM(D697)="","",UPPER(TRIM(D697)))</f>
        <v/>
      </c>
      <c r="J697" s="67" t="str">
        <f aca="false">IF(TRIM(E697)="","",UPPER(TRIM(E697)))</f>
        <v/>
      </c>
    </row>
    <row r="698" customFormat="false" ht="14.25" hidden="false" customHeight="true" outlineLevel="0" collapsed="false">
      <c r="C698" s="17" t="str">
        <f aca="false">IF(TRIM(B698)="","",IFERROR(INDEX('Code Aliases'!$B:$B,MATCH(TRIM(B698),'Code Aliases'!$A:$A,0)),TRIM(B698)))</f>
        <v/>
      </c>
      <c r="I698" s="67" t="str">
        <f aca="false">IF(TRIM(D698)="","",UPPER(TRIM(D698)))</f>
        <v/>
      </c>
      <c r="J698" s="67" t="str">
        <f aca="false">IF(TRIM(E698)="","",UPPER(TRIM(E698)))</f>
        <v/>
      </c>
    </row>
    <row r="699" customFormat="false" ht="14.25" hidden="false" customHeight="true" outlineLevel="0" collapsed="false">
      <c r="C699" s="17" t="str">
        <f aca="false">IF(TRIM(B699)="","",IFERROR(INDEX('Code Aliases'!$B:$B,MATCH(TRIM(B699),'Code Aliases'!$A:$A,0)),TRIM(B699)))</f>
        <v/>
      </c>
      <c r="I699" s="67" t="str">
        <f aca="false">IF(TRIM(D699)="","",UPPER(TRIM(D699)))</f>
        <v/>
      </c>
      <c r="J699" s="67" t="str">
        <f aca="false">IF(TRIM(E699)="","",UPPER(TRIM(E699)))</f>
        <v/>
      </c>
    </row>
    <row r="700" customFormat="false" ht="14.25" hidden="false" customHeight="true" outlineLevel="0" collapsed="false">
      <c r="C700" s="17" t="str">
        <f aca="false">IF(TRIM(B700)="","",IFERROR(INDEX('Code Aliases'!$B:$B,MATCH(TRIM(B700),'Code Aliases'!$A:$A,0)),TRIM(B700)))</f>
        <v/>
      </c>
      <c r="I700" s="67" t="str">
        <f aca="false">IF(TRIM(D700)="","",UPPER(TRIM(D700)))</f>
        <v/>
      </c>
      <c r="J700" s="67" t="str">
        <f aca="false">IF(TRIM(E700)="","",UPPER(TRIM(E700)))</f>
        <v/>
      </c>
    </row>
    <row r="701" customFormat="false" ht="14.25" hidden="false" customHeight="true" outlineLevel="0" collapsed="false">
      <c r="C701" s="17" t="str">
        <f aca="false">IF(TRIM(B701)="","",IFERROR(INDEX('Code Aliases'!$B:$B,MATCH(TRIM(B701),'Code Aliases'!$A:$A,0)),TRIM(B701)))</f>
        <v/>
      </c>
      <c r="I701" s="67" t="str">
        <f aca="false">IF(TRIM(D701)="","",UPPER(TRIM(D701)))</f>
        <v/>
      </c>
      <c r="J701" s="67" t="str">
        <f aca="false">IF(TRIM(E701)="","",UPPER(TRIM(E701)))</f>
        <v/>
      </c>
    </row>
    <row r="702" customFormat="false" ht="14.25" hidden="false" customHeight="true" outlineLevel="0" collapsed="false">
      <c r="C702" s="17" t="str">
        <f aca="false">IF(TRIM(B702)="","",IFERROR(INDEX('Code Aliases'!$B:$B,MATCH(TRIM(B702),'Code Aliases'!$A:$A,0)),TRIM(B702)))</f>
        <v/>
      </c>
      <c r="I702" s="67" t="str">
        <f aca="false">IF(TRIM(D702)="","",UPPER(TRIM(D702)))</f>
        <v/>
      </c>
      <c r="J702" s="67" t="str">
        <f aca="false">IF(TRIM(E702)="","",UPPER(TRIM(E702)))</f>
        <v/>
      </c>
    </row>
    <row r="703" customFormat="false" ht="14.25" hidden="false" customHeight="true" outlineLevel="0" collapsed="false">
      <c r="C703" s="17" t="str">
        <f aca="false">IF(TRIM(B703)="","",IFERROR(INDEX('Code Aliases'!$B:$B,MATCH(TRIM(B703),'Code Aliases'!$A:$A,0)),TRIM(B703)))</f>
        <v/>
      </c>
      <c r="I703" s="67" t="str">
        <f aca="false">IF(TRIM(D703)="","",UPPER(TRIM(D703)))</f>
        <v/>
      </c>
      <c r="J703" s="67" t="str">
        <f aca="false">IF(TRIM(E703)="","",UPPER(TRIM(E703)))</f>
        <v/>
      </c>
    </row>
    <row r="704" customFormat="false" ht="14.25" hidden="false" customHeight="true" outlineLevel="0" collapsed="false">
      <c r="C704" s="17" t="str">
        <f aca="false">IF(TRIM(B704)="","",IFERROR(INDEX('Code Aliases'!$B:$B,MATCH(TRIM(B704),'Code Aliases'!$A:$A,0)),TRIM(B704)))</f>
        <v/>
      </c>
      <c r="I704" s="67" t="str">
        <f aca="false">IF(TRIM(D704)="","",UPPER(TRIM(D704)))</f>
        <v/>
      </c>
      <c r="J704" s="67" t="str">
        <f aca="false">IF(TRIM(E704)="","",UPPER(TRIM(E704)))</f>
        <v/>
      </c>
    </row>
    <row r="705" customFormat="false" ht="14.25" hidden="false" customHeight="true" outlineLevel="0" collapsed="false">
      <c r="C705" s="17" t="str">
        <f aca="false">IF(TRIM(B705)="","",IFERROR(INDEX('Code Aliases'!$B:$B,MATCH(TRIM(B705),'Code Aliases'!$A:$A,0)),TRIM(B705)))</f>
        <v/>
      </c>
      <c r="I705" s="67" t="str">
        <f aca="false">IF(TRIM(D705)="","",UPPER(TRIM(D705)))</f>
        <v/>
      </c>
      <c r="J705" s="67" t="str">
        <f aca="false">IF(TRIM(E705)="","",UPPER(TRIM(E705)))</f>
        <v/>
      </c>
    </row>
    <row r="706" customFormat="false" ht="14.25" hidden="false" customHeight="true" outlineLevel="0" collapsed="false">
      <c r="C706" s="17" t="str">
        <f aca="false">IF(TRIM(B706)="","",IFERROR(INDEX('Code Aliases'!$B:$B,MATCH(TRIM(B706),'Code Aliases'!$A:$A,0)),TRIM(B706)))</f>
        <v/>
      </c>
      <c r="I706" s="67" t="str">
        <f aca="false">IF(TRIM(D706)="","",UPPER(TRIM(D706)))</f>
        <v/>
      </c>
      <c r="J706" s="67" t="str">
        <f aca="false">IF(TRIM(E706)="","",UPPER(TRIM(E706)))</f>
        <v/>
      </c>
    </row>
    <row r="707" customFormat="false" ht="14.25" hidden="false" customHeight="true" outlineLevel="0" collapsed="false">
      <c r="C707" s="17" t="str">
        <f aca="false">IF(TRIM(B707)="","",IFERROR(INDEX('Code Aliases'!$B:$B,MATCH(TRIM(B707),'Code Aliases'!$A:$A,0)),TRIM(B707)))</f>
        <v/>
      </c>
      <c r="I707" s="67" t="str">
        <f aca="false">IF(TRIM(D707)="","",UPPER(TRIM(D707)))</f>
        <v/>
      </c>
      <c r="J707" s="67" t="str">
        <f aca="false">IF(TRIM(E707)="","",UPPER(TRIM(E707)))</f>
        <v/>
      </c>
    </row>
    <row r="708" customFormat="false" ht="14.25" hidden="false" customHeight="true" outlineLevel="0" collapsed="false">
      <c r="C708" s="17" t="str">
        <f aca="false">IF(TRIM(B708)="","",IFERROR(INDEX('Code Aliases'!$B:$B,MATCH(TRIM(B708),'Code Aliases'!$A:$A,0)),TRIM(B708)))</f>
        <v/>
      </c>
      <c r="I708" s="67" t="str">
        <f aca="false">IF(TRIM(D708)="","",UPPER(TRIM(D708)))</f>
        <v/>
      </c>
      <c r="J708" s="67" t="str">
        <f aca="false">IF(TRIM(E708)="","",UPPER(TRIM(E708)))</f>
        <v/>
      </c>
    </row>
    <row r="709" customFormat="false" ht="14.25" hidden="false" customHeight="true" outlineLevel="0" collapsed="false">
      <c r="C709" s="17" t="str">
        <f aca="false">IF(TRIM(B709)="","",IFERROR(INDEX('Code Aliases'!$B:$B,MATCH(TRIM(B709),'Code Aliases'!$A:$A,0)),TRIM(B709)))</f>
        <v/>
      </c>
      <c r="I709" s="67" t="str">
        <f aca="false">IF(TRIM(D709)="","",UPPER(TRIM(D709)))</f>
        <v/>
      </c>
      <c r="J709" s="67" t="str">
        <f aca="false">IF(TRIM(E709)="","",UPPER(TRIM(E709)))</f>
        <v/>
      </c>
    </row>
    <row r="710" customFormat="false" ht="14.25" hidden="false" customHeight="true" outlineLevel="0" collapsed="false">
      <c r="C710" s="17" t="str">
        <f aca="false">IF(TRIM(B710)="","",IFERROR(INDEX('Code Aliases'!$B:$B,MATCH(TRIM(B710),'Code Aliases'!$A:$A,0)),TRIM(B710)))</f>
        <v/>
      </c>
      <c r="I710" s="67" t="str">
        <f aca="false">IF(TRIM(D710)="","",UPPER(TRIM(D710)))</f>
        <v/>
      </c>
      <c r="J710" s="67" t="str">
        <f aca="false">IF(TRIM(E710)="","",UPPER(TRIM(E710)))</f>
        <v/>
      </c>
    </row>
    <row r="711" customFormat="false" ht="14.25" hidden="false" customHeight="true" outlineLevel="0" collapsed="false">
      <c r="C711" s="17" t="str">
        <f aca="false">IF(TRIM(B711)="","",IFERROR(INDEX('Code Aliases'!$B:$B,MATCH(TRIM(B711),'Code Aliases'!$A:$A,0)),TRIM(B711)))</f>
        <v/>
      </c>
      <c r="I711" s="67" t="str">
        <f aca="false">IF(TRIM(D711)="","",UPPER(TRIM(D711)))</f>
        <v/>
      </c>
      <c r="J711" s="67" t="str">
        <f aca="false">IF(TRIM(E711)="","",UPPER(TRIM(E711)))</f>
        <v/>
      </c>
    </row>
    <row r="712" customFormat="false" ht="14.25" hidden="false" customHeight="true" outlineLevel="0" collapsed="false">
      <c r="C712" s="17" t="str">
        <f aca="false">IF(TRIM(B712)="","",IFERROR(INDEX('Code Aliases'!$B:$B,MATCH(TRIM(B712),'Code Aliases'!$A:$A,0)),TRIM(B712)))</f>
        <v/>
      </c>
      <c r="I712" s="67" t="str">
        <f aca="false">IF(TRIM(D712)="","",UPPER(TRIM(D712)))</f>
        <v/>
      </c>
      <c r="J712" s="67" t="str">
        <f aca="false">IF(TRIM(E712)="","",UPPER(TRIM(E712)))</f>
        <v/>
      </c>
    </row>
    <row r="713" customFormat="false" ht="14.25" hidden="false" customHeight="true" outlineLevel="0" collapsed="false">
      <c r="C713" s="17" t="str">
        <f aca="false">IF(TRIM(B713)="","",IFERROR(INDEX('Code Aliases'!$B:$B,MATCH(TRIM(B713),'Code Aliases'!$A:$A,0)),TRIM(B713)))</f>
        <v/>
      </c>
      <c r="I713" s="67" t="str">
        <f aca="false">IF(TRIM(D713)="","",UPPER(TRIM(D713)))</f>
        <v/>
      </c>
      <c r="J713" s="67" t="str">
        <f aca="false">IF(TRIM(E713)="","",UPPER(TRIM(E713)))</f>
        <v/>
      </c>
    </row>
    <row r="714" customFormat="false" ht="14.25" hidden="false" customHeight="true" outlineLevel="0" collapsed="false">
      <c r="C714" s="17" t="str">
        <f aca="false">IF(TRIM(B714)="","",IFERROR(INDEX('Code Aliases'!$B:$B,MATCH(TRIM(B714),'Code Aliases'!$A:$A,0)),TRIM(B714)))</f>
        <v/>
      </c>
      <c r="I714" s="67" t="str">
        <f aca="false">IF(TRIM(D714)="","",UPPER(TRIM(D714)))</f>
        <v/>
      </c>
      <c r="J714" s="67" t="str">
        <f aca="false">IF(TRIM(E714)="","",UPPER(TRIM(E714)))</f>
        <v/>
      </c>
    </row>
    <row r="715" customFormat="false" ht="14.25" hidden="false" customHeight="true" outlineLevel="0" collapsed="false">
      <c r="C715" s="17" t="str">
        <f aca="false">IF(TRIM(B715)="","",IFERROR(INDEX('Code Aliases'!$B:$B,MATCH(TRIM(B715),'Code Aliases'!$A:$A,0)),TRIM(B715)))</f>
        <v/>
      </c>
      <c r="I715" s="67" t="str">
        <f aca="false">IF(TRIM(D715)="","",UPPER(TRIM(D715)))</f>
        <v/>
      </c>
      <c r="J715" s="67" t="str">
        <f aca="false">IF(TRIM(E715)="","",UPPER(TRIM(E715)))</f>
        <v/>
      </c>
    </row>
    <row r="716" customFormat="false" ht="14.25" hidden="false" customHeight="true" outlineLevel="0" collapsed="false">
      <c r="C716" s="17" t="str">
        <f aca="false">IF(TRIM(B716)="","",IFERROR(INDEX('Code Aliases'!$B:$B,MATCH(TRIM(B716),'Code Aliases'!$A:$A,0)),TRIM(B716)))</f>
        <v/>
      </c>
      <c r="I716" s="67" t="str">
        <f aca="false">IF(TRIM(D716)="","",UPPER(TRIM(D716)))</f>
        <v/>
      </c>
      <c r="J716" s="67" t="str">
        <f aca="false">IF(TRIM(E716)="","",UPPER(TRIM(E716)))</f>
        <v/>
      </c>
    </row>
    <row r="717" customFormat="false" ht="14.25" hidden="false" customHeight="true" outlineLevel="0" collapsed="false">
      <c r="C717" s="17" t="str">
        <f aca="false">IF(TRIM(B717)="","",IFERROR(INDEX('Code Aliases'!$B:$B,MATCH(TRIM(B717),'Code Aliases'!$A:$A,0)),TRIM(B717)))</f>
        <v/>
      </c>
      <c r="I717" s="67" t="str">
        <f aca="false">IF(TRIM(D717)="","",UPPER(TRIM(D717)))</f>
        <v/>
      </c>
      <c r="J717" s="67" t="str">
        <f aca="false">IF(TRIM(E717)="","",UPPER(TRIM(E717)))</f>
        <v/>
      </c>
    </row>
    <row r="718" customFormat="false" ht="14.25" hidden="false" customHeight="true" outlineLevel="0" collapsed="false">
      <c r="C718" s="17" t="str">
        <f aca="false">IF(TRIM(B718)="","",IFERROR(INDEX('Code Aliases'!$B:$B,MATCH(TRIM(B718),'Code Aliases'!$A:$A,0)),TRIM(B718)))</f>
        <v/>
      </c>
      <c r="I718" s="67" t="str">
        <f aca="false">IF(TRIM(D718)="","",UPPER(TRIM(D718)))</f>
        <v/>
      </c>
      <c r="J718" s="67" t="str">
        <f aca="false">IF(TRIM(E718)="","",UPPER(TRIM(E718)))</f>
        <v/>
      </c>
    </row>
    <row r="719" customFormat="false" ht="14.25" hidden="false" customHeight="true" outlineLevel="0" collapsed="false">
      <c r="C719" s="17" t="str">
        <f aca="false">IF(TRIM(B719)="","",IFERROR(INDEX('Code Aliases'!$B:$B,MATCH(TRIM(B719),'Code Aliases'!$A:$A,0)),TRIM(B719)))</f>
        <v/>
      </c>
      <c r="I719" s="67" t="str">
        <f aca="false">IF(TRIM(D719)="","",UPPER(TRIM(D719)))</f>
        <v/>
      </c>
      <c r="J719" s="67" t="str">
        <f aca="false">IF(TRIM(E719)="","",UPPER(TRIM(E719)))</f>
        <v/>
      </c>
    </row>
    <row r="720" customFormat="false" ht="14.25" hidden="false" customHeight="true" outlineLevel="0" collapsed="false">
      <c r="C720" s="17" t="str">
        <f aca="false">IF(TRIM(B720)="","",IFERROR(INDEX('Code Aliases'!$B:$B,MATCH(TRIM(B720),'Code Aliases'!$A:$A,0)),TRIM(B720)))</f>
        <v/>
      </c>
      <c r="I720" s="67" t="str">
        <f aca="false">IF(TRIM(D720)="","",UPPER(TRIM(D720)))</f>
        <v/>
      </c>
      <c r="J720" s="67" t="str">
        <f aca="false">IF(TRIM(E720)="","",UPPER(TRIM(E720)))</f>
        <v/>
      </c>
    </row>
    <row r="721" customFormat="false" ht="14.25" hidden="false" customHeight="true" outlineLevel="0" collapsed="false">
      <c r="C721" s="17" t="str">
        <f aca="false">IF(TRIM(B721)="","",IFERROR(INDEX('Code Aliases'!$B:$B,MATCH(TRIM(B721),'Code Aliases'!$A:$A,0)),TRIM(B721)))</f>
        <v/>
      </c>
      <c r="I721" s="67" t="str">
        <f aca="false">IF(TRIM(D721)="","",UPPER(TRIM(D721)))</f>
        <v/>
      </c>
      <c r="J721" s="67" t="str">
        <f aca="false">IF(TRIM(E721)="","",UPPER(TRIM(E721)))</f>
        <v/>
      </c>
    </row>
    <row r="722" customFormat="false" ht="14.25" hidden="false" customHeight="true" outlineLevel="0" collapsed="false">
      <c r="C722" s="17" t="str">
        <f aca="false">IF(TRIM(B722)="","",IFERROR(INDEX('Code Aliases'!$B:$B,MATCH(TRIM(B722),'Code Aliases'!$A:$A,0)),TRIM(B722)))</f>
        <v/>
      </c>
      <c r="I722" s="67" t="str">
        <f aca="false">IF(TRIM(D722)="","",UPPER(TRIM(D722)))</f>
        <v/>
      </c>
      <c r="J722" s="67" t="str">
        <f aca="false">IF(TRIM(E722)="","",UPPER(TRIM(E722)))</f>
        <v/>
      </c>
    </row>
    <row r="723" customFormat="false" ht="14.25" hidden="false" customHeight="true" outlineLevel="0" collapsed="false">
      <c r="C723" s="17" t="str">
        <f aca="false">IF(TRIM(B723)="","",IFERROR(INDEX('Code Aliases'!$B:$B,MATCH(TRIM(B723),'Code Aliases'!$A:$A,0)),TRIM(B723)))</f>
        <v/>
      </c>
      <c r="I723" s="67" t="str">
        <f aca="false">IF(TRIM(D723)="","",UPPER(TRIM(D723)))</f>
        <v/>
      </c>
      <c r="J723" s="67" t="str">
        <f aca="false">IF(TRIM(E723)="","",UPPER(TRIM(E723)))</f>
        <v/>
      </c>
    </row>
    <row r="724" customFormat="false" ht="14.25" hidden="false" customHeight="true" outlineLevel="0" collapsed="false">
      <c r="C724" s="17" t="str">
        <f aca="false">IF(TRIM(B724)="","",IFERROR(INDEX('Code Aliases'!$B:$B,MATCH(TRIM(B724),'Code Aliases'!$A:$A,0)),TRIM(B724)))</f>
        <v/>
      </c>
      <c r="I724" s="67" t="str">
        <f aca="false">IF(TRIM(D724)="","",UPPER(TRIM(D724)))</f>
        <v/>
      </c>
      <c r="J724" s="67" t="str">
        <f aca="false">IF(TRIM(E724)="","",UPPER(TRIM(E724)))</f>
        <v/>
      </c>
    </row>
    <row r="725" customFormat="false" ht="14.25" hidden="false" customHeight="true" outlineLevel="0" collapsed="false">
      <c r="C725" s="17" t="str">
        <f aca="false">IF(TRIM(B725)="","",IFERROR(INDEX('Code Aliases'!$B:$B,MATCH(TRIM(B725),'Code Aliases'!$A:$A,0)),TRIM(B725)))</f>
        <v/>
      </c>
      <c r="I725" s="67" t="str">
        <f aca="false">IF(TRIM(D725)="","",UPPER(TRIM(D725)))</f>
        <v/>
      </c>
      <c r="J725" s="67" t="str">
        <f aca="false">IF(TRIM(E725)="","",UPPER(TRIM(E725)))</f>
        <v/>
      </c>
    </row>
    <row r="726" customFormat="false" ht="14.25" hidden="false" customHeight="true" outlineLevel="0" collapsed="false">
      <c r="C726" s="17" t="str">
        <f aca="false">IF(TRIM(B726)="","",IFERROR(INDEX('Code Aliases'!$B:$B,MATCH(TRIM(B726),'Code Aliases'!$A:$A,0)),TRIM(B726)))</f>
        <v/>
      </c>
      <c r="I726" s="67" t="str">
        <f aca="false">IF(TRIM(D726)="","",UPPER(TRIM(D726)))</f>
        <v/>
      </c>
      <c r="J726" s="67" t="str">
        <f aca="false">IF(TRIM(E726)="","",UPPER(TRIM(E726)))</f>
        <v/>
      </c>
    </row>
    <row r="727" customFormat="false" ht="14.25" hidden="false" customHeight="true" outlineLevel="0" collapsed="false">
      <c r="C727" s="17" t="str">
        <f aca="false">IF(TRIM(B727)="","",IFERROR(INDEX('Code Aliases'!$B:$B,MATCH(TRIM(B727),'Code Aliases'!$A:$A,0)),TRIM(B727)))</f>
        <v/>
      </c>
      <c r="I727" s="67" t="str">
        <f aca="false">IF(TRIM(D727)="","",UPPER(TRIM(D727)))</f>
        <v/>
      </c>
      <c r="J727" s="67" t="str">
        <f aca="false">IF(TRIM(E727)="","",UPPER(TRIM(E727)))</f>
        <v/>
      </c>
    </row>
    <row r="728" customFormat="false" ht="14.25" hidden="false" customHeight="true" outlineLevel="0" collapsed="false">
      <c r="C728" s="17" t="str">
        <f aca="false">IF(TRIM(B728)="","",IFERROR(INDEX('Code Aliases'!$B:$B,MATCH(TRIM(B728),'Code Aliases'!$A:$A,0)),TRIM(B728)))</f>
        <v/>
      </c>
      <c r="I728" s="67" t="str">
        <f aca="false">IF(TRIM(D728)="","",UPPER(TRIM(D728)))</f>
        <v/>
      </c>
      <c r="J728" s="67" t="str">
        <f aca="false">IF(TRIM(E728)="","",UPPER(TRIM(E728)))</f>
        <v/>
      </c>
    </row>
    <row r="729" customFormat="false" ht="14.25" hidden="false" customHeight="true" outlineLevel="0" collapsed="false">
      <c r="C729" s="17" t="str">
        <f aca="false">IF(TRIM(B729)="","",IFERROR(INDEX('Code Aliases'!$B:$B,MATCH(TRIM(B729),'Code Aliases'!$A:$A,0)),TRIM(B729)))</f>
        <v/>
      </c>
      <c r="I729" s="67" t="str">
        <f aca="false">IF(TRIM(D729)="","",UPPER(TRIM(D729)))</f>
        <v/>
      </c>
      <c r="J729" s="67" t="str">
        <f aca="false">IF(TRIM(E729)="","",UPPER(TRIM(E729)))</f>
        <v/>
      </c>
    </row>
    <row r="730" customFormat="false" ht="14.25" hidden="false" customHeight="true" outlineLevel="0" collapsed="false">
      <c r="C730" s="17" t="str">
        <f aca="false">IF(TRIM(B730)="","",IFERROR(INDEX('Code Aliases'!$B:$B,MATCH(TRIM(B730),'Code Aliases'!$A:$A,0)),TRIM(B730)))</f>
        <v/>
      </c>
      <c r="I730" s="67" t="str">
        <f aca="false">IF(TRIM(D730)="","",UPPER(TRIM(D730)))</f>
        <v/>
      </c>
      <c r="J730" s="67" t="str">
        <f aca="false">IF(TRIM(E730)="","",UPPER(TRIM(E730)))</f>
        <v/>
      </c>
    </row>
    <row r="731" customFormat="false" ht="14.25" hidden="false" customHeight="true" outlineLevel="0" collapsed="false">
      <c r="C731" s="17" t="str">
        <f aca="false">IF(TRIM(B731)="","",IFERROR(INDEX('Code Aliases'!$B:$B,MATCH(TRIM(B731),'Code Aliases'!$A:$A,0)),TRIM(B731)))</f>
        <v/>
      </c>
      <c r="I731" s="67" t="str">
        <f aca="false">IF(TRIM(D731)="","",UPPER(TRIM(D731)))</f>
        <v/>
      </c>
      <c r="J731" s="67" t="str">
        <f aca="false">IF(TRIM(E731)="","",UPPER(TRIM(E731)))</f>
        <v/>
      </c>
    </row>
    <row r="732" customFormat="false" ht="14.25" hidden="false" customHeight="true" outlineLevel="0" collapsed="false">
      <c r="C732" s="17" t="str">
        <f aca="false">IF(TRIM(B732)="","",IFERROR(INDEX('Code Aliases'!$B:$B,MATCH(TRIM(B732),'Code Aliases'!$A:$A,0)),TRIM(B732)))</f>
        <v/>
      </c>
      <c r="I732" s="67" t="str">
        <f aca="false">IF(TRIM(D732)="","",UPPER(TRIM(D732)))</f>
        <v/>
      </c>
      <c r="J732" s="67" t="str">
        <f aca="false">IF(TRIM(E732)="","",UPPER(TRIM(E732)))</f>
        <v/>
      </c>
    </row>
    <row r="733" customFormat="false" ht="14.25" hidden="false" customHeight="true" outlineLevel="0" collapsed="false">
      <c r="C733" s="17" t="str">
        <f aca="false">IF(TRIM(B733)="","",IFERROR(INDEX('Code Aliases'!$B:$B,MATCH(TRIM(B733),'Code Aliases'!$A:$A,0)),TRIM(B733)))</f>
        <v/>
      </c>
      <c r="I733" s="67" t="str">
        <f aca="false">IF(TRIM(D733)="","",UPPER(TRIM(D733)))</f>
        <v/>
      </c>
      <c r="J733" s="67" t="str">
        <f aca="false">IF(TRIM(E733)="","",UPPER(TRIM(E733)))</f>
        <v/>
      </c>
    </row>
    <row r="734" customFormat="false" ht="14.25" hidden="false" customHeight="true" outlineLevel="0" collapsed="false">
      <c r="C734" s="17" t="str">
        <f aca="false">IF(TRIM(B734)="","",IFERROR(INDEX('Code Aliases'!$B:$B,MATCH(TRIM(B734),'Code Aliases'!$A:$A,0)),TRIM(B734)))</f>
        <v/>
      </c>
      <c r="I734" s="67" t="str">
        <f aca="false">IF(TRIM(D734)="","",UPPER(TRIM(D734)))</f>
        <v/>
      </c>
      <c r="J734" s="67" t="str">
        <f aca="false">IF(TRIM(E734)="","",UPPER(TRIM(E734)))</f>
        <v/>
      </c>
    </row>
    <row r="735" customFormat="false" ht="14.25" hidden="false" customHeight="true" outlineLevel="0" collapsed="false">
      <c r="C735" s="17" t="str">
        <f aca="false">IF(TRIM(B735)="","",IFERROR(INDEX('Code Aliases'!$B:$B,MATCH(TRIM(B735),'Code Aliases'!$A:$A,0)),TRIM(B735)))</f>
        <v/>
      </c>
      <c r="I735" s="67" t="str">
        <f aca="false">IF(TRIM(D735)="","",UPPER(TRIM(D735)))</f>
        <v/>
      </c>
      <c r="J735" s="67" t="str">
        <f aca="false">IF(TRIM(E735)="","",UPPER(TRIM(E735)))</f>
        <v/>
      </c>
    </row>
    <row r="736" customFormat="false" ht="14.25" hidden="false" customHeight="true" outlineLevel="0" collapsed="false">
      <c r="C736" s="17" t="str">
        <f aca="false">IF(TRIM(B736)="","",IFERROR(INDEX('Code Aliases'!$B:$B,MATCH(TRIM(B736),'Code Aliases'!$A:$A,0)),TRIM(B736)))</f>
        <v/>
      </c>
      <c r="I736" s="67" t="str">
        <f aca="false">IF(TRIM(D736)="","",UPPER(TRIM(D736)))</f>
        <v/>
      </c>
      <c r="J736" s="67" t="str">
        <f aca="false">IF(TRIM(E736)="","",UPPER(TRIM(E736)))</f>
        <v/>
      </c>
    </row>
    <row r="737" customFormat="false" ht="14.25" hidden="false" customHeight="true" outlineLevel="0" collapsed="false">
      <c r="C737" s="17" t="str">
        <f aca="false">IF(TRIM(B737)="","",IFERROR(INDEX('Code Aliases'!$B:$B,MATCH(TRIM(B737),'Code Aliases'!$A:$A,0)),TRIM(B737)))</f>
        <v/>
      </c>
      <c r="I737" s="67" t="str">
        <f aca="false">IF(TRIM(D737)="","",UPPER(TRIM(D737)))</f>
        <v/>
      </c>
      <c r="J737" s="67" t="str">
        <f aca="false">IF(TRIM(E737)="","",UPPER(TRIM(E737)))</f>
        <v/>
      </c>
    </row>
    <row r="738" customFormat="false" ht="14.25" hidden="false" customHeight="true" outlineLevel="0" collapsed="false">
      <c r="C738" s="17" t="str">
        <f aca="false">IF(TRIM(B738)="","",IFERROR(INDEX('Code Aliases'!$B:$B,MATCH(TRIM(B738),'Code Aliases'!$A:$A,0)),TRIM(B738)))</f>
        <v/>
      </c>
      <c r="I738" s="67" t="str">
        <f aca="false">IF(TRIM(D738)="","",UPPER(TRIM(D738)))</f>
        <v/>
      </c>
      <c r="J738" s="67" t="str">
        <f aca="false">IF(TRIM(E738)="","",UPPER(TRIM(E738)))</f>
        <v/>
      </c>
    </row>
    <row r="739" customFormat="false" ht="14.25" hidden="false" customHeight="true" outlineLevel="0" collapsed="false">
      <c r="C739" s="17" t="str">
        <f aca="false">IF(TRIM(B739)="","",IFERROR(INDEX('Code Aliases'!$B:$B,MATCH(TRIM(B739),'Code Aliases'!$A:$A,0)),TRIM(B739)))</f>
        <v/>
      </c>
      <c r="I739" s="67" t="str">
        <f aca="false">IF(TRIM(D739)="","",UPPER(TRIM(D739)))</f>
        <v/>
      </c>
      <c r="J739" s="67" t="str">
        <f aca="false">IF(TRIM(E739)="","",UPPER(TRIM(E739)))</f>
        <v/>
      </c>
    </row>
    <row r="740" customFormat="false" ht="14.25" hidden="false" customHeight="true" outlineLevel="0" collapsed="false">
      <c r="C740" s="17" t="str">
        <f aca="false">IF(TRIM(B740)="","",IFERROR(INDEX('Code Aliases'!$B:$B,MATCH(TRIM(B740),'Code Aliases'!$A:$A,0)),TRIM(B740)))</f>
        <v/>
      </c>
      <c r="I740" s="67" t="str">
        <f aca="false">IF(TRIM(D740)="","",UPPER(TRIM(D740)))</f>
        <v/>
      </c>
      <c r="J740" s="67" t="str">
        <f aca="false">IF(TRIM(E740)="","",UPPER(TRIM(E740)))</f>
        <v/>
      </c>
    </row>
    <row r="741" customFormat="false" ht="14.25" hidden="false" customHeight="true" outlineLevel="0" collapsed="false">
      <c r="C741" s="17" t="str">
        <f aca="false">IF(TRIM(B741)="","",IFERROR(INDEX('Code Aliases'!$B:$B,MATCH(TRIM(B741),'Code Aliases'!$A:$A,0)),TRIM(B741)))</f>
        <v/>
      </c>
      <c r="I741" s="67" t="str">
        <f aca="false">IF(TRIM(D741)="","",UPPER(TRIM(D741)))</f>
        <v/>
      </c>
      <c r="J741" s="67" t="str">
        <f aca="false">IF(TRIM(E741)="","",UPPER(TRIM(E741)))</f>
        <v/>
      </c>
    </row>
    <row r="742" customFormat="false" ht="14.25" hidden="false" customHeight="true" outlineLevel="0" collapsed="false">
      <c r="C742" s="17" t="str">
        <f aca="false">IF(TRIM(B742)="","",IFERROR(INDEX('Code Aliases'!$B:$B,MATCH(TRIM(B742),'Code Aliases'!$A:$A,0)),TRIM(B742)))</f>
        <v/>
      </c>
      <c r="I742" s="67" t="str">
        <f aca="false">IF(TRIM(D742)="","",UPPER(TRIM(D742)))</f>
        <v/>
      </c>
      <c r="J742" s="67" t="str">
        <f aca="false">IF(TRIM(E742)="","",UPPER(TRIM(E742)))</f>
        <v/>
      </c>
    </row>
    <row r="743" customFormat="false" ht="14.25" hidden="false" customHeight="true" outlineLevel="0" collapsed="false">
      <c r="C743" s="17" t="str">
        <f aca="false">IF(TRIM(B743)="","",IFERROR(INDEX('Code Aliases'!$B:$B,MATCH(TRIM(B743),'Code Aliases'!$A:$A,0)),TRIM(B743)))</f>
        <v/>
      </c>
      <c r="I743" s="67" t="str">
        <f aca="false">IF(TRIM(D743)="","",UPPER(TRIM(D743)))</f>
        <v/>
      </c>
      <c r="J743" s="67" t="str">
        <f aca="false">IF(TRIM(E743)="","",UPPER(TRIM(E743)))</f>
        <v/>
      </c>
    </row>
    <row r="744" customFormat="false" ht="14.25" hidden="false" customHeight="true" outlineLevel="0" collapsed="false">
      <c r="C744" s="17" t="str">
        <f aca="false">IF(TRIM(B744)="","",IFERROR(INDEX('Code Aliases'!$B:$B,MATCH(TRIM(B744),'Code Aliases'!$A:$A,0)),TRIM(B744)))</f>
        <v/>
      </c>
      <c r="I744" s="67" t="str">
        <f aca="false">IF(TRIM(D744)="","",UPPER(TRIM(D744)))</f>
        <v/>
      </c>
      <c r="J744" s="67" t="str">
        <f aca="false">IF(TRIM(E744)="","",UPPER(TRIM(E744)))</f>
        <v/>
      </c>
    </row>
    <row r="745" customFormat="false" ht="14.25" hidden="false" customHeight="true" outlineLevel="0" collapsed="false">
      <c r="C745" s="17" t="str">
        <f aca="false">IF(TRIM(B745)="","",IFERROR(INDEX('Code Aliases'!$B:$B,MATCH(TRIM(B745),'Code Aliases'!$A:$A,0)),TRIM(B745)))</f>
        <v/>
      </c>
      <c r="I745" s="67" t="str">
        <f aca="false">IF(TRIM(D745)="","",UPPER(TRIM(D745)))</f>
        <v/>
      </c>
      <c r="J745" s="67" t="str">
        <f aca="false">IF(TRIM(E745)="","",UPPER(TRIM(E745)))</f>
        <v/>
      </c>
    </row>
    <row r="746" customFormat="false" ht="14.25" hidden="false" customHeight="true" outlineLevel="0" collapsed="false">
      <c r="C746" s="17" t="str">
        <f aca="false">IF(TRIM(B746)="","",IFERROR(INDEX('Code Aliases'!$B:$B,MATCH(TRIM(B746),'Code Aliases'!$A:$A,0)),TRIM(B746)))</f>
        <v/>
      </c>
      <c r="I746" s="67" t="str">
        <f aca="false">IF(TRIM(D746)="","",UPPER(TRIM(D746)))</f>
        <v/>
      </c>
      <c r="J746" s="67" t="str">
        <f aca="false">IF(TRIM(E746)="","",UPPER(TRIM(E746)))</f>
        <v/>
      </c>
    </row>
    <row r="747" customFormat="false" ht="14.25" hidden="false" customHeight="true" outlineLevel="0" collapsed="false">
      <c r="C747" s="17" t="str">
        <f aca="false">IF(TRIM(B747)="","",IFERROR(INDEX('Code Aliases'!$B:$B,MATCH(TRIM(B747),'Code Aliases'!$A:$A,0)),TRIM(B747)))</f>
        <v/>
      </c>
      <c r="I747" s="67" t="str">
        <f aca="false">IF(TRIM(D747)="","",UPPER(TRIM(D747)))</f>
        <v/>
      </c>
      <c r="J747" s="67" t="str">
        <f aca="false">IF(TRIM(E747)="","",UPPER(TRIM(E747)))</f>
        <v/>
      </c>
    </row>
    <row r="748" customFormat="false" ht="14.25" hidden="false" customHeight="true" outlineLevel="0" collapsed="false">
      <c r="C748" s="17" t="str">
        <f aca="false">IF(TRIM(B748)="","",IFERROR(INDEX('Code Aliases'!$B:$B,MATCH(TRIM(B748),'Code Aliases'!$A:$A,0)),TRIM(B748)))</f>
        <v/>
      </c>
      <c r="I748" s="67" t="str">
        <f aca="false">IF(TRIM(D748)="","",UPPER(TRIM(D748)))</f>
        <v/>
      </c>
      <c r="J748" s="67" t="str">
        <f aca="false">IF(TRIM(E748)="","",UPPER(TRIM(E748)))</f>
        <v/>
      </c>
    </row>
    <row r="749" customFormat="false" ht="14.25" hidden="false" customHeight="true" outlineLevel="0" collapsed="false">
      <c r="C749" s="17" t="str">
        <f aca="false">IF(TRIM(B749)="","",IFERROR(INDEX('Code Aliases'!$B:$B,MATCH(TRIM(B749),'Code Aliases'!$A:$A,0)),TRIM(B749)))</f>
        <v/>
      </c>
      <c r="I749" s="67" t="str">
        <f aca="false">IF(TRIM(D749)="","",UPPER(TRIM(D749)))</f>
        <v/>
      </c>
      <c r="J749" s="67" t="str">
        <f aca="false">IF(TRIM(E749)="","",UPPER(TRIM(E749)))</f>
        <v/>
      </c>
    </row>
    <row r="750" customFormat="false" ht="14.25" hidden="false" customHeight="true" outlineLevel="0" collapsed="false">
      <c r="C750" s="17" t="str">
        <f aca="false">IF(TRIM(B750)="","",IFERROR(INDEX('Code Aliases'!$B:$B,MATCH(TRIM(B750),'Code Aliases'!$A:$A,0)),TRIM(B750)))</f>
        <v/>
      </c>
      <c r="I750" s="67" t="str">
        <f aca="false">IF(TRIM(D750)="","",UPPER(TRIM(D750)))</f>
        <v/>
      </c>
      <c r="J750" s="67" t="str">
        <f aca="false">IF(TRIM(E750)="","",UPPER(TRIM(E750)))</f>
        <v/>
      </c>
    </row>
    <row r="751" customFormat="false" ht="14.25" hidden="false" customHeight="true" outlineLevel="0" collapsed="false">
      <c r="C751" s="17" t="str">
        <f aca="false">IF(TRIM(B751)="","",IFERROR(INDEX('Code Aliases'!$B:$B,MATCH(TRIM(B751),'Code Aliases'!$A:$A,0)),TRIM(B751)))</f>
        <v/>
      </c>
      <c r="I751" s="67" t="str">
        <f aca="false">IF(TRIM(D751)="","",UPPER(TRIM(D751)))</f>
        <v/>
      </c>
      <c r="J751" s="67" t="str">
        <f aca="false">IF(TRIM(E751)="","",UPPER(TRIM(E751)))</f>
        <v/>
      </c>
    </row>
    <row r="752" customFormat="false" ht="14.25" hidden="false" customHeight="true" outlineLevel="0" collapsed="false">
      <c r="C752" s="17" t="str">
        <f aca="false">IF(TRIM(B752)="","",IFERROR(INDEX('Code Aliases'!$B:$B,MATCH(TRIM(B752),'Code Aliases'!$A:$A,0)),TRIM(B752)))</f>
        <v/>
      </c>
      <c r="I752" s="67" t="str">
        <f aca="false">IF(TRIM(D752)="","",UPPER(TRIM(D752)))</f>
        <v/>
      </c>
      <c r="J752" s="67" t="str">
        <f aca="false">IF(TRIM(E752)="","",UPPER(TRIM(E752)))</f>
        <v/>
      </c>
    </row>
    <row r="753" customFormat="false" ht="14.25" hidden="false" customHeight="true" outlineLevel="0" collapsed="false">
      <c r="C753" s="17" t="str">
        <f aca="false">IF(TRIM(B753)="","",IFERROR(INDEX('Code Aliases'!$B:$B,MATCH(TRIM(B753),'Code Aliases'!$A:$A,0)),TRIM(B753)))</f>
        <v/>
      </c>
      <c r="I753" s="67" t="str">
        <f aca="false">IF(TRIM(D753)="","",UPPER(TRIM(D753)))</f>
        <v/>
      </c>
      <c r="J753" s="67" t="str">
        <f aca="false">IF(TRIM(E753)="","",UPPER(TRIM(E753)))</f>
        <v/>
      </c>
    </row>
    <row r="754" customFormat="false" ht="14.25" hidden="false" customHeight="true" outlineLevel="0" collapsed="false">
      <c r="C754" s="17" t="str">
        <f aca="false">IF(TRIM(B754)="","",IFERROR(INDEX('Code Aliases'!$B:$B,MATCH(TRIM(B754),'Code Aliases'!$A:$A,0)),TRIM(B754)))</f>
        <v/>
      </c>
      <c r="I754" s="67" t="str">
        <f aca="false">IF(TRIM(D754)="","",UPPER(TRIM(D754)))</f>
        <v/>
      </c>
      <c r="J754" s="67" t="str">
        <f aca="false">IF(TRIM(E754)="","",UPPER(TRIM(E754)))</f>
        <v/>
      </c>
    </row>
    <row r="755" customFormat="false" ht="14.25" hidden="false" customHeight="true" outlineLevel="0" collapsed="false">
      <c r="C755" s="17" t="str">
        <f aca="false">IF(TRIM(B755)="","",IFERROR(INDEX('Code Aliases'!$B:$B,MATCH(TRIM(B755),'Code Aliases'!$A:$A,0)),TRIM(B755)))</f>
        <v/>
      </c>
      <c r="I755" s="67" t="str">
        <f aca="false">IF(TRIM(D755)="","",UPPER(TRIM(D755)))</f>
        <v/>
      </c>
      <c r="J755" s="67" t="str">
        <f aca="false">IF(TRIM(E755)="","",UPPER(TRIM(E755)))</f>
        <v/>
      </c>
    </row>
    <row r="756" customFormat="false" ht="14.25" hidden="false" customHeight="true" outlineLevel="0" collapsed="false">
      <c r="C756" s="17" t="str">
        <f aca="false">IF(TRIM(B756)="","",IFERROR(INDEX('Code Aliases'!$B:$B,MATCH(TRIM(B756),'Code Aliases'!$A:$A,0)),TRIM(B756)))</f>
        <v/>
      </c>
      <c r="I756" s="67" t="str">
        <f aca="false">IF(TRIM(D756)="","",UPPER(TRIM(D756)))</f>
        <v/>
      </c>
      <c r="J756" s="67" t="str">
        <f aca="false">IF(TRIM(E756)="","",UPPER(TRIM(E756)))</f>
        <v/>
      </c>
    </row>
    <row r="757" customFormat="false" ht="14.25" hidden="false" customHeight="true" outlineLevel="0" collapsed="false">
      <c r="C757" s="17" t="str">
        <f aca="false">IF(TRIM(B757)="","",IFERROR(INDEX('Code Aliases'!$B:$B,MATCH(TRIM(B757),'Code Aliases'!$A:$A,0)),TRIM(B757)))</f>
        <v/>
      </c>
      <c r="I757" s="67" t="str">
        <f aca="false">IF(TRIM(D757)="","",UPPER(TRIM(D757)))</f>
        <v/>
      </c>
      <c r="J757" s="67" t="str">
        <f aca="false">IF(TRIM(E757)="","",UPPER(TRIM(E757)))</f>
        <v/>
      </c>
    </row>
    <row r="758" customFormat="false" ht="14.25" hidden="false" customHeight="true" outlineLevel="0" collapsed="false">
      <c r="C758" s="17" t="str">
        <f aca="false">IF(TRIM(B758)="","",IFERROR(INDEX('Code Aliases'!$B:$B,MATCH(TRIM(B758),'Code Aliases'!$A:$A,0)),TRIM(B758)))</f>
        <v/>
      </c>
      <c r="I758" s="67" t="str">
        <f aca="false">IF(TRIM(D758)="","",UPPER(TRIM(D758)))</f>
        <v/>
      </c>
      <c r="J758" s="67" t="str">
        <f aca="false">IF(TRIM(E758)="","",UPPER(TRIM(E758)))</f>
        <v/>
      </c>
    </row>
    <row r="759" customFormat="false" ht="14.25" hidden="false" customHeight="true" outlineLevel="0" collapsed="false">
      <c r="C759" s="17" t="str">
        <f aca="false">IF(TRIM(B759)="","",IFERROR(INDEX('Code Aliases'!$B:$B,MATCH(TRIM(B759),'Code Aliases'!$A:$A,0)),TRIM(B759)))</f>
        <v/>
      </c>
      <c r="I759" s="67" t="str">
        <f aca="false">IF(TRIM(D759)="","",UPPER(TRIM(D759)))</f>
        <v/>
      </c>
      <c r="J759" s="67" t="str">
        <f aca="false">IF(TRIM(E759)="","",UPPER(TRIM(E759)))</f>
        <v/>
      </c>
    </row>
    <row r="760" customFormat="false" ht="14.25" hidden="false" customHeight="true" outlineLevel="0" collapsed="false">
      <c r="C760" s="17" t="str">
        <f aca="false">IF(TRIM(B760)="","",IFERROR(INDEX('Code Aliases'!$B:$B,MATCH(TRIM(B760),'Code Aliases'!$A:$A,0)),TRIM(B760)))</f>
        <v/>
      </c>
      <c r="I760" s="67" t="str">
        <f aca="false">IF(TRIM(D760)="","",UPPER(TRIM(D760)))</f>
        <v/>
      </c>
      <c r="J760" s="67" t="str">
        <f aca="false">IF(TRIM(E760)="","",UPPER(TRIM(E760)))</f>
        <v/>
      </c>
    </row>
    <row r="761" customFormat="false" ht="14.25" hidden="false" customHeight="true" outlineLevel="0" collapsed="false">
      <c r="C761" s="17" t="str">
        <f aca="false">IF(TRIM(B761)="","",IFERROR(INDEX('Code Aliases'!$B:$B,MATCH(TRIM(B761),'Code Aliases'!$A:$A,0)),TRIM(B761)))</f>
        <v/>
      </c>
      <c r="I761" s="67" t="str">
        <f aca="false">IF(TRIM(D761)="","",UPPER(TRIM(D761)))</f>
        <v/>
      </c>
      <c r="J761" s="67" t="str">
        <f aca="false">IF(TRIM(E761)="","",UPPER(TRIM(E761)))</f>
        <v/>
      </c>
    </row>
    <row r="762" customFormat="false" ht="14.25" hidden="false" customHeight="true" outlineLevel="0" collapsed="false">
      <c r="C762" s="17" t="str">
        <f aca="false">IF(TRIM(B762)="","",IFERROR(INDEX('Code Aliases'!$B:$B,MATCH(TRIM(B762),'Code Aliases'!$A:$A,0)),TRIM(B762)))</f>
        <v/>
      </c>
      <c r="I762" s="67" t="str">
        <f aca="false">IF(TRIM(D762)="","",UPPER(TRIM(D762)))</f>
        <v/>
      </c>
      <c r="J762" s="67" t="str">
        <f aca="false">IF(TRIM(E762)="","",UPPER(TRIM(E762)))</f>
        <v/>
      </c>
    </row>
    <row r="763" customFormat="false" ht="14.25" hidden="false" customHeight="true" outlineLevel="0" collapsed="false">
      <c r="C763" s="17" t="str">
        <f aca="false">IF(TRIM(B763)="","",IFERROR(INDEX('Code Aliases'!$B:$B,MATCH(TRIM(B763),'Code Aliases'!$A:$A,0)),TRIM(B763)))</f>
        <v/>
      </c>
      <c r="I763" s="67" t="str">
        <f aca="false">IF(TRIM(D763)="","",UPPER(TRIM(D763)))</f>
        <v/>
      </c>
      <c r="J763" s="67" t="str">
        <f aca="false">IF(TRIM(E763)="","",UPPER(TRIM(E763)))</f>
        <v/>
      </c>
    </row>
    <row r="764" customFormat="false" ht="14.25" hidden="false" customHeight="true" outlineLevel="0" collapsed="false">
      <c r="C764" s="17" t="str">
        <f aca="false">IF(TRIM(B764)="","",IFERROR(INDEX('Code Aliases'!$B:$B,MATCH(TRIM(B764),'Code Aliases'!$A:$A,0)),TRIM(B764)))</f>
        <v/>
      </c>
      <c r="I764" s="67" t="str">
        <f aca="false">IF(TRIM(D764)="","",UPPER(TRIM(D764)))</f>
        <v/>
      </c>
      <c r="J764" s="67" t="str">
        <f aca="false">IF(TRIM(E764)="","",UPPER(TRIM(E764)))</f>
        <v/>
      </c>
    </row>
    <row r="765" customFormat="false" ht="14.25" hidden="false" customHeight="true" outlineLevel="0" collapsed="false">
      <c r="C765" s="17" t="str">
        <f aca="false">IF(TRIM(B765)="","",IFERROR(INDEX('Code Aliases'!$B:$B,MATCH(TRIM(B765),'Code Aliases'!$A:$A,0)),TRIM(B765)))</f>
        <v/>
      </c>
      <c r="I765" s="67" t="str">
        <f aca="false">IF(TRIM(D765)="","",UPPER(TRIM(D765)))</f>
        <v/>
      </c>
      <c r="J765" s="67" t="str">
        <f aca="false">IF(TRIM(E765)="","",UPPER(TRIM(E765)))</f>
        <v/>
      </c>
    </row>
    <row r="766" customFormat="false" ht="14.25" hidden="false" customHeight="true" outlineLevel="0" collapsed="false">
      <c r="C766" s="17" t="str">
        <f aca="false">IF(TRIM(B766)="","",IFERROR(INDEX('Code Aliases'!$B:$B,MATCH(TRIM(B766),'Code Aliases'!$A:$A,0)),TRIM(B766)))</f>
        <v/>
      </c>
      <c r="I766" s="67" t="str">
        <f aca="false">IF(TRIM(D766)="","",UPPER(TRIM(D766)))</f>
        <v/>
      </c>
      <c r="J766" s="67" t="str">
        <f aca="false">IF(TRIM(E766)="","",UPPER(TRIM(E766)))</f>
        <v/>
      </c>
    </row>
    <row r="767" customFormat="false" ht="14.25" hidden="false" customHeight="true" outlineLevel="0" collapsed="false">
      <c r="C767" s="17" t="str">
        <f aca="false">IF(TRIM(B767)="","",IFERROR(INDEX('Code Aliases'!$B:$B,MATCH(TRIM(B767),'Code Aliases'!$A:$A,0)),TRIM(B767)))</f>
        <v/>
      </c>
      <c r="I767" s="67" t="str">
        <f aca="false">IF(TRIM(D767)="","",UPPER(TRIM(D767)))</f>
        <v/>
      </c>
      <c r="J767" s="67" t="str">
        <f aca="false">IF(TRIM(E767)="","",UPPER(TRIM(E767)))</f>
        <v/>
      </c>
    </row>
    <row r="768" customFormat="false" ht="14.25" hidden="false" customHeight="true" outlineLevel="0" collapsed="false">
      <c r="C768" s="17" t="str">
        <f aca="false">IF(TRIM(B768)="","",IFERROR(INDEX('Code Aliases'!$B:$B,MATCH(TRIM(B768),'Code Aliases'!$A:$A,0)),TRIM(B768)))</f>
        <v/>
      </c>
      <c r="I768" s="67" t="str">
        <f aca="false">IF(TRIM(D768)="","",UPPER(TRIM(D768)))</f>
        <v/>
      </c>
      <c r="J768" s="67" t="str">
        <f aca="false">IF(TRIM(E768)="","",UPPER(TRIM(E768)))</f>
        <v/>
      </c>
    </row>
    <row r="769" customFormat="false" ht="14.25" hidden="false" customHeight="true" outlineLevel="0" collapsed="false">
      <c r="C769" s="17" t="str">
        <f aca="false">IF(TRIM(B769)="","",IFERROR(INDEX('Code Aliases'!$B:$B,MATCH(TRIM(B769),'Code Aliases'!$A:$A,0)),TRIM(B769)))</f>
        <v/>
      </c>
      <c r="I769" s="67" t="str">
        <f aca="false">IF(TRIM(D769)="","",UPPER(TRIM(D769)))</f>
        <v/>
      </c>
      <c r="J769" s="67" t="str">
        <f aca="false">IF(TRIM(E769)="","",UPPER(TRIM(E769)))</f>
        <v/>
      </c>
    </row>
    <row r="770" customFormat="false" ht="14.25" hidden="false" customHeight="true" outlineLevel="0" collapsed="false">
      <c r="C770" s="17" t="str">
        <f aca="false">IF(TRIM(B770)="","",IFERROR(INDEX('Code Aliases'!$B:$B,MATCH(TRIM(B770),'Code Aliases'!$A:$A,0)),TRIM(B770)))</f>
        <v/>
      </c>
      <c r="I770" s="67" t="str">
        <f aca="false">IF(TRIM(D770)="","",UPPER(TRIM(D770)))</f>
        <v/>
      </c>
      <c r="J770" s="67" t="str">
        <f aca="false">IF(TRIM(E770)="","",UPPER(TRIM(E770)))</f>
        <v/>
      </c>
    </row>
    <row r="771" customFormat="false" ht="14.25" hidden="false" customHeight="true" outlineLevel="0" collapsed="false">
      <c r="C771" s="17" t="str">
        <f aca="false">IF(TRIM(B771)="","",IFERROR(INDEX('Code Aliases'!$B:$B,MATCH(TRIM(B771),'Code Aliases'!$A:$A,0)),TRIM(B771)))</f>
        <v/>
      </c>
      <c r="I771" s="67" t="str">
        <f aca="false">IF(TRIM(D771)="","",UPPER(TRIM(D771)))</f>
        <v/>
      </c>
      <c r="J771" s="67" t="str">
        <f aca="false">IF(TRIM(E771)="","",UPPER(TRIM(E771)))</f>
        <v/>
      </c>
    </row>
    <row r="772" customFormat="false" ht="14.25" hidden="false" customHeight="true" outlineLevel="0" collapsed="false">
      <c r="C772" s="17" t="str">
        <f aca="false">IF(TRIM(B772)="","",IFERROR(INDEX('Code Aliases'!$B:$B,MATCH(TRIM(B772),'Code Aliases'!$A:$A,0)),TRIM(B772)))</f>
        <v/>
      </c>
      <c r="I772" s="67" t="str">
        <f aca="false">IF(TRIM(D772)="","",UPPER(TRIM(D772)))</f>
        <v/>
      </c>
      <c r="J772" s="67" t="str">
        <f aca="false">IF(TRIM(E772)="","",UPPER(TRIM(E772)))</f>
        <v/>
      </c>
    </row>
    <row r="773" customFormat="false" ht="14.25" hidden="false" customHeight="true" outlineLevel="0" collapsed="false">
      <c r="C773" s="17" t="str">
        <f aca="false">IF(TRIM(B773)="","",IFERROR(INDEX('Code Aliases'!$B:$B,MATCH(TRIM(B773),'Code Aliases'!$A:$A,0)),TRIM(B773)))</f>
        <v/>
      </c>
      <c r="I773" s="67" t="str">
        <f aca="false">IF(TRIM(D773)="","",UPPER(TRIM(D773)))</f>
        <v/>
      </c>
      <c r="J773" s="67" t="str">
        <f aca="false">IF(TRIM(E773)="","",UPPER(TRIM(E773)))</f>
        <v/>
      </c>
    </row>
    <row r="774" customFormat="false" ht="14.25" hidden="false" customHeight="true" outlineLevel="0" collapsed="false">
      <c r="C774" s="17" t="str">
        <f aca="false">IF(TRIM(B774)="","",IFERROR(INDEX('Code Aliases'!$B:$B,MATCH(TRIM(B774),'Code Aliases'!$A:$A,0)),TRIM(B774)))</f>
        <v/>
      </c>
      <c r="I774" s="67" t="str">
        <f aca="false">IF(TRIM(D774)="","",UPPER(TRIM(D774)))</f>
        <v/>
      </c>
      <c r="J774" s="67" t="str">
        <f aca="false">IF(TRIM(E774)="","",UPPER(TRIM(E774)))</f>
        <v/>
      </c>
    </row>
    <row r="775" customFormat="false" ht="14.25" hidden="false" customHeight="true" outlineLevel="0" collapsed="false">
      <c r="C775" s="17" t="str">
        <f aca="false">IF(TRIM(B775)="","",IFERROR(INDEX('Code Aliases'!$B:$B,MATCH(TRIM(B775),'Code Aliases'!$A:$A,0)),TRIM(B775)))</f>
        <v/>
      </c>
      <c r="I775" s="67" t="str">
        <f aca="false">IF(TRIM(D775)="","",UPPER(TRIM(D775)))</f>
        <v/>
      </c>
      <c r="J775" s="67" t="str">
        <f aca="false">IF(TRIM(E775)="","",UPPER(TRIM(E775)))</f>
        <v/>
      </c>
    </row>
    <row r="776" customFormat="false" ht="14.25" hidden="false" customHeight="true" outlineLevel="0" collapsed="false">
      <c r="C776" s="17" t="str">
        <f aca="false">IF(TRIM(B776)="","",IFERROR(INDEX('Code Aliases'!$B:$B,MATCH(TRIM(B776),'Code Aliases'!$A:$A,0)),TRIM(B776)))</f>
        <v/>
      </c>
      <c r="I776" s="67" t="str">
        <f aca="false">IF(TRIM(D776)="","",UPPER(TRIM(D776)))</f>
        <v/>
      </c>
      <c r="J776" s="67" t="str">
        <f aca="false">IF(TRIM(E776)="","",UPPER(TRIM(E776)))</f>
        <v/>
      </c>
    </row>
    <row r="777" customFormat="false" ht="14.25" hidden="false" customHeight="true" outlineLevel="0" collapsed="false">
      <c r="C777" s="17" t="str">
        <f aca="false">IF(TRIM(B777)="","",IFERROR(INDEX('Code Aliases'!$B:$B,MATCH(TRIM(B777),'Code Aliases'!$A:$A,0)),TRIM(B777)))</f>
        <v/>
      </c>
      <c r="I777" s="67" t="str">
        <f aca="false">IF(TRIM(D777)="","",UPPER(TRIM(D777)))</f>
        <v/>
      </c>
      <c r="J777" s="67" t="str">
        <f aca="false">IF(TRIM(E777)="","",UPPER(TRIM(E777)))</f>
        <v/>
      </c>
    </row>
    <row r="778" customFormat="false" ht="14.25" hidden="false" customHeight="true" outlineLevel="0" collapsed="false">
      <c r="C778" s="17" t="str">
        <f aca="false">IF(TRIM(B778)="","",IFERROR(INDEX('Code Aliases'!$B:$B,MATCH(TRIM(B778),'Code Aliases'!$A:$A,0)),TRIM(B778)))</f>
        <v/>
      </c>
      <c r="I778" s="67" t="str">
        <f aca="false">IF(TRIM(D778)="","",UPPER(TRIM(D778)))</f>
        <v/>
      </c>
      <c r="J778" s="67" t="str">
        <f aca="false">IF(TRIM(E778)="","",UPPER(TRIM(E778)))</f>
        <v/>
      </c>
    </row>
    <row r="779" customFormat="false" ht="14.25" hidden="false" customHeight="true" outlineLevel="0" collapsed="false">
      <c r="C779" s="17" t="str">
        <f aca="false">IF(TRIM(B779)="","",IFERROR(INDEX('Code Aliases'!$B:$B,MATCH(TRIM(B779),'Code Aliases'!$A:$A,0)),TRIM(B779)))</f>
        <v/>
      </c>
      <c r="I779" s="67" t="str">
        <f aca="false">IF(TRIM(D779)="","",UPPER(TRIM(D779)))</f>
        <v/>
      </c>
      <c r="J779" s="67" t="str">
        <f aca="false">IF(TRIM(E779)="","",UPPER(TRIM(E779)))</f>
        <v/>
      </c>
    </row>
    <row r="780" customFormat="false" ht="14.25" hidden="false" customHeight="true" outlineLevel="0" collapsed="false">
      <c r="C780" s="17" t="str">
        <f aca="false">IF(TRIM(B780)="","",IFERROR(INDEX('Code Aliases'!$B:$B,MATCH(TRIM(B780),'Code Aliases'!$A:$A,0)),TRIM(B780)))</f>
        <v/>
      </c>
      <c r="I780" s="67" t="str">
        <f aca="false">IF(TRIM(D780)="","",UPPER(TRIM(D780)))</f>
        <v/>
      </c>
      <c r="J780" s="67" t="str">
        <f aca="false">IF(TRIM(E780)="","",UPPER(TRIM(E780)))</f>
        <v/>
      </c>
    </row>
    <row r="781" customFormat="false" ht="14.25" hidden="false" customHeight="true" outlineLevel="0" collapsed="false">
      <c r="C781" s="17" t="str">
        <f aca="false">IF(TRIM(B781)="","",IFERROR(INDEX('Code Aliases'!$B:$B,MATCH(TRIM(B781),'Code Aliases'!$A:$A,0)),TRIM(B781)))</f>
        <v/>
      </c>
      <c r="I781" s="67" t="str">
        <f aca="false">IF(TRIM(D781)="","",UPPER(TRIM(D781)))</f>
        <v/>
      </c>
      <c r="J781" s="67" t="str">
        <f aca="false">IF(TRIM(E781)="","",UPPER(TRIM(E781)))</f>
        <v/>
      </c>
    </row>
    <row r="782" customFormat="false" ht="14.25" hidden="false" customHeight="true" outlineLevel="0" collapsed="false">
      <c r="C782" s="17" t="str">
        <f aca="false">IF(TRIM(B782)="","",IFERROR(INDEX('Code Aliases'!$B:$B,MATCH(TRIM(B782),'Code Aliases'!$A:$A,0)),TRIM(B782)))</f>
        <v/>
      </c>
      <c r="I782" s="67" t="str">
        <f aca="false">IF(TRIM(D782)="","",UPPER(TRIM(D782)))</f>
        <v/>
      </c>
      <c r="J782" s="67" t="str">
        <f aca="false">IF(TRIM(E782)="","",UPPER(TRIM(E782)))</f>
        <v/>
      </c>
    </row>
    <row r="783" customFormat="false" ht="14.25" hidden="false" customHeight="true" outlineLevel="0" collapsed="false">
      <c r="C783" s="17" t="str">
        <f aca="false">IF(TRIM(B783)="","",IFERROR(INDEX('Code Aliases'!$B:$B,MATCH(TRIM(B783),'Code Aliases'!$A:$A,0)),TRIM(B783)))</f>
        <v/>
      </c>
      <c r="I783" s="67" t="str">
        <f aca="false">IF(TRIM(D783)="","",UPPER(TRIM(D783)))</f>
        <v/>
      </c>
      <c r="J783" s="67" t="str">
        <f aca="false">IF(TRIM(E783)="","",UPPER(TRIM(E783)))</f>
        <v/>
      </c>
    </row>
    <row r="784" customFormat="false" ht="14.25" hidden="false" customHeight="true" outlineLevel="0" collapsed="false">
      <c r="C784" s="17" t="str">
        <f aca="false">IF(TRIM(B784)="","",IFERROR(INDEX('Code Aliases'!$B:$B,MATCH(TRIM(B784),'Code Aliases'!$A:$A,0)),TRIM(B784)))</f>
        <v/>
      </c>
      <c r="I784" s="67" t="str">
        <f aca="false">IF(TRIM(D784)="","",UPPER(TRIM(D784)))</f>
        <v/>
      </c>
      <c r="J784" s="67" t="str">
        <f aca="false">IF(TRIM(E784)="","",UPPER(TRIM(E784)))</f>
        <v/>
      </c>
    </row>
    <row r="785" customFormat="false" ht="14.25" hidden="false" customHeight="true" outlineLevel="0" collapsed="false">
      <c r="C785" s="17" t="str">
        <f aca="false">IF(TRIM(B785)="","",IFERROR(INDEX('Code Aliases'!$B:$B,MATCH(TRIM(B785),'Code Aliases'!$A:$A,0)),TRIM(B785)))</f>
        <v/>
      </c>
      <c r="I785" s="67" t="str">
        <f aca="false">IF(TRIM(D785)="","",UPPER(TRIM(D785)))</f>
        <v/>
      </c>
      <c r="J785" s="67" t="str">
        <f aca="false">IF(TRIM(E785)="","",UPPER(TRIM(E785)))</f>
        <v/>
      </c>
    </row>
    <row r="786" customFormat="false" ht="14.25" hidden="false" customHeight="true" outlineLevel="0" collapsed="false">
      <c r="C786" s="17" t="str">
        <f aca="false">IF(TRIM(B786)="","",IFERROR(INDEX('Code Aliases'!$B:$B,MATCH(TRIM(B786),'Code Aliases'!$A:$A,0)),TRIM(B786)))</f>
        <v/>
      </c>
      <c r="I786" s="67" t="str">
        <f aca="false">IF(TRIM(D786)="","",UPPER(TRIM(D786)))</f>
        <v/>
      </c>
      <c r="J786" s="67" t="str">
        <f aca="false">IF(TRIM(E786)="","",UPPER(TRIM(E786)))</f>
        <v/>
      </c>
    </row>
    <row r="787" customFormat="false" ht="14.25" hidden="false" customHeight="true" outlineLevel="0" collapsed="false">
      <c r="C787" s="17" t="str">
        <f aca="false">IF(TRIM(B787)="","",IFERROR(INDEX('Code Aliases'!$B:$B,MATCH(TRIM(B787),'Code Aliases'!$A:$A,0)),TRIM(B787)))</f>
        <v/>
      </c>
      <c r="I787" s="67" t="str">
        <f aca="false">IF(TRIM(D787)="","",UPPER(TRIM(D787)))</f>
        <v/>
      </c>
      <c r="J787" s="67" t="str">
        <f aca="false">IF(TRIM(E787)="","",UPPER(TRIM(E787)))</f>
        <v/>
      </c>
    </row>
    <row r="788" customFormat="false" ht="14.25" hidden="false" customHeight="true" outlineLevel="0" collapsed="false">
      <c r="C788" s="17" t="str">
        <f aca="false">IF(TRIM(B788)="","",IFERROR(INDEX('Code Aliases'!$B:$B,MATCH(TRIM(B788),'Code Aliases'!$A:$A,0)),TRIM(B788)))</f>
        <v/>
      </c>
      <c r="I788" s="67" t="str">
        <f aca="false">IF(TRIM(D788)="","",UPPER(TRIM(D788)))</f>
        <v/>
      </c>
      <c r="J788" s="67" t="str">
        <f aca="false">IF(TRIM(E788)="","",UPPER(TRIM(E788)))</f>
        <v/>
      </c>
    </row>
    <row r="789" customFormat="false" ht="14.25" hidden="false" customHeight="true" outlineLevel="0" collapsed="false">
      <c r="C789" s="17" t="str">
        <f aca="false">IF(TRIM(B789)="","",IFERROR(INDEX('Code Aliases'!$B:$B,MATCH(TRIM(B789),'Code Aliases'!$A:$A,0)),TRIM(B789)))</f>
        <v/>
      </c>
      <c r="I789" s="67" t="str">
        <f aca="false">IF(TRIM(D789)="","",UPPER(TRIM(D789)))</f>
        <v/>
      </c>
      <c r="J789" s="67" t="str">
        <f aca="false">IF(TRIM(E789)="","",UPPER(TRIM(E789)))</f>
        <v/>
      </c>
    </row>
    <row r="790" customFormat="false" ht="14.25" hidden="false" customHeight="true" outlineLevel="0" collapsed="false">
      <c r="C790" s="17" t="str">
        <f aca="false">IF(TRIM(B790)="","",IFERROR(INDEX('Code Aliases'!$B:$B,MATCH(TRIM(B790),'Code Aliases'!$A:$A,0)),TRIM(B790)))</f>
        <v/>
      </c>
      <c r="I790" s="67" t="str">
        <f aca="false">IF(TRIM(D790)="","",UPPER(TRIM(D790)))</f>
        <v/>
      </c>
      <c r="J790" s="67" t="str">
        <f aca="false">IF(TRIM(E790)="","",UPPER(TRIM(E790)))</f>
        <v/>
      </c>
    </row>
    <row r="791" customFormat="false" ht="14.25" hidden="false" customHeight="true" outlineLevel="0" collapsed="false">
      <c r="C791" s="17" t="str">
        <f aca="false">IF(TRIM(B791)="","",IFERROR(INDEX('Code Aliases'!$B:$B,MATCH(TRIM(B791),'Code Aliases'!$A:$A,0)),TRIM(B791)))</f>
        <v/>
      </c>
      <c r="I791" s="67" t="str">
        <f aca="false">IF(TRIM(D791)="","",UPPER(TRIM(D791)))</f>
        <v/>
      </c>
      <c r="J791" s="67" t="str">
        <f aca="false">IF(TRIM(E791)="","",UPPER(TRIM(E791)))</f>
        <v/>
      </c>
    </row>
    <row r="792" customFormat="false" ht="14.25" hidden="false" customHeight="true" outlineLevel="0" collapsed="false">
      <c r="C792" s="17" t="str">
        <f aca="false">IF(TRIM(B792)="","",IFERROR(INDEX('Code Aliases'!$B:$B,MATCH(TRIM(B792),'Code Aliases'!$A:$A,0)),TRIM(B792)))</f>
        <v/>
      </c>
      <c r="I792" s="67" t="str">
        <f aca="false">IF(TRIM(D792)="","",UPPER(TRIM(D792)))</f>
        <v/>
      </c>
      <c r="J792" s="67" t="str">
        <f aca="false">IF(TRIM(E792)="","",UPPER(TRIM(E792)))</f>
        <v/>
      </c>
    </row>
    <row r="793" customFormat="false" ht="14.25" hidden="false" customHeight="true" outlineLevel="0" collapsed="false">
      <c r="C793" s="17" t="str">
        <f aca="false">IF(TRIM(B793)="","",IFERROR(INDEX('Code Aliases'!$B:$B,MATCH(TRIM(B793),'Code Aliases'!$A:$A,0)),TRIM(B793)))</f>
        <v/>
      </c>
      <c r="I793" s="67" t="str">
        <f aca="false">IF(TRIM(D793)="","",UPPER(TRIM(D793)))</f>
        <v/>
      </c>
      <c r="J793" s="67" t="str">
        <f aca="false">IF(TRIM(E793)="","",UPPER(TRIM(E793)))</f>
        <v/>
      </c>
    </row>
    <row r="794" customFormat="false" ht="14.25" hidden="false" customHeight="true" outlineLevel="0" collapsed="false">
      <c r="C794" s="17" t="str">
        <f aca="false">IF(TRIM(B794)="","",IFERROR(INDEX('Code Aliases'!$B:$B,MATCH(TRIM(B794),'Code Aliases'!$A:$A,0)),TRIM(B794)))</f>
        <v/>
      </c>
      <c r="I794" s="67" t="str">
        <f aca="false">IF(TRIM(D794)="","",UPPER(TRIM(D794)))</f>
        <v/>
      </c>
      <c r="J794" s="67" t="str">
        <f aca="false">IF(TRIM(E794)="","",UPPER(TRIM(E794)))</f>
        <v/>
      </c>
    </row>
    <row r="795" customFormat="false" ht="14.25" hidden="false" customHeight="true" outlineLevel="0" collapsed="false">
      <c r="C795" s="17" t="str">
        <f aca="false">IF(TRIM(B795)="","",IFERROR(INDEX('Code Aliases'!$B:$B,MATCH(TRIM(B795),'Code Aliases'!$A:$A,0)),TRIM(B795)))</f>
        <v/>
      </c>
      <c r="I795" s="67" t="str">
        <f aca="false">IF(TRIM(D795)="","",UPPER(TRIM(D795)))</f>
        <v/>
      </c>
      <c r="J795" s="67" t="str">
        <f aca="false">IF(TRIM(E795)="","",UPPER(TRIM(E795)))</f>
        <v/>
      </c>
    </row>
    <row r="796" customFormat="false" ht="14.25" hidden="false" customHeight="true" outlineLevel="0" collapsed="false">
      <c r="C796" s="17" t="str">
        <f aca="false">IF(TRIM(B796)="","",IFERROR(INDEX('Code Aliases'!$B:$B,MATCH(TRIM(B796),'Code Aliases'!$A:$A,0)),TRIM(B796)))</f>
        <v/>
      </c>
      <c r="I796" s="67" t="str">
        <f aca="false">IF(TRIM(D796)="","",UPPER(TRIM(D796)))</f>
        <v/>
      </c>
      <c r="J796" s="67" t="str">
        <f aca="false">IF(TRIM(E796)="","",UPPER(TRIM(E796)))</f>
        <v/>
      </c>
    </row>
    <row r="797" customFormat="false" ht="14.25" hidden="false" customHeight="true" outlineLevel="0" collapsed="false">
      <c r="C797" s="17" t="str">
        <f aca="false">IF(TRIM(B797)="","",IFERROR(INDEX('Code Aliases'!$B:$B,MATCH(TRIM(B797),'Code Aliases'!$A:$A,0)),TRIM(B797)))</f>
        <v/>
      </c>
      <c r="I797" s="67" t="str">
        <f aca="false">IF(TRIM(D797)="","",UPPER(TRIM(D797)))</f>
        <v/>
      </c>
      <c r="J797" s="67" t="str">
        <f aca="false">IF(TRIM(E797)="","",UPPER(TRIM(E797)))</f>
        <v/>
      </c>
    </row>
    <row r="798" customFormat="false" ht="14.25" hidden="false" customHeight="true" outlineLevel="0" collapsed="false">
      <c r="C798" s="17" t="str">
        <f aca="false">IF(TRIM(B798)="","",IFERROR(INDEX('Code Aliases'!$B:$B,MATCH(TRIM(B798),'Code Aliases'!$A:$A,0)),TRIM(B798)))</f>
        <v/>
      </c>
      <c r="I798" s="67" t="str">
        <f aca="false">IF(TRIM(D798)="","",UPPER(TRIM(D798)))</f>
        <v/>
      </c>
      <c r="J798" s="67" t="str">
        <f aca="false">IF(TRIM(E798)="","",UPPER(TRIM(E798)))</f>
        <v/>
      </c>
    </row>
    <row r="799" customFormat="false" ht="14.25" hidden="false" customHeight="true" outlineLevel="0" collapsed="false">
      <c r="C799" s="17" t="str">
        <f aca="false">IF(TRIM(B799)="","",IFERROR(INDEX('Code Aliases'!$B:$B,MATCH(TRIM(B799),'Code Aliases'!$A:$A,0)),TRIM(B799)))</f>
        <v/>
      </c>
      <c r="I799" s="67" t="str">
        <f aca="false">IF(TRIM(D799)="","",UPPER(TRIM(D799)))</f>
        <v/>
      </c>
      <c r="J799" s="67" t="str">
        <f aca="false">IF(TRIM(E799)="","",UPPER(TRIM(E799)))</f>
        <v/>
      </c>
    </row>
    <row r="800" customFormat="false" ht="14.25" hidden="false" customHeight="true" outlineLevel="0" collapsed="false">
      <c r="C800" s="17" t="str">
        <f aca="false">IF(TRIM(B800)="","",IFERROR(INDEX('Code Aliases'!$B:$B,MATCH(TRIM(B800),'Code Aliases'!$A:$A,0)),TRIM(B800)))</f>
        <v/>
      </c>
      <c r="I800" s="67" t="str">
        <f aca="false">IF(TRIM(D800)="","",UPPER(TRIM(D800)))</f>
        <v/>
      </c>
      <c r="J800" s="67" t="str">
        <f aca="false">IF(TRIM(E800)="","",UPPER(TRIM(E800)))</f>
        <v/>
      </c>
    </row>
    <row r="801" customFormat="false" ht="14.25" hidden="false" customHeight="true" outlineLevel="0" collapsed="false">
      <c r="C801" s="17" t="str">
        <f aca="false">IF(TRIM(B801)="","",IFERROR(INDEX('Code Aliases'!$B:$B,MATCH(TRIM(B801),'Code Aliases'!$A:$A,0)),TRIM(B801)))</f>
        <v/>
      </c>
      <c r="I801" s="67" t="str">
        <f aca="false">IF(TRIM(D801)="","",UPPER(TRIM(D801)))</f>
        <v/>
      </c>
      <c r="J801" s="67" t="str">
        <f aca="false">IF(TRIM(E801)="","",UPPER(TRIM(E801)))</f>
        <v/>
      </c>
    </row>
    <row r="802" customFormat="false" ht="14.25" hidden="false" customHeight="true" outlineLevel="0" collapsed="false">
      <c r="C802" s="17" t="str">
        <f aca="false">IF(TRIM(B802)="","",IFERROR(INDEX('Code Aliases'!$B:$B,MATCH(TRIM(B802),'Code Aliases'!$A:$A,0)),TRIM(B802)))</f>
        <v/>
      </c>
      <c r="I802" s="67" t="str">
        <f aca="false">IF(TRIM(D802)="","",UPPER(TRIM(D802)))</f>
        <v/>
      </c>
      <c r="J802" s="67" t="str">
        <f aca="false">IF(TRIM(E802)="","",UPPER(TRIM(E802)))</f>
        <v/>
      </c>
    </row>
    <row r="803" customFormat="false" ht="14.25" hidden="false" customHeight="true" outlineLevel="0" collapsed="false">
      <c r="C803" s="17" t="str">
        <f aca="false">IF(TRIM(B803)="","",IFERROR(INDEX('Code Aliases'!$B:$B,MATCH(TRIM(B803),'Code Aliases'!$A:$A,0)),TRIM(B803)))</f>
        <v/>
      </c>
      <c r="I803" s="67" t="str">
        <f aca="false">IF(TRIM(D803)="","",UPPER(TRIM(D803)))</f>
        <v/>
      </c>
      <c r="J803" s="67" t="str">
        <f aca="false">IF(TRIM(E803)="","",UPPER(TRIM(E803)))</f>
        <v/>
      </c>
    </row>
    <row r="804" customFormat="false" ht="14.25" hidden="false" customHeight="true" outlineLevel="0" collapsed="false">
      <c r="C804" s="17" t="str">
        <f aca="false">IF(TRIM(B804)="","",IFERROR(INDEX('Code Aliases'!$B:$B,MATCH(TRIM(B804),'Code Aliases'!$A:$A,0)),TRIM(B804)))</f>
        <v/>
      </c>
      <c r="I804" s="67" t="str">
        <f aca="false">IF(TRIM(D804)="","",UPPER(TRIM(D804)))</f>
        <v/>
      </c>
      <c r="J804" s="67" t="str">
        <f aca="false">IF(TRIM(E804)="","",UPPER(TRIM(E804)))</f>
        <v/>
      </c>
    </row>
    <row r="805" customFormat="false" ht="14.25" hidden="false" customHeight="true" outlineLevel="0" collapsed="false">
      <c r="C805" s="17" t="str">
        <f aca="false">IF(TRIM(B805)="","",IFERROR(INDEX('Code Aliases'!$B:$B,MATCH(TRIM(B805),'Code Aliases'!$A:$A,0)),TRIM(B805)))</f>
        <v/>
      </c>
      <c r="I805" s="67" t="str">
        <f aca="false">IF(TRIM(D805)="","",UPPER(TRIM(D805)))</f>
        <v/>
      </c>
      <c r="J805" s="67" t="str">
        <f aca="false">IF(TRIM(E805)="","",UPPER(TRIM(E805)))</f>
        <v/>
      </c>
    </row>
    <row r="806" customFormat="false" ht="14.25" hidden="false" customHeight="true" outlineLevel="0" collapsed="false">
      <c r="C806" s="17" t="str">
        <f aca="false">IF(TRIM(B806)="","",IFERROR(INDEX('Code Aliases'!$B:$B,MATCH(TRIM(B806),'Code Aliases'!$A:$A,0)),TRIM(B806)))</f>
        <v/>
      </c>
      <c r="I806" s="67" t="str">
        <f aca="false">IF(TRIM(D806)="","",UPPER(TRIM(D806)))</f>
        <v/>
      </c>
      <c r="J806" s="67" t="str">
        <f aca="false">IF(TRIM(E806)="","",UPPER(TRIM(E806)))</f>
        <v/>
      </c>
    </row>
    <row r="807" customFormat="false" ht="14.25" hidden="false" customHeight="true" outlineLevel="0" collapsed="false">
      <c r="C807" s="17" t="str">
        <f aca="false">IF(TRIM(B807)="","",IFERROR(INDEX('Code Aliases'!$B:$B,MATCH(TRIM(B807),'Code Aliases'!$A:$A,0)),TRIM(B807)))</f>
        <v/>
      </c>
      <c r="I807" s="67" t="str">
        <f aca="false">IF(TRIM(D807)="","",UPPER(TRIM(D807)))</f>
        <v/>
      </c>
      <c r="J807" s="67" t="str">
        <f aca="false">IF(TRIM(E807)="","",UPPER(TRIM(E807)))</f>
        <v/>
      </c>
    </row>
    <row r="808" customFormat="false" ht="14.25" hidden="false" customHeight="true" outlineLevel="0" collapsed="false">
      <c r="C808" s="17" t="str">
        <f aca="false">IF(TRIM(B808)="","",IFERROR(INDEX('Code Aliases'!$B:$B,MATCH(TRIM(B808),'Code Aliases'!$A:$A,0)),TRIM(B808)))</f>
        <v/>
      </c>
      <c r="I808" s="67" t="str">
        <f aca="false">IF(TRIM(D808)="","",UPPER(TRIM(D808)))</f>
        <v/>
      </c>
      <c r="J808" s="67" t="str">
        <f aca="false">IF(TRIM(E808)="","",UPPER(TRIM(E808)))</f>
        <v/>
      </c>
    </row>
    <row r="809" customFormat="false" ht="14.25" hidden="false" customHeight="true" outlineLevel="0" collapsed="false">
      <c r="C809" s="17" t="str">
        <f aca="false">IF(TRIM(B809)="","",IFERROR(INDEX('Code Aliases'!$B:$B,MATCH(TRIM(B809),'Code Aliases'!$A:$A,0)),TRIM(B809)))</f>
        <v/>
      </c>
      <c r="I809" s="67" t="str">
        <f aca="false">IF(TRIM(D809)="","",UPPER(TRIM(D809)))</f>
        <v/>
      </c>
      <c r="J809" s="67" t="str">
        <f aca="false">IF(TRIM(E809)="","",UPPER(TRIM(E809)))</f>
        <v/>
      </c>
    </row>
    <row r="810" customFormat="false" ht="14.25" hidden="false" customHeight="true" outlineLevel="0" collapsed="false">
      <c r="C810" s="17" t="str">
        <f aca="false">IF(TRIM(B810)="","",IFERROR(INDEX('Code Aliases'!$B:$B,MATCH(TRIM(B810),'Code Aliases'!$A:$A,0)),TRIM(B810)))</f>
        <v/>
      </c>
      <c r="I810" s="67" t="str">
        <f aca="false">IF(TRIM(D810)="","",UPPER(TRIM(D810)))</f>
        <v/>
      </c>
      <c r="J810" s="67" t="str">
        <f aca="false">IF(TRIM(E810)="","",UPPER(TRIM(E810)))</f>
        <v/>
      </c>
    </row>
    <row r="811" customFormat="false" ht="14.25" hidden="false" customHeight="true" outlineLevel="0" collapsed="false">
      <c r="C811" s="17" t="str">
        <f aca="false">IF(TRIM(B811)="","",IFERROR(INDEX('Code Aliases'!$B:$B,MATCH(TRIM(B811),'Code Aliases'!$A:$A,0)),TRIM(B811)))</f>
        <v/>
      </c>
      <c r="I811" s="67" t="str">
        <f aca="false">IF(TRIM(D811)="","",UPPER(TRIM(D811)))</f>
        <v/>
      </c>
      <c r="J811" s="67" t="str">
        <f aca="false">IF(TRIM(E811)="","",UPPER(TRIM(E811)))</f>
        <v/>
      </c>
    </row>
    <row r="812" customFormat="false" ht="14.25" hidden="false" customHeight="true" outlineLevel="0" collapsed="false">
      <c r="C812" s="17" t="str">
        <f aca="false">IF(TRIM(B812)="","",IFERROR(INDEX('Code Aliases'!$B:$B,MATCH(TRIM(B812),'Code Aliases'!$A:$A,0)),TRIM(B812)))</f>
        <v/>
      </c>
      <c r="I812" s="67" t="str">
        <f aca="false">IF(TRIM(D812)="","",UPPER(TRIM(D812)))</f>
        <v/>
      </c>
      <c r="J812" s="67" t="str">
        <f aca="false">IF(TRIM(E812)="","",UPPER(TRIM(E812)))</f>
        <v/>
      </c>
    </row>
    <row r="813" customFormat="false" ht="14.25" hidden="false" customHeight="true" outlineLevel="0" collapsed="false">
      <c r="C813" s="17" t="str">
        <f aca="false">IF(TRIM(B813)="","",IFERROR(INDEX('Code Aliases'!$B:$B,MATCH(TRIM(B813),'Code Aliases'!$A:$A,0)),TRIM(B813)))</f>
        <v/>
      </c>
      <c r="I813" s="67" t="str">
        <f aca="false">IF(TRIM(D813)="","",UPPER(TRIM(D813)))</f>
        <v/>
      </c>
      <c r="J813" s="67" t="str">
        <f aca="false">IF(TRIM(E813)="","",UPPER(TRIM(E813)))</f>
        <v/>
      </c>
    </row>
    <row r="814" customFormat="false" ht="14.25" hidden="false" customHeight="true" outlineLevel="0" collapsed="false">
      <c r="C814" s="17" t="str">
        <f aca="false">IF(TRIM(B814)="","",IFERROR(INDEX('Code Aliases'!$B:$B,MATCH(TRIM(B814),'Code Aliases'!$A:$A,0)),TRIM(B814)))</f>
        <v/>
      </c>
      <c r="I814" s="67" t="str">
        <f aca="false">IF(TRIM(D814)="","",UPPER(TRIM(D814)))</f>
        <v/>
      </c>
      <c r="J814" s="67" t="str">
        <f aca="false">IF(TRIM(E814)="","",UPPER(TRIM(E814)))</f>
        <v/>
      </c>
    </row>
    <row r="815" customFormat="false" ht="14.25" hidden="false" customHeight="true" outlineLevel="0" collapsed="false">
      <c r="C815" s="17" t="str">
        <f aca="false">IF(TRIM(B815)="","",IFERROR(INDEX('Code Aliases'!$B:$B,MATCH(TRIM(B815),'Code Aliases'!$A:$A,0)),TRIM(B815)))</f>
        <v/>
      </c>
      <c r="I815" s="67" t="str">
        <f aca="false">IF(TRIM(D815)="","",UPPER(TRIM(D815)))</f>
        <v/>
      </c>
      <c r="J815" s="67" t="str">
        <f aca="false">IF(TRIM(E815)="","",UPPER(TRIM(E815)))</f>
        <v/>
      </c>
    </row>
    <row r="816" customFormat="false" ht="14.25" hidden="false" customHeight="true" outlineLevel="0" collapsed="false">
      <c r="C816" s="17" t="str">
        <f aca="false">IF(TRIM(B816)="","",IFERROR(INDEX('Code Aliases'!$B:$B,MATCH(TRIM(B816),'Code Aliases'!$A:$A,0)),TRIM(B816)))</f>
        <v/>
      </c>
      <c r="I816" s="67" t="str">
        <f aca="false">IF(TRIM(D816)="","",UPPER(TRIM(D816)))</f>
        <v/>
      </c>
      <c r="J816" s="67" t="str">
        <f aca="false">IF(TRIM(E816)="","",UPPER(TRIM(E816)))</f>
        <v/>
      </c>
    </row>
    <row r="817" customFormat="false" ht="14.25" hidden="false" customHeight="true" outlineLevel="0" collapsed="false">
      <c r="C817" s="17" t="str">
        <f aca="false">IF(TRIM(B817)="","",IFERROR(INDEX('Code Aliases'!$B:$B,MATCH(TRIM(B817),'Code Aliases'!$A:$A,0)),TRIM(B817)))</f>
        <v/>
      </c>
      <c r="I817" s="67" t="str">
        <f aca="false">IF(TRIM(D817)="","",UPPER(TRIM(D817)))</f>
        <v/>
      </c>
      <c r="J817" s="67" t="str">
        <f aca="false">IF(TRIM(E817)="","",UPPER(TRIM(E817)))</f>
        <v/>
      </c>
    </row>
    <row r="818" customFormat="false" ht="14.25" hidden="false" customHeight="true" outlineLevel="0" collapsed="false">
      <c r="C818" s="17" t="str">
        <f aca="false">IF(TRIM(B818)="","",IFERROR(INDEX('Code Aliases'!$B:$B,MATCH(TRIM(B818),'Code Aliases'!$A:$A,0)),TRIM(B818)))</f>
        <v/>
      </c>
      <c r="I818" s="67" t="str">
        <f aca="false">IF(TRIM(D818)="","",UPPER(TRIM(D818)))</f>
        <v/>
      </c>
      <c r="J818" s="67" t="str">
        <f aca="false">IF(TRIM(E818)="","",UPPER(TRIM(E818)))</f>
        <v/>
      </c>
    </row>
    <row r="819" customFormat="false" ht="14.25" hidden="false" customHeight="true" outlineLevel="0" collapsed="false">
      <c r="C819" s="17" t="str">
        <f aca="false">IF(TRIM(B819)="","",IFERROR(INDEX('Code Aliases'!$B:$B,MATCH(TRIM(B819),'Code Aliases'!$A:$A,0)),TRIM(B819)))</f>
        <v/>
      </c>
      <c r="I819" s="67" t="str">
        <f aca="false">IF(TRIM(D819)="","",UPPER(TRIM(D819)))</f>
        <v/>
      </c>
      <c r="J819" s="67" t="str">
        <f aca="false">IF(TRIM(E819)="","",UPPER(TRIM(E819)))</f>
        <v/>
      </c>
    </row>
    <row r="820" customFormat="false" ht="14.25" hidden="false" customHeight="true" outlineLevel="0" collapsed="false">
      <c r="C820" s="17" t="str">
        <f aca="false">IF(TRIM(B820)="","",IFERROR(INDEX('Code Aliases'!$B:$B,MATCH(TRIM(B820),'Code Aliases'!$A:$A,0)),TRIM(B820)))</f>
        <v/>
      </c>
      <c r="I820" s="67" t="str">
        <f aca="false">IF(TRIM(D820)="","",UPPER(TRIM(D820)))</f>
        <v/>
      </c>
      <c r="J820" s="67" t="str">
        <f aca="false">IF(TRIM(E820)="","",UPPER(TRIM(E820)))</f>
        <v/>
      </c>
    </row>
    <row r="821" customFormat="false" ht="14.25" hidden="false" customHeight="true" outlineLevel="0" collapsed="false">
      <c r="C821" s="17" t="str">
        <f aca="false">IF(TRIM(B821)="","",IFERROR(INDEX('Code Aliases'!$B:$B,MATCH(TRIM(B821),'Code Aliases'!$A:$A,0)),TRIM(B821)))</f>
        <v/>
      </c>
      <c r="I821" s="67" t="str">
        <f aca="false">IF(TRIM(D821)="","",UPPER(TRIM(D821)))</f>
        <v/>
      </c>
      <c r="J821" s="67" t="str">
        <f aca="false">IF(TRIM(E821)="","",UPPER(TRIM(E821)))</f>
        <v/>
      </c>
    </row>
    <row r="822" customFormat="false" ht="14.25" hidden="false" customHeight="true" outlineLevel="0" collapsed="false">
      <c r="C822" s="17" t="str">
        <f aca="false">IF(TRIM(B822)="","",IFERROR(INDEX('Code Aliases'!$B:$B,MATCH(TRIM(B822),'Code Aliases'!$A:$A,0)),TRIM(B822)))</f>
        <v/>
      </c>
      <c r="I822" s="67" t="str">
        <f aca="false">IF(TRIM(D822)="","",UPPER(TRIM(D822)))</f>
        <v/>
      </c>
      <c r="J822" s="67" t="str">
        <f aca="false">IF(TRIM(E822)="","",UPPER(TRIM(E822)))</f>
        <v/>
      </c>
    </row>
    <row r="823" customFormat="false" ht="14.25" hidden="false" customHeight="true" outlineLevel="0" collapsed="false">
      <c r="C823" s="17" t="str">
        <f aca="false">IF(TRIM(B823)="","",IFERROR(INDEX('Code Aliases'!$B:$B,MATCH(TRIM(B823),'Code Aliases'!$A:$A,0)),TRIM(B823)))</f>
        <v/>
      </c>
      <c r="I823" s="67" t="str">
        <f aca="false">IF(TRIM(D823)="","",UPPER(TRIM(D823)))</f>
        <v/>
      </c>
      <c r="J823" s="67" t="str">
        <f aca="false">IF(TRIM(E823)="","",UPPER(TRIM(E823)))</f>
        <v/>
      </c>
    </row>
    <row r="824" customFormat="false" ht="14.25" hidden="false" customHeight="true" outlineLevel="0" collapsed="false">
      <c r="C824" s="17" t="str">
        <f aca="false">IF(TRIM(B824)="","",IFERROR(INDEX('Code Aliases'!$B:$B,MATCH(TRIM(B824),'Code Aliases'!$A:$A,0)),TRIM(B824)))</f>
        <v/>
      </c>
      <c r="I824" s="67" t="str">
        <f aca="false">IF(TRIM(D824)="","",UPPER(TRIM(D824)))</f>
        <v/>
      </c>
      <c r="J824" s="67" t="str">
        <f aca="false">IF(TRIM(E824)="","",UPPER(TRIM(E824)))</f>
        <v/>
      </c>
    </row>
    <row r="825" customFormat="false" ht="14.25" hidden="false" customHeight="true" outlineLevel="0" collapsed="false">
      <c r="C825" s="17" t="str">
        <f aca="false">IF(TRIM(B825)="","",IFERROR(INDEX('Code Aliases'!$B:$B,MATCH(TRIM(B825),'Code Aliases'!$A:$A,0)),TRIM(B825)))</f>
        <v/>
      </c>
      <c r="I825" s="67" t="str">
        <f aca="false">IF(TRIM(D825)="","",UPPER(TRIM(D825)))</f>
        <v/>
      </c>
      <c r="J825" s="67" t="str">
        <f aca="false">IF(TRIM(E825)="","",UPPER(TRIM(E825)))</f>
        <v/>
      </c>
    </row>
    <row r="826" customFormat="false" ht="14.25" hidden="false" customHeight="true" outlineLevel="0" collapsed="false">
      <c r="C826" s="17" t="str">
        <f aca="false">IF(TRIM(B826)="","",IFERROR(INDEX('Code Aliases'!$B:$B,MATCH(TRIM(B826),'Code Aliases'!$A:$A,0)),TRIM(B826)))</f>
        <v/>
      </c>
      <c r="I826" s="67" t="str">
        <f aca="false">IF(TRIM(D826)="","",UPPER(TRIM(D826)))</f>
        <v/>
      </c>
      <c r="J826" s="67" t="str">
        <f aca="false">IF(TRIM(E826)="","",UPPER(TRIM(E826)))</f>
        <v/>
      </c>
    </row>
    <row r="827" customFormat="false" ht="14.25" hidden="false" customHeight="true" outlineLevel="0" collapsed="false">
      <c r="C827" s="17" t="str">
        <f aca="false">IF(TRIM(B827)="","",IFERROR(INDEX('Code Aliases'!$B:$B,MATCH(TRIM(B827),'Code Aliases'!$A:$A,0)),TRIM(B827)))</f>
        <v/>
      </c>
      <c r="I827" s="67" t="str">
        <f aca="false">IF(TRIM(D827)="","",UPPER(TRIM(D827)))</f>
        <v/>
      </c>
      <c r="J827" s="67" t="str">
        <f aca="false">IF(TRIM(E827)="","",UPPER(TRIM(E827)))</f>
        <v/>
      </c>
    </row>
    <row r="828" customFormat="false" ht="14.25" hidden="false" customHeight="true" outlineLevel="0" collapsed="false">
      <c r="C828" s="17" t="str">
        <f aca="false">IF(TRIM(B828)="","",IFERROR(INDEX('Code Aliases'!$B:$B,MATCH(TRIM(B828),'Code Aliases'!$A:$A,0)),TRIM(B828)))</f>
        <v/>
      </c>
      <c r="I828" s="67" t="str">
        <f aca="false">IF(TRIM(D828)="","",UPPER(TRIM(D828)))</f>
        <v/>
      </c>
      <c r="J828" s="67" t="str">
        <f aca="false">IF(TRIM(E828)="","",UPPER(TRIM(E828)))</f>
        <v/>
      </c>
    </row>
    <row r="829" customFormat="false" ht="14.25" hidden="false" customHeight="true" outlineLevel="0" collapsed="false">
      <c r="C829" s="17" t="str">
        <f aca="false">IF(TRIM(B829)="","",IFERROR(INDEX('Code Aliases'!$B:$B,MATCH(TRIM(B829),'Code Aliases'!$A:$A,0)),TRIM(B829)))</f>
        <v/>
      </c>
      <c r="I829" s="67" t="str">
        <f aca="false">IF(TRIM(D829)="","",UPPER(TRIM(D829)))</f>
        <v/>
      </c>
      <c r="J829" s="67" t="str">
        <f aca="false">IF(TRIM(E829)="","",UPPER(TRIM(E829)))</f>
        <v/>
      </c>
    </row>
    <row r="830" customFormat="false" ht="14.25" hidden="false" customHeight="true" outlineLevel="0" collapsed="false">
      <c r="C830" s="17" t="str">
        <f aca="false">IF(TRIM(B830)="","",IFERROR(INDEX('Code Aliases'!$B:$B,MATCH(TRIM(B830),'Code Aliases'!$A:$A,0)),TRIM(B830)))</f>
        <v/>
      </c>
      <c r="I830" s="67" t="str">
        <f aca="false">IF(TRIM(D830)="","",UPPER(TRIM(D830)))</f>
        <v/>
      </c>
      <c r="J830" s="67" t="str">
        <f aca="false">IF(TRIM(E830)="","",UPPER(TRIM(E830)))</f>
        <v/>
      </c>
    </row>
    <row r="831" customFormat="false" ht="14.25" hidden="false" customHeight="true" outlineLevel="0" collapsed="false">
      <c r="C831" s="17" t="str">
        <f aca="false">IF(TRIM(B831)="","",IFERROR(INDEX('Code Aliases'!$B:$B,MATCH(TRIM(B831),'Code Aliases'!$A:$A,0)),TRIM(B831)))</f>
        <v/>
      </c>
      <c r="I831" s="67" t="str">
        <f aca="false">IF(TRIM(D831)="","",UPPER(TRIM(D831)))</f>
        <v/>
      </c>
      <c r="J831" s="67" t="str">
        <f aca="false">IF(TRIM(E831)="","",UPPER(TRIM(E831)))</f>
        <v/>
      </c>
    </row>
    <row r="832" customFormat="false" ht="14.25" hidden="false" customHeight="true" outlineLevel="0" collapsed="false">
      <c r="C832" s="17" t="str">
        <f aca="false">IF(TRIM(B832)="","",IFERROR(INDEX('Code Aliases'!$B:$B,MATCH(TRIM(B832),'Code Aliases'!$A:$A,0)),TRIM(B832)))</f>
        <v/>
      </c>
      <c r="I832" s="67" t="str">
        <f aca="false">IF(TRIM(D832)="","",UPPER(TRIM(D832)))</f>
        <v/>
      </c>
      <c r="J832" s="67" t="str">
        <f aca="false">IF(TRIM(E832)="","",UPPER(TRIM(E832)))</f>
        <v/>
      </c>
    </row>
    <row r="833" customFormat="false" ht="14.25" hidden="false" customHeight="true" outlineLevel="0" collapsed="false">
      <c r="C833" s="17" t="str">
        <f aca="false">IF(TRIM(B833)="","",IFERROR(INDEX('Code Aliases'!$B:$B,MATCH(TRIM(B833),'Code Aliases'!$A:$A,0)),TRIM(B833)))</f>
        <v/>
      </c>
      <c r="I833" s="67" t="str">
        <f aca="false">IF(TRIM(D833)="","",UPPER(TRIM(D833)))</f>
        <v/>
      </c>
      <c r="J833" s="67" t="str">
        <f aca="false">IF(TRIM(E833)="","",UPPER(TRIM(E833)))</f>
        <v/>
      </c>
    </row>
    <row r="834" customFormat="false" ht="14.25" hidden="false" customHeight="true" outlineLevel="0" collapsed="false">
      <c r="C834" s="17" t="str">
        <f aca="false">IF(TRIM(B834)="","",IFERROR(INDEX('Code Aliases'!$B:$B,MATCH(TRIM(B834),'Code Aliases'!$A:$A,0)),TRIM(B834)))</f>
        <v/>
      </c>
      <c r="I834" s="67" t="str">
        <f aca="false">IF(TRIM(D834)="","",UPPER(TRIM(D834)))</f>
        <v/>
      </c>
      <c r="J834" s="67" t="str">
        <f aca="false">IF(TRIM(E834)="","",UPPER(TRIM(E834)))</f>
        <v/>
      </c>
    </row>
    <row r="835" customFormat="false" ht="14.25" hidden="false" customHeight="true" outlineLevel="0" collapsed="false">
      <c r="C835" s="17" t="str">
        <f aca="false">IF(TRIM(B835)="","",IFERROR(INDEX('Code Aliases'!$B:$B,MATCH(TRIM(B835),'Code Aliases'!$A:$A,0)),TRIM(B835)))</f>
        <v/>
      </c>
      <c r="I835" s="67" t="str">
        <f aca="false">IF(TRIM(D835)="","",UPPER(TRIM(D835)))</f>
        <v/>
      </c>
      <c r="J835" s="67" t="str">
        <f aca="false">IF(TRIM(E835)="","",UPPER(TRIM(E835)))</f>
        <v/>
      </c>
    </row>
    <row r="836" customFormat="false" ht="14.25" hidden="false" customHeight="true" outlineLevel="0" collapsed="false">
      <c r="C836" s="17" t="str">
        <f aca="false">IF(TRIM(B836)="","",IFERROR(INDEX('Code Aliases'!$B:$B,MATCH(TRIM(B836),'Code Aliases'!$A:$A,0)),TRIM(B836)))</f>
        <v/>
      </c>
      <c r="I836" s="67" t="str">
        <f aca="false">IF(TRIM(D836)="","",UPPER(TRIM(D836)))</f>
        <v/>
      </c>
      <c r="J836" s="67" t="str">
        <f aca="false">IF(TRIM(E836)="","",UPPER(TRIM(E836)))</f>
        <v/>
      </c>
    </row>
    <row r="837" customFormat="false" ht="14.25" hidden="false" customHeight="true" outlineLevel="0" collapsed="false">
      <c r="C837" s="17" t="str">
        <f aca="false">IF(TRIM(B837)="","",IFERROR(INDEX('Code Aliases'!$B:$B,MATCH(TRIM(B837),'Code Aliases'!$A:$A,0)),TRIM(B837)))</f>
        <v/>
      </c>
      <c r="I837" s="67" t="str">
        <f aca="false">IF(TRIM(D837)="","",UPPER(TRIM(D837)))</f>
        <v/>
      </c>
      <c r="J837" s="67" t="str">
        <f aca="false">IF(TRIM(E837)="","",UPPER(TRIM(E837)))</f>
        <v/>
      </c>
    </row>
    <row r="838" customFormat="false" ht="14.25" hidden="false" customHeight="true" outlineLevel="0" collapsed="false">
      <c r="C838" s="17" t="str">
        <f aca="false">IF(TRIM(B838)="","",IFERROR(INDEX('Code Aliases'!$B:$B,MATCH(TRIM(B838),'Code Aliases'!$A:$A,0)),TRIM(B838)))</f>
        <v/>
      </c>
      <c r="I838" s="67" t="str">
        <f aca="false">IF(TRIM(D838)="","",UPPER(TRIM(D838)))</f>
        <v/>
      </c>
      <c r="J838" s="67" t="str">
        <f aca="false">IF(TRIM(E838)="","",UPPER(TRIM(E838)))</f>
        <v/>
      </c>
    </row>
    <row r="839" customFormat="false" ht="14.25" hidden="false" customHeight="true" outlineLevel="0" collapsed="false">
      <c r="C839" s="17" t="str">
        <f aca="false">IF(TRIM(B839)="","",IFERROR(INDEX('Code Aliases'!$B:$B,MATCH(TRIM(B839),'Code Aliases'!$A:$A,0)),TRIM(B839)))</f>
        <v/>
      </c>
      <c r="I839" s="67" t="str">
        <f aca="false">IF(TRIM(D839)="","",UPPER(TRIM(D839)))</f>
        <v/>
      </c>
      <c r="J839" s="67" t="str">
        <f aca="false">IF(TRIM(E839)="","",UPPER(TRIM(E839)))</f>
        <v/>
      </c>
    </row>
    <row r="840" customFormat="false" ht="14.25" hidden="false" customHeight="true" outlineLevel="0" collapsed="false">
      <c r="C840" s="17" t="str">
        <f aca="false">IF(TRIM(B840)="","",IFERROR(INDEX('Code Aliases'!$B:$B,MATCH(TRIM(B840),'Code Aliases'!$A:$A,0)),TRIM(B840)))</f>
        <v/>
      </c>
      <c r="I840" s="67" t="str">
        <f aca="false">IF(TRIM(D840)="","",UPPER(TRIM(D840)))</f>
        <v/>
      </c>
      <c r="J840" s="67" t="str">
        <f aca="false">IF(TRIM(E840)="","",UPPER(TRIM(E840)))</f>
        <v/>
      </c>
    </row>
    <row r="841" customFormat="false" ht="14.25" hidden="false" customHeight="true" outlineLevel="0" collapsed="false">
      <c r="C841" s="17" t="str">
        <f aca="false">IF(TRIM(B841)="","",IFERROR(INDEX('Code Aliases'!$B:$B,MATCH(TRIM(B841),'Code Aliases'!$A:$A,0)),TRIM(B841)))</f>
        <v/>
      </c>
      <c r="I841" s="67" t="str">
        <f aca="false">IF(TRIM(D841)="","",UPPER(TRIM(D841)))</f>
        <v/>
      </c>
      <c r="J841" s="67" t="str">
        <f aca="false">IF(TRIM(E841)="","",UPPER(TRIM(E841)))</f>
        <v/>
      </c>
    </row>
    <row r="842" customFormat="false" ht="14.25" hidden="false" customHeight="true" outlineLevel="0" collapsed="false">
      <c r="C842" s="17" t="str">
        <f aca="false">IF(TRIM(B842)="","",IFERROR(INDEX('Code Aliases'!$B:$B,MATCH(TRIM(B842),'Code Aliases'!$A:$A,0)),TRIM(B842)))</f>
        <v/>
      </c>
      <c r="I842" s="67" t="str">
        <f aca="false">IF(TRIM(D842)="","",UPPER(TRIM(D842)))</f>
        <v/>
      </c>
      <c r="J842" s="67" t="str">
        <f aca="false">IF(TRIM(E842)="","",UPPER(TRIM(E842)))</f>
        <v/>
      </c>
    </row>
    <row r="843" customFormat="false" ht="14.25" hidden="false" customHeight="true" outlineLevel="0" collapsed="false">
      <c r="C843" s="17" t="str">
        <f aca="false">IF(TRIM(B843)="","",IFERROR(INDEX('Code Aliases'!$B:$B,MATCH(TRIM(B843),'Code Aliases'!$A:$A,0)),TRIM(B843)))</f>
        <v/>
      </c>
      <c r="I843" s="67" t="str">
        <f aca="false">IF(TRIM(D843)="","",UPPER(TRIM(D843)))</f>
        <v/>
      </c>
      <c r="J843" s="67" t="str">
        <f aca="false">IF(TRIM(E843)="","",UPPER(TRIM(E843)))</f>
        <v/>
      </c>
    </row>
    <row r="844" customFormat="false" ht="14.25" hidden="false" customHeight="true" outlineLevel="0" collapsed="false">
      <c r="C844" s="17" t="str">
        <f aca="false">IF(TRIM(B844)="","",IFERROR(INDEX('Code Aliases'!$B:$B,MATCH(TRIM(B844),'Code Aliases'!$A:$A,0)),TRIM(B844)))</f>
        <v/>
      </c>
      <c r="I844" s="67" t="str">
        <f aca="false">IF(TRIM(D844)="","",UPPER(TRIM(D844)))</f>
        <v/>
      </c>
      <c r="J844" s="67" t="str">
        <f aca="false">IF(TRIM(E844)="","",UPPER(TRIM(E844)))</f>
        <v/>
      </c>
    </row>
    <row r="845" customFormat="false" ht="14.25" hidden="false" customHeight="true" outlineLevel="0" collapsed="false">
      <c r="C845" s="17" t="str">
        <f aca="false">IF(TRIM(B845)="","",IFERROR(INDEX('Code Aliases'!$B:$B,MATCH(TRIM(B845),'Code Aliases'!$A:$A,0)),TRIM(B845)))</f>
        <v/>
      </c>
      <c r="I845" s="67" t="str">
        <f aca="false">IF(TRIM(D845)="","",UPPER(TRIM(D845)))</f>
        <v/>
      </c>
      <c r="J845" s="67" t="str">
        <f aca="false">IF(TRIM(E845)="","",UPPER(TRIM(E845)))</f>
        <v/>
      </c>
    </row>
    <row r="846" customFormat="false" ht="14.25" hidden="false" customHeight="true" outlineLevel="0" collapsed="false">
      <c r="C846" s="17" t="str">
        <f aca="false">IF(TRIM(B846)="","",IFERROR(INDEX('Code Aliases'!$B:$B,MATCH(TRIM(B846),'Code Aliases'!$A:$A,0)),TRIM(B846)))</f>
        <v/>
      </c>
      <c r="I846" s="67" t="str">
        <f aca="false">IF(TRIM(D846)="","",UPPER(TRIM(D846)))</f>
        <v/>
      </c>
      <c r="J846" s="67" t="str">
        <f aca="false">IF(TRIM(E846)="","",UPPER(TRIM(E846)))</f>
        <v/>
      </c>
    </row>
    <row r="847" customFormat="false" ht="14.25" hidden="false" customHeight="true" outlineLevel="0" collapsed="false">
      <c r="C847" s="17" t="str">
        <f aca="false">IF(TRIM(B847)="","",IFERROR(INDEX('Code Aliases'!$B:$B,MATCH(TRIM(B847),'Code Aliases'!$A:$A,0)),TRIM(B847)))</f>
        <v/>
      </c>
      <c r="I847" s="67" t="str">
        <f aca="false">IF(TRIM(D847)="","",UPPER(TRIM(D847)))</f>
        <v/>
      </c>
      <c r="J847" s="67" t="str">
        <f aca="false">IF(TRIM(E847)="","",UPPER(TRIM(E847)))</f>
        <v/>
      </c>
    </row>
    <row r="848" customFormat="false" ht="14.25" hidden="false" customHeight="true" outlineLevel="0" collapsed="false">
      <c r="C848" s="17" t="str">
        <f aca="false">IF(TRIM(B848)="","",IFERROR(INDEX('Code Aliases'!$B:$B,MATCH(TRIM(B848),'Code Aliases'!$A:$A,0)),TRIM(B848)))</f>
        <v/>
      </c>
      <c r="I848" s="67" t="str">
        <f aca="false">IF(TRIM(D848)="","",UPPER(TRIM(D848)))</f>
        <v/>
      </c>
      <c r="J848" s="67" t="str">
        <f aca="false">IF(TRIM(E848)="","",UPPER(TRIM(E848)))</f>
        <v/>
      </c>
    </row>
    <row r="849" customFormat="false" ht="14.25" hidden="false" customHeight="true" outlineLevel="0" collapsed="false">
      <c r="C849" s="17" t="str">
        <f aca="false">IF(TRIM(B849)="","",IFERROR(INDEX('Code Aliases'!$B:$B,MATCH(TRIM(B849),'Code Aliases'!$A:$A,0)),TRIM(B849)))</f>
        <v/>
      </c>
      <c r="I849" s="67" t="str">
        <f aca="false">IF(TRIM(D849)="","",UPPER(TRIM(D849)))</f>
        <v/>
      </c>
      <c r="J849" s="67" t="str">
        <f aca="false">IF(TRIM(E849)="","",UPPER(TRIM(E849)))</f>
        <v/>
      </c>
    </row>
    <row r="850" customFormat="false" ht="14.25" hidden="false" customHeight="true" outlineLevel="0" collapsed="false">
      <c r="C850" s="17" t="str">
        <f aca="false">IF(TRIM(B850)="","",IFERROR(INDEX('Code Aliases'!$B:$B,MATCH(TRIM(B850),'Code Aliases'!$A:$A,0)),TRIM(B850)))</f>
        <v/>
      </c>
      <c r="I850" s="67" t="str">
        <f aca="false">IF(TRIM(D850)="","",UPPER(TRIM(D850)))</f>
        <v/>
      </c>
      <c r="J850" s="67" t="str">
        <f aca="false">IF(TRIM(E850)="","",UPPER(TRIM(E850)))</f>
        <v/>
      </c>
    </row>
    <row r="851" customFormat="false" ht="14.25" hidden="false" customHeight="true" outlineLevel="0" collapsed="false">
      <c r="C851" s="17" t="str">
        <f aca="false">IF(TRIM(B851)="","",IFERROR(INDEX('Code Aliases'!$B:$B,MATCH(TRIM(B851),'Code Aliases'!$A:$A,0)),TRIM(B851)))</f>
        <v/>
      </c>
      <c r="I851" s="67" t="str">
        <f aca="false">IF(TRIM(D851)="","",UPPER(TRIM(D851)))</f>
        <v/>
      </c>
      <c r="J851" s="67" t="str">
        <f aca="false">IF(TRIM(E851)="","",UPPER(TRIM(E851)))</f>
        <v/>
      </c>
    </row>
    <row r="852" customFormat="false" ht="14.25" hidden="false" customHeight="true" outlineLevel="0" collapsed="false">
      <c r="C852" s="17" t="str">
        <f aca="false">IF(TRIM(B852)="","",IFERROR(INDEX('Code Aliases'!$B:$B,MATCH(TRIM(B852),'Code Aliases'!$A:$A,0)),TRIM(B852)))</f>
        <v/>
      </c>
      <c r="I852" s="67" t="str">
        <f aca="false">IF(TRIM(D852)="","",UPPER(TRIM(D852)))</f>
        <v/>
      </c>
      <c r="J852" s="67" t="str">
        <f aca="false">IF(TRIM(E852)="","",UPPER(TRIM(E852)))</f>
        <v/>
      </c>
    </row>
    <row r="853" customFormat="false" ht="14.25" hidden="false" customHeight="true" outlineLevel="0" collapsed="false">
      <c r="C853" s="17" t="str">
        <f aca="false">IF(TRIM(B853)="","",IFERROR(INDEX('Code Aliases'!$B:$B,MATCH(TRIM(B853),'Code Aliases'!$A:$A,0)),TRIM(B853)))</f>
        <v/>
      </c>
      <c r="I853" s="67" t="str">
        <f aca="false">IF(TRIM(D853)="","",UPPER(TRIM(D853)))</f>
        <v/>
      </c>
      <c r="J853" s="67" t="str">
        <f aca="false">IF(TRIM(E853)="","",UPPER(TRIM(E853)))</f>
        <v/>
      </c>
    </row>
    <row r="854" customFormat="false" ht="14.25" hidden="false" customHeight="true" outlineLevel="0" collapsed="false">
      <c r="C854" s="17" t="str">
        <f aca="false">IF(TRIM(B854)="","",IFERROR(INDEX('Code Aliases'!$B:$B,MATCH(TRIM(B854),'Code Aliases'!$A:$A,0)),TRIM(B854)))</f>
        <v/>
      </c>
      <c r="I854" s="67" t="str">
        <f aca="false">IF(TRIM(D854)="","",UPPER(TRIM(D854)))</f>
        <v/>
      </c>
      <c r="J854" s="67" t="str">
        <f aca="false">IF(TRIM(E854)="","",UPPER(TRIM(E854)))</f>
        <v/>
      </c>
    </row>
    <row r="855" customFormat="false" ht="14.25" hidden="false" customHeight="true" outlineLevel="0" collapsed="false">
      <c r="C855" s="17" t="str">
        <f aca="false">IF(TRIM(B855)="","",IFERROR(INDEX('Code Aliases'!$B:$B,MATCH(TRIM(B855),'Code Aliases'!$A:$A,0)),TRIM(B855)))</f>
        <v/>
      </c>
      <c r="I855" s="67" t="str">
        <f aca="false">IF(TRIM(D855)="","",UPPER(TRIM(D855)))</f>
        <v/>
      </c>
      <c r="J855" s="67" t="str">
        <f aca="false">IF(TRIM(E855)="","",UPPER(TRIM(E855)))</f>
        <v/>
      </c>
    </row>
    <row r="856" customFormat="false" ht="14.25" hidden="false" customHeight="true" outlineLevel="0" collapsed="false">
      <c r="C856" s="17" t="str">
        <f aca="false">IF(TRIM(B856)="","",IFERROR(INDEX('Code Aliases'!$B:$B,MATCH(TRIM(B856),'Code Aliases'!$A:$A,0)),TRIM(B856)))</f>
        <v/>
      </c>
      <c r="I856" s="67" t="str">
        <f aca="false">IF(TRIM(D856)="","",UPPER(TRIM(D856)))</f>
        <v/>
      </c>
      <c r="J856" s="67" t="str">
        <f aca="false">IF(TRIM(E856)="","",UPPER(TRIM(E856)))</f>
        <v/>
      </c>
    </row>
    <row r="857" customFormat="false" ht="14.25" hidden="false" customHeight="true" outlineLevel="0" collapsed="false">
      <c r="C857" s="17" t="str">
        <f aca="false">IF(TRIM(B857)="","",IFERROR(INDEX('Code Aliases'!$B:$B,MATCH(TRIM(B857),'Code Aliases'!$A:$A,0)),TRIM(B857)))</f>
        <v/>
      </c>
      <c r="I857" s="67" t="str">
        <f aca="false">IF(TRIM(D857)="","",UPPER(TRIM(D857)))</f>
        <v/>
      </c>
      <c r="J857" s="67" t="str">
        <f aca="false">IF(TRIM(E857)="","",UPPER(TRIM(E857)))</f>
        <v/>
      </c>
    </row>
    <row r="858" customFormat="false" ht="14.25" hidden="false" customHeight="true" outlineLevel="0" collapsed="false">
      <c r="C858" s="17" t="str">
        <f aca="false">IF(TRIM(B858)="","",IFERROR(INDEX('Code Aliases'!$B:$B,MATCH(TRIM(B858),'Code Aliases'!$A:$A,0)),TRIM(B858)))</f>
        <v/>
      </c>
      <c r="I858" s="67" t="str">
        <f aca="false">IF(TRIM(D858)="","",UPPER(TRIM(D858)))</f>
        <v/>
      </c>
      <c r="J858" s="67" t="str">
        <f aca="false">IF(TRIM(E858)="","",UPPER(TRIM(E858)))</f>
        <v/>
      </c>
    </row>
    <row r="859" customFormat="false" ht="14.25" hidden="false" customHeight="true" outlineLevel="0" collapsed="false">
      <c r="C859" s="17" t="str">
        <f aca="false">IF(TRIM(B859)="","",IFERROR(INDEX('Code Aliases'!$B:$B,MATCH(TRIM(B859),'Code Aliases'!$A:$A,0)),TRIM(B859)))</f>
        <v/>
      </c>
      <c r="I859" s="67" t="str">
        <f aca="false">IF(TRIM(D859)="","",UPPER(TRIM(D859)))</f>
        <v/>
      </c>
      <c r="J859" s="67" t="str">
        <f aca="false">IF(TRIM(E859)="","",UPPER(TRIM(E859)))</f>
        <v/>
      </c>
    </row>
    <row r="860" customFormat="false" ht="14.25" hidden="false" customHeight="true" outlineLevel="0" collapsed="false">
      <c r="C860" s="17" t="str">
        <f aca="false">IF(TRIM(B860)="","",IFERROR(INDEX('Code Aliases'!$B:$B,MATCH(TRIM(B860),'Code Aliases'!$A:$A,0)),TRIM(B860)))</f>
        <v/>
      </c>
      <c r="I860" s="67" t="str">
        <f aca="false">IF(TRIM(D860)="","",UPPER(TRIM(D860)))</f>
        <v/>
      </c>
      <c r="J860" s="67" t="str">
        <f aca="false">IF(TRIM(E860)="","",UPPER(TRIM(E860)))</f>
        <v/>
      </c>
    </row>
    <row r="861" customFormat="false" ht="14.25" hidden="false" customHeight="true" outlineLevel="0" collapsed="false">
      <c r="C861" s="17" t="str">
        <f aca="false">IF(TRIM(B861)="","",IFERROR(INDEX('Code Aliases'!$B:$B,MATCH(TRIM(B861),'Code Aliases'!$A:$A,0)),TRIM(B861)))</f>
        <v/>
      </c>
      <c r="I861" s="67" t="str">
        <f aca="false">IF(TRIM(D861)="","",UPPER(TRIM(D861)))</f>
        <v/>
      </c>
      <c r="J861" s="67" t="str">
        <f aca="false">IF(TRIM(E861)="","",UPPER(TRIM(E861)))</f>
        <v/>
      </c>
    </row>
    <row r="862" customFormat="false" ht="14.25" hidden="false" customHeight="true" outlineLevel="0" collapsed="false">
      <c r="C862" s="17" t="str">
        <f aca="false">IF(TRIM(B862)="","",IFERROR(INDEX('Code Aliases'!$B:$B,MATCH(TRIM(B862),'Code Aliases'!$A:$A,0)),TRIM(B862)))</f>
        <v/>
      </c>
      <c r="I862" s="67" t="str">
        <f aca="false">IF(TRIM(D862)="","",UPPER(TRIM(D862)))</f>
        <v/>
      </c>
      <c r="J862" s="67" t="str">
        <f aca="false">IF(TRIM(E862)="","",UPPER(TRIM(E862)))</f>
        <v/>
      </c>
    </row>
    <row r="863" customFormat="false" ht="14.25" hidden="false" customHeight="true" outlineLevel="0" collapsed="false">
      <c r="C863" s="17" t="str">
        <f aca="false">IF(TRIM(B863)="","",IFERROR(INDEX('Code Aliases'!$B:$B,MATCH(TRIM(B863),'Code Aliases'!$A:$A,0)),TRIM(B863)))</f>
        <v/>
      </c>
      <c r="I863" s="67" t="str">
        <f aca="false">IF(TRIM(D863)="","",UPPER(TRIM(D863)))</f>
        <v/>
      </c>
      <c r="J863" s="67" t="str">
        <f aca="false">IF(TRIM(E863)="","",UPPER(TRIM(E863)))</f>
        <v/>
      </c>
    </row>
    <row r="864" customFormat="false" ht="14.25" hidden="false" customHeight="true" outlineLevel="0" collapsed="false">
      <c r="C864" s="17" t="str">
        <f aca="false">IF(TRIM(B864)="","",IFERROR(INDEX('Code Aliases'!$B:$B,MATCH(TRIM(B864),'Code Aliases'!$A:$A,0)),TRIM(B864)))</f>
        <v/>
      </c>
      <c r="I864" s="67" t="str">
        <f aca="false">IF(TRIM(D864)="","",UPPER(TRIM(D864)))</f>
        <v/>
      </c>
      <c r="J864" s="67" t="str">
        <f aca="false">IF(TRIM(E864)="","",UPPER(TRIM(E864)))</f>
        <v/>
      </c>
    </row>
    <row r="865" customFormat="false" ht="14.25" hidden="false" customHeight="true" outlineLevel="0" collapsed="false">
      <c r="C865" s="17" t="str">
        <f aca="false">IF(TRIM(B865)="","",IFERROR(INDEX('Code Aliases'!$B:$B,MATCH(TRIM(B865),'Code Aliases'!$A:$A,0)),TRIM(B865)))</f>
        <v/>
      </c>
      <c r="I865" s="67" t="str">
        <f aca="false">IF(TRIM(D865)="","",UPPER(TRIM(D865)))</f>
        <v/>
      </c>
      <c r="J865" s="67" t="str">
        <f aca="false">IF(TRIM(E865)="","",UPPER(TRIM(E865)))</f>
        <v/>
      </c>
    </row>
    <row r="866" customFormat="false" ht="14.25" hidden="false" customHeight="true" outlineLevel="0" collapsed="false">
      <c r="C866" s="17" t="str">
        <f aca="false">IF(TRIM(B866)="","",IFERROR(INDEX('Code Aliases'!$B:$B,MATCH(TRIM(B866),'Code Aliases'!$A:$A,0)),TRIM(B866)))</f>
        <v/>
      </c>
      <c r="I866" s="67" t="str">
        <f aca="false">IF(TRIM(D866)="","",UPPER(TRIM(D866)))</f>
        <v/>
      </c>
      <c r="J866" s="67" t="str">
        <f aca="false">IF(TRIM(E866)="","",UPPER(TRIM(E866)))</f>
        <v/>
      </c>
    </row>
    <row r="867" customFormat="false" ht="14.25" hidden="false" customHeight="true" outlineLevel="0" collapsed="false">
      <c r="C867" s="17" t="str">
        <f aca="false">IF(TRIM(B867)="","",IFERROR(INDEX('Code Aliases'!$B:$B,MATCH(TRIM(B867),'Code Aliases'!$A:$A,0)),TRIM(B867)))</f>
        <v/>
      </c>
      <c r="I867" s="67" t="str">
        <f aca="false">IF(TRIM(D867)="","",UPPER(TRIM(D867)))</f>
        <v/>
      </c>
      <c r="J867" s="67" t="str">
        <f aca="false">IF(TRIM(E867)="","",UPPER(TRIM(E867)))</f>
        <v/>
      </c>
    </row>
    <row r="868" customFormat="false" ht="14.25" hidden="false" customHeight="true" outlineLevel="0" collapsed="false">
      <c r="C868" s="17" t="str">
        <f aca="false">IF(TRIM(B868)="","",IFERROR(INDEX('Code Aliases'!$B:$B,MATCH(TRIM(B868),'Code Aliases'!$A:$A,0)),TRIM(B868)))</f>
        <v/>
      </c>
      <c r="I868" s="67" t="str">
        <f aca="false">IF(TRIM(D868)="","",UPPER(TRIM(D868)))</f>
        <v/>
      </c>
      <c r="J868" s="67" t="str">
        <f aca="false">IF(TRIM(E868)="","",UPPER(TRIM(E868)))</f>
        <v/>
      </c>
    </row>
    <row r="869" customFormat="false" ht="14.25" hidden="false" customHeight="true" outlineLevel="0" collapsed="false">
      <c r="C869" s="17" t="str">
        <f aca="false">IF(TRIM(B869)="","",IFERROR(INDEX('Code Aliases'!$B:$B,MATCH(TRIM(B869),'Code Aliases'!$A:$A,0)),TRIM(B869)))</f>
        <v/>
      </c>
      <c r="I869" s="67" t="str">
        <f aca="false">IF(TRIM(D869)="","",UPPER(TRIM(D869)))</f>
        <v/>
      </c>
      <c r="J869" s="67" t="str">
        <f aca="false">IF(TRIM(E869)="","",UPPER(TRIM(E869)))</f>
        <v/>
      </c>
    </row>
    <row r="870" customFormat="false" ht="14.25" hidden="false" customHeight="true" outlineLevel="0" collapsed="false">
      <c r="C870" s="17" t="str">
        <f aca="false">IF(TRIM(B870)="","",IFERROR(INDEX('Code Aliases'!$B:$B,MATCH(TRIM(B870),'Code Aliases'!$A:$A,0)),TRIM(B870)))</f>
        <v/>
      </c>
      <c r="I870" s="67" t="str">
        <f aca="false">IF(TRIM(D870)="","",UPPER(TRIM(D870)))</f>
        <v/>
      </c>
      <c r="J870" s="67" t="str">
        <f aca="false">IF(TRIM(E870)="","",UPPER(TRIM(E870)))</f>
        <v/>
      </c>
    </row>
    <row r="871" customFormat="false" ht="14.25" hidden="false" customHeight="true" outlineLevel="0" collapsed="false">
      <c r="C871" s="17" t="str">
        <f aca="false">IF(TRIM(B871)="","",IFERROR(INDEX('Code Aliases'!$B:$B,MATCH(TRIM(B871),'Code Aliases'!$A:$A,0)),TRIM(B871)))</f>
        <v/>
      </c>
      <c r="I871" s="67" t="str">
        <f aca="false">IF(TRIM(D871)="","",UPPER(TRIM(D871)))</f>
        <v/>
      </c>
      <c r="J871" s="67" t="str">
        <f aca="false">IF(TRIM(E871)="","",UPPER(TRIM(E871)))</f>
        <v/>
      </c>
    </row>
    <row r="872" customFormat="false" ht="14.25" hidden="false" customHeight="true" outlineLevel="0" collapsed="false">
      <c r="C872" s="17" t="str">
        <f aca="false">IF(TRIM(B872)="","",IFERROR(INDEX('Code Aliases'!$B:$B,MATCH(TRIM(B872),'Code Aliases'!$A:$A,0)),TRIM(B872)))</f>
        <v/>
      </c>
      <c r="I872" s="67" t="str">
        <f aca="false">IF(TRIM(D872)="","",UPPER(TRIM(D872)))</f>
        <v/>
      </c>
      <c r="J872" s="67" t="str">
        <f aca="false">IF(TRIM(E872)="","",UPPER(TRIM(E872)))</f>
        <v/>
      </c>
    </row>
    <row r="873" customFormat="false" ht="14.25" hidden="false" customHeight="true" outlineLevel="0" collapsed="false">
      <c r="C873" s="17" t="str">
        <f aca="false">IF(TRIM(B873)="","",IFERROR(INDEX('Code Aliases'!$B:$B,MATCH(TRIM(B873),'Code Aliases'!$A:$A,0)),TRIM(B873)))</f>
        <v/>
      </c>
      <c r="I873" s="67" t="str">
        <f aca="false">IF(TRIM(D873)="","",UPPER(TRIM(D873)))</f>
        <v/>
      </c>
      <c r="J873" s="67" t="str">
        <f aca="false">IF(TRIM(E873)="","",UPPER(TRIM(E873)))</f>
        <v/>
      </c>
    </row>
    <row r="874" customFormat="false" ht="14.25" hidden="false" customHeight="true" outlineLevel="0" collapsed="false">
      <c r="C874" s="17" t="str">
        <f aca="false">IF(TRIM(B874)="","",IFERROR(INDEX('Code Aliases'!$B:$B,MATCH(TRIM(B874),'Code Aliases'!$A:$A,0)),TRIM(B874)))</f>
        <v/>
      </c>
      <c r="I874" s="67" t="str">
        <f aca="false">IF(TRIM(D874)="","",UPPER(TRIM(D874)))</f>
        <v/>
      </c>
      <c r="J874" s="67" t="str">
        <f aca="false">IF(TRIM(E874)="","",UPPER(TRIM(E874)))</f>
        <v/>
      </c>
    </row>
    <row r="875" customFormat="false" ht="14.25" hidden="false" customHeight="true" outlineLevel="0" collapsed="false">
      <c r="C875" s="17" t="str">
        <f aca="false">IF(TRIM(B875)="","",IFERROR(INDEX('Code Aliases'!$B:$B,MATCH(TRIM(B875),'Code Aliases'!$A:$A,0)),TRIM(B875)))</f>
        <v/>
      </c>
      <c r="I875" s="67" t="str">
        <f aca="false">IF(TRIM(D875)="","",UPPER(TRIM(D875)))</f>
        <v/>
      </c>
      <c r="J875" s="67" t="str">
        <f aca="false">IF(TRIM(E875)="","",UPPER(TRIM(E875)))</f>
        <v/>
      </c>
    </row>
    <row r="876" customFormat="false" ht="14.25" hidden="false" customHeight="true" outlineLevel="0" collapsed="false">
      <c r="C876" s="17" t="str">
        <f aca="false">IF(TRIM(B876)="","",IFERROR(INDEX('Code Aliases'!$B:$B,MATCH(TRIM(B876),'Code Aliases'!$A:$A,0)),TRIM(B876)))</f>
        <v/>
      </c>
      <c r="I876" s="67" t="str">
        <f aca="false">IF(TRIM(D876)="","",UPPER(TRIM(D876)))</f>
        <v/>
      </c>
      <c r="J876" s="67" t="str">
        <f aca="false">IF(TRIM(E876)="","",UPPER(TRIM(E876)))</f>
        <v/>
      </c>
    </row>
    <row r="877" customFormat="false" ht="14.25" hidden="false" customHeight="true" outlineLevel="0" collapsed="false">
      <c r="C877" s="17" t="str">
        <f aca="false">IF(TRIM(B877)="","",IFERROR(INDEX('Code Aliases'!$B:$B,MATCH(TRIM(B877),'Code Aliases'!$A:$A,0)),TRIM(B877)))</f>
        <v/>
      </c>
      <c r="I877" s="67" t="str">
        <f aca="false">IF(TRIM(D877)="","",UPPER(TRIM(D877)))</f>
        <v/>
      </c>
      <c r="J877" s="67" t="str">
        <f aca="false">IF(TRIM(E877)="","",UPPER(TRIM(E877)))</f>
        <v/>
      </c>
    </row>
    <row r="878" customFormat="false" ht="14.25" hidden="false" customHeight="true" outlineLevel="0" collapsed="false">
      <c r="C878" s="17" t="str">
        <f aca="false">IF(TRIM(B878)="","",IFERROR(INDEX('Code Aliases'!$B:$B,MATCH(TRIM(B878),'Code Aliases'!$A:$A,0)),TRIM(B878)))</f>
        <v/>
      </c>
      <c r="I878" s="67" t="str">
        <f aca="false">IF(TRIM(D878)="","",UPPER(TRIM(D878)))</f>
        <v/>
      </c>
      <c r="J878" s="67" t="str">
        <f aca="false">IF(TRIM(E878)="","",UPPER(TRIM(E878)))</f>
        <v/>
      </c>
    </row>
    <row r="879" customFormat="false" ht="14.25" hidden="false" customHeight="true" outlineLevel="0" collapsed="false">
      <c r="C879" s="17" t="str">
        <f aca="false">IF(TRIM(B879)="","",IFERROR(INDEX('Code Aliases'!$B:$B,MATCH(TRIM(B879),'Code Aliases'!$A:$A,0)),TRIM(B879)))</f>
        <v/>
      </c>
      <c r="I879" s="67" t="str">
        <f aca="false">IF(TRIM(D879)="","",UPPER(TRIM(D879)))</f>
        <v/>
      </c>
      <c r="J879" s="67" t="str">
        <f aca="false">IF(TRIM(E879)="","",UPPER(TRIM(E879)))</f>
        <v/>
      </c>
    </row>
    <row r="880" customFormat="false" ht="14.25" hidden="false" customHeight="true" outlineLevel="0" collapsed="false">
      <c r="C880" s="17" t="str">
        <f aca="false">IF(TRIM(B880)="","",IFERROR(INDEX('Code Aliases'!$B:$B,MATCH(TRIM(B880),'Code Aliases'!$A:$A,0)),TRIM(B880)))</f>
        <v/>
      </c>
      <c r="I880" s="67" t="str">
        <f aca="false">IF(TRIM(D880)="","",UPPER(TRIM(D880)))</f>
        <v/>
      </c>
      <c r="J880" s="67" t="str">
        <f aca="false">IF(TRIM(E880)="","",UPPER(TRIM(E880)))</f>
        <v/>
      </c>
    </row>
    <row r="881" customFormat="false" ht="14.25" hidden="false" customHeight="true" outlineLevel="0" collapsed="false">
      <c r="C881" s="17" t="str">
        <f aca="false">IF(TRIM(B881)="","",IFERROR(INDEX('Code Aliases'!$B:$B,MATCH(TRIM(B881),'Code Aliases'!$A:$A,0)),TRIM(B881)))</f>
        <v/>
      </c>
      <c r="I881" s="67" t="str">
        <f aca="false">IF(TRIM(D881)="","",UPPER(TRIM(D881)))</f>
        <v/>
      </c>
      <c r="J881" s="67" t="str">
        <f aca="false">IF(TRIM(E881)="","",UPPER(TRIM(E881)))</f>
        <v/>
      </c>
    </row>
    <row r="882" customFormat="false" ht="14.25" hidden="false" customHeight="true" outlineLevel="0" collapsed="false">
      <c r="C882" s="17" t="str">
        <f aca="false">IF(TRIM(B882)="","",IFERROR(INDEX('Code Aliases'!$B:$B,MATCH(TRIM(B882),'Code Aliases'!$A:$A,0)),TRIM(B882)))</f>
        <v/>
      </c>
      <c r="I882" s="67" t="str">
        <f aca="false">IF(TRIM(D882)="","",UPPER(TRIM(D882)))</f>
        <v/>
      </c>
      <c r="J882" s="67" t="str">
        <f aca="false">IF(TRIM(E882)="","",UPPER(TRIM(E882)))</f>
        <v/>
      </c>
    </row>
    <row r="883" customFormat="false" ht="14.25" hidden="false" customHeight="true" outlineLevel="0" collapsed="false">
      <c r="C883" s="17" t="str">
        <f aca="false">IF(TRIM(B883)="","",IFERROR(INDEX('Code Aliases'!$B:$B,MATCH(TRIM(B883),'Code Aliases'!$A:$A,0)),TRIM(B883)))</f>
        <v/>
      </c>
      <c r="I883" s="67" t="str">
        <f aca="false">IF(TRIM(D883)="","",UPPER(TRIM(D883)))</f>
        <v/>
      </c>
      <c r="J883" s="67" t="str">
        <f aca="false">IF(TRIM(E883)="","",UPPER(TRIM(E883)))</f>
        <v/>
      </c>
    </row>
    <row r="884" customFormat="false" ht="14.25" hidden="false" customHeight="true" outlineLevel="0" collapsed="false">
      <c r="C884" s="17" t="str">
        <f aca="false">IF(TRIM(B884)="","",IFERROR(INDEX('Code Aliases'!$B:$B,MATCH(TRIM(B884),'Code Aliases'!$A:$A,0)),TRIM(B884)))</f>
        <v/>
      </c>
      <c r="I884" s="67" t="str">
        <f aca="false">IF(TRIM(D884)="","",UPPER(TRIM(D884)))</f>
        <v/>
      </c>
      <c r="J884" s="67" t="str">
        <f aca="false">IF(TRIM(E884)="","",UPPER(TRIM(E884)))</f>
        <v/>
      </c>
    </row>
    <row r="885" customFormat="false" ht="14.25" hidden="false" customHeight="true" outlineLevel="0" collapsed="false">
      <c r="C885" s="17" t="str">
        <f aca="false">IF(TRIM(B885)="","",IFERROR(INDEX('Code Aliases'!$B:$B,MATCH(TRIM(B885),'Code Aliases'!$A:$A,0)),TRIM(B885)))</f>
        <v/>
      </c>
      <c r="I885" s="67" t="str">
        <f aca="false">IF(TRIM(D885)="","",UPPER(TRIM(D885)))</f>
        <v/>
      </c>
      <c r="J885" s="67" t="str">
        <f aca="false">IF(TRIM(E885)="","",UPPER(TRIM(E885)))</f>
        <v/>
      </c>
    </row>
    <row r="886" customFormat="false" ht="14.25" hidden="false" customHeight="true" outlineLevel="0" collapsed="false">
      <c r="C886" s="17" t="str">
        <f aca="false">IF(TRIM(B886)="","",IFERROR(INDEX('Code Aliases'!$B:$B,MATCH(TRIM(B886),'Code Aliases'!$A:$A,0)),TRIM(B886)))</f>
        <v/>
      </c>
      <c r="I886" s="67" t="str">
        <f aca="false">IF(TRIM(D886)="","",UPPER(TRIM(D886)))</f>
        <v/>
      </c>
      <c r="J886" s="67" t="str">
        <f aca="false">IF(TRIM(E886)="","",UPPER(TRIM(E886)))</f>
        <v/>
      </c>
    </row>
    <row r="887" customFormat="false" ht="14.25" hidden="false" customHeight="true" outlineLevel="0" collapsed="false">
      <c r="C887" s="17" t="str">
        <f aca="false">IF(TRIM(B887)="","",IFERROR(INDEX('Code Aliases'!$B:$B,MATCH(TRIM(B887),'Code Aliases'!$A:$A,0)),TRIM(B887)))</f>
        <v/>
      </c>
      <c r="I887" s="67" t="str">
        <f aca="false">IF(TRIM(D887)="","",UPPER(TRIM(D887)))</f>
        <v/>
      </c>
      <c r="J887" s="67" t="str">
        <f aca="false">IF(TRIM(E887)="","",UPPER(TRIM(E887)))</f>
        <v/>
      </c>
    </row>
    <row r="888" customFormat="false" ht="14.25" hidden="false" customHeight="true" outlineLevel="0" collapsed="false">
      <c r="C888" s="17" t="str">
        <f aca="false">IF(TRIM(B888)="","",IFERROR(INDEX('Code Aliases'!$B:$B,MATCH(TRIM(B888),'Code Aliases'!$A:$A,0)),TRIM(B888)))</f>
        <v/>
      </c>
      <c r="I888" s="67" t="str">
        <f aca="false">IF(TRIM(D888)="","",UPPER(TRIM(D888)))</f>
        <v/>
      </c>
      <c r="J888" s="67" t="str">
        <f aca="false">IF(TRIM(E888)="","",UPPER(TRIM(E888)))</f>
        <v/>
      </c>
    </row>
    <row r="889" customFormat="false" ht="14.25" hidden="false" customHeight="true" outlineLevel="0" collapsed="false">
      <c r="C889" s="17" t="str">
        <f aca="false">IF(TRIM(B889)="","",IFERROR(INDEX('Code Aliases'!$B:$B,MATCH(TRIM(B889),'Code Aliases'!$A:$A,0)),TRIM(B889)))</f>
        <v/>
      </c>
      <c r="I889" s="67" t="str">
        <f aca="false">IF(TRIM(D889)="","",UPPER(TRIM(D889)))</f>
        <v/>
      </c>
      <c r="J889" s="67" t="str">
        <f aca="false">IF(TRIM(E889)="","",UPPER(TRIM(E889)))</f>
        <v/>
      </c>
    </row>
    <row r="890" customFormat="false" ht="14.25" hidden="false" customHeight="true" outlineLevel="0" collapsed="false">
      <c r="C890" s="17" t="str">
        <f aca="false">IF(TRIM(B890)="","",IFERROR(INDEX('Code Aliases'!$B:$B,MATCH(TRIM(B890),'Code Aliases'!$A:$A,0)),TRIM(B890)))</f>
        <v/>
      </c>
      <c r="I890" s="67" t="str">
        <f aca="false">IF(TRIM(D890)="","",UPPER(TRIM(D890)))</f>
        <v/>
      </c>
      <c r="J890" s="67" t="str">
        <f aca="false">IF(TRIM(E890)="","",UPPER(TRIM(E890)))</f>
        <v/>
      </c>
    </row>
    <row r="891" customFormat="false" ht="14.25" hidden="false" customHeight="true" outlineLevel="0" collapsed="false">
      <c r="C891" s="17" t="str">
        <f aca="false">IF(TRIM(B891)="","",IFERROR(INDEX('Code Aliases'!$B:$B,MATCH(TRIM(B891),'Code Aliases'!$A:$A,0)),TRIM(B891)))</f>
        <v/>
      </c>
      <c r="I891" s="67" t="str">
        <f aca="false">IF(TRIM(D891)="","",UPPER(TRIM(D891)))</f>
        <v/>
      </c>
      <c r="J891" s="67" t="str">
        <f aca="false">IF(TRIM(E891)="","",UPPER(TRIM(E891)))</f>
        <v/>
      </c>
    </row>
    <row r="892" customFormat="false" ht="14.25" hidden="false" customHeight="true" outlineLevel="0" collapsed="false">
      <c r="C892" s="17" t="str">
        <f aca="false">IF(TRIM(B892)="","",IFERROR(INDEX('Code Aliases'!$B:$B,MATCH(TRIM(B892),'Code Aliases'!$A:$A,0)),TRIM(B892)))</f>
        <v/>
      </c>
      <c r="I892" s="67" t="str">
        <f aca="false">IF(TRIM(D892)="","",UPPER(TRIM(D892)))</f>
        <v/>
      </c>
      <c r="J892" s="67" t="str">
        <f aca="false">IF(TRIM(E892)="","",UPPER(TRIM(E892)))</f>
        <v/>
      </c>
    </row>
    <row r="893" customFormat="false" ht="14.25" hidden="false" customHeight="true" outlineLevel="0" collapsed="false">
      <c r="C893" s="17" t="str">
        <f aca="false">IF(TRIM(B893)="","",IFERROR(INDEX('Code Aliases'!$B:$B,MATCH(TRIM(B893),'Code Aliases'!$A:$A,0)),TRIM(B893)))</f>
        <v/>
      </c>
      <c r="I893" s="67" t="str">
        <f aca="false">IF(TRIM(D893)="","",UPPER(TRIM(D893)))</f>
        <v/>
      </c>
      <c r="J893" s="67" t="str">
        <f aca="false">IF(TRIM(E893)="","",UPPER(TRIM(E893)))</f>
        <v/>
      </c>
    </row>
    <row r="894" customFormat="false" ht="14.25" hidden="false" customHeight="true" outlineLevel="0" collapsed="false">
      <c r="C894" s="17" t="str">
        <f aca="false">IF(TRIM(B894)="","",IFERROR(INDEX('Code Aliases'!$B:$B,MATCH(TRIM(B894),'Code Aliases'!$A:$A,0)),TRIM(B894)))</f>
        <v/>
      </c>
      <c r="I894" s="67" t="str">
        <f aca="false">IF(TRIM(D894)="","",UPPER(TRIM(D894)))</f>
        <v/>
      </c>
      <c r="J894" s="67" t="str">
        <f aca="false">IF(TRIM(E894)="","",UPPER(TRIM(E894)))</f>
        <v/>
      </c>
    </row>
    <row r="895" customFormat="false" ht="14.25" hidden="false" customHeight="true" outlineLevel="0" collapsed="false">
      <c r="C895" s="17" t="str">
        <f aca="false">IF(TRIM(B895)="","",IFERROR(INDEX('Code Aliases'!$B:$B,MATCH(TRIM(B895),'Code Aliases'!$A:$A,0)),TRIM(B895)))</f>
        <v/>
      </c>
      <c r="I895" s="67" t="str">
        <f aca="false">IF(TRIM(D895)="","",UPPER(TRIM(D895)))</f>
        <v/>
      </c>
      <c r="J895" s="67" t="str">
        <f aca="false">IF(TRIM(E895)="","",UPPER(TRIM(E895)))</f>
        <v/>
      </c>
    </row>
    <row r="896" customFormat="false" ht="14.25" hidden="false" customHeight="true" outlineLevel="0" collapsed="false">
      <c r="C896" s="17" t="str">
        <f aca="false">IF(TRIM(B896)="","",IFERROR(INDEX('Code Aliases'!$B:$B,MATCH(TRIM(B896),'Code Aliases'!$A:$A,0)),TRIM(B896)))</f>
        <v/>
      </c>
      <c r="I896" s="67" t="str">
        <f aca="false">IF(TRIM(D896)="","",UPPER(TRIM(D896)))</f>
        <v/>
      </c>
      <c r="J896" s="67" t="str">
        <f aca="false">IF(TRIM(E896)="","",UPPER(TRIM(E896)))</f>
        <v/>
      </c>
    </row>
    <row r="897" customFormat="false" ht="14.25" hidden="false" customHeight="true" outlineLevel="0" collapsed="false">
      <c r="C897" s="17" t="str">
        <f aca="false">IF(TRIM(B897)="","",IFERROR(INDEX('Code Aliases'!$B:$B,MATCH(TRIM(B897),'Code Aliases'!$A:$A,0)),TRIM(B897)))</f>
        <v/>
      </c>
      <c r="I897" s="67" t="str">
        <f aca="false">IF(TRIM(D897)="","",UPPER(TRIM(D897)))</f>
        <v/>
      </c>
      <c r="J897" s="67" t="str">
        <f aca="false">IF(TRIM(E897)="","",UPPER(TRIM(E897)))</f>
        <v/>
      </c>
    </row>
    <row r="898" customFormat="false" ht="14.25" hidden="false" customHeight="true" outlineLevel="0" collapsed="false">
      <c r="C898" s="17" t="str">
        <f aca="false">IF(TRIM(B898)="","",IFERROR(INDEX('Code Aliases'!$B:$B,MATCH(TRIM(B898),'Code Aliases'!$A:$A,0)),TRIM(B898)))</f>
        <v/>
      </c>
      <c r="I898" s="67" t="str">
        <f aca="false">IF(TRIM(D898)="","",UPPER(TRIM(D898)))</f>
        <v/>
      </c>
      <c r="J898" s="67" t="str">
        <f aca="false">IF(TRIM(E898)="","",UPPER(TRIM(E898)))</f>
        <v/>
      </c>
    </row>
    <row r="899" customFormat="false" ht="14.25" hidden="false" customHeight="true" outlineLevel="0" collapsed="false">
      <c r="C899" s="17" t="str">
        <f aca="false">IF(TRIM(B899)="","",IFERROR(INDEX('Code Aliases'!$B:$B,MATCH(TRIM(B899),'Code Aliases'!$A:$A,0)),TRIM(B899)))</f>
        <v/>
      </c>
      <c r="I899" s="67" t="str">
        <f aca="false">IF(TRIM(D899)="","",UPPER(TRIM(D899)))</f>
        <v/>
      </c>
      <c r="J899" s="67" t="str">
        <f aca="false">IF(TRIM(E899)="","",UPPER(TRIM(E899)))</f>
        <v/>
      </c>
    </row>
    <row r="900" customFormat="false" ht="14.25" hidden="false" customHeight="true" outlineLevel="0" collapsed="false">
      <c r="C900" s="17" t="str">
        <f aca="false">IF(TRIM(B900)="","",IFERROR(INDEX('Code Aliases'!$B:$B,MATCH(TRIM(B900),'Code Aliases'!$A:$A,0)),TRIM(B900)))</f>
        <v/>
      </c>
      <c r="I900" s="67" t="str">
        <f aca="false">IF(TRIM(D900)="","",UPPER(TRIM(D900)))</f>
        <v/>
      </c>
      <c r="J900" s="67" t="str">
        <f aca="false">IF(TRIM(E900)="","",UPPER(TRIM(E900)))</f>
        <v/>
      </c>
    </row>
    <row r="901" customFormat="false" ht="14.25" hidden="false" customHeight="true" outlineLevel="0" collapsed="false">
      <c r="C901" s="17" t="str">
        <f aca="false">IF(TRIM(B901)="","",IFERROR(INDEX('Code Aliases'!$B:$B,MATCH(TRIM(B901),'Code Aliases'!$A:$A,0)),TRIM(B901)))</f>
        <v/>
      </c>
      <c r="I901" s="67" t="str">
        <f aca="false">IF(TRIM(D901)="","",UPPER(TRIM(D901)))</f>
        <v/>
      </c>
      <c r="J901" s="67" t="str">
        <f aca="false">IF(TRIM(E901)="","",UPPER(TRIM(E901)))</f>
        <v/>
      </c>
    </row>
    <row r="902" customFormat="false" ht="14.25" hidden="false" customHeight="true" outlineLevel="0" collapsed="false">
      <c r="C902" s="17" t="str">
        <f aca="false">IF(TRIM(B902)="","",IFERROR(INDEX('Code Aliases'!$B:$B,MATCH(TRIM(B902),'Code Aliases'!$A:$A,0)),TRIM(B902)))</f>
        <v/>
      </c>
      <c r="I902" s="67" t="str">
        <f aca="false">IF(TRIM(D902)="","",UPPER(TRIM(D902)))</f>
        <v/>
      </c>
      <c r="J902" s="67" t="str">
        <f aca="false">IF(TRIM(E902)="","",UPPER(TRIM(E902)))</f>
        <v/>
      </c>
    </row>
    <row r="903" customFormat="false" ht="14.25" hidden="false" customHeight="true" outlineLevel="0" collapsed="false">
      <c r="C903" s="17" t="str">
        <f aca="false">IF(TRIM(B903)="","",IFERROR(INDEX('Code Aliases'!$B:$B,MATCH(TRIM(B903),'Code Aliases'!$A:$A,0)),TRIM(B903)))</f>
        <v/>
      </c>
      <c r="I903" s="67" t="str">
        <f aca="false">IF(TRIM(D903)="","",UPPER(TRIM(D903)))</f>
        <v/>
      </c>
      <c r="J903" s="67" t="str">
        <f aca="false">IF(TRIM(E903)="","",UPPER(TRIM(E903)))</f>
        <v/>
      </c>
    </row>
    <row r="904" customFormat="false" ht="14.25" hidden="false" customHeight="true" outlineLevel="0" collapsed="false">
      <c r="C904" s="17" t="str">
        <f aca="false">IF(TRIM(B904)="","",IFERROR(INDEX('Code Aliases'!$B:$B,MATCH(TRIM(B904),'Code Aliases'!$A:$A,0)),TRIM(B904)))</f>
        <v/>
      </c>
      <c r="I904" s="67" t="str">
        <f aca="false">IF(TRIM(D904)="","",UPPER(TRIM(D904)))</f>
        <v/>
      </c>
      <c r="J904" s="67" t="str">
        <f aca="false">IF(TRIM(E904)="","",UPPER(TRIM(E904)))</f>
        <v/>
      </c>
    </row>
    <row r="905" customFormat="false" ht="14.25" hidden="false" customHeight="true" outlineLevel="0" collapsed="false">
      <c r="C905" s="17" t="str">
        <f aca="false">IF(TRIM(B905)="","",IFERROR(INDEX('Code Aliases'!$B:$B,MATCH(TRIM(B905),'Code Aliases'!$A:$A,0)),TRIM(B905)))</f>
        <v/>
      </c>
      <c r="I905" s="67" t="str">
        <f aca="false">IF(TRIM(D905)="","",UPPER(TRIM(D905)))</f>
        <v/>
      </c>
      <c r="J905" s="67" t="str">
        <f aca="false">IF(TRIM(E905)="","",UPPER(TRIM(E905)))</f>
        <v/>
      </c>
    </row>
    <row r="906" customFormat="false" ht="14.25" hidden="false" customHeight="true" outlineLevel="0" collapsed="false">
      <c r="C906" s="17" t="str">
        <f aca="false">IF(TRIM(B906)="","",IFERROR(INDEX('Code Aliases'!$B:$B,MATCH(TRIM(B906),'Code Aliases'!$A:$A,0)),TRIM(B906)))</f>
        <v/>
      </c>
      <c r="I906" s="67" t="str">
        <f aca="false">IF(TRIM(D906)="","",UPPER(TRIM(D906)))</f>
        <v/>
      </c>
      <c r="J906" s="67" t="str">
        <f aca="false">IF(TRIM(E906)="","",UPPER(TRIM(E906)))</f>
        <v/>
      </c>
    </row>
    <row r="907" customFormat="false" ht="14.25" hidden="false" customHeight="true" outlineLevel="0" collapsed="false">
      <c r="C907" s="17" t="str">
        <f aca="false">IF(TRIM(B907)="","",IFERROR(INDEX('Code Aliases'!$B:$B,MATCH(TRIM(B907),'Code Aliases'!$A:$A,0)),TRIM(B907)))</f>
        <v/>
      </c>
      <c r="I907" s="67" t="str">
        <f aca="false">IF(TRIM(D907)="","",UPPER(TRIM(D907)))</f>
        <v/>
      </c>
      <c r="J907" s="67" t="str">
        <f aca="false">IF(TRIM(E907)="","",UPPER(TRIM(E907)))</f>
        <v/>
      </c>
    </row>
    <row r="908" customFormat="false" ht="14.25" hidden="false" customHeight="true" outlineLevel="0" collapsed="false">
      <c r="C908" s="17" t="str">
        <f aca="false">IF(TRIM(B908)="","",IFERROR(INDEX('Code Aliases'!$B:$B,MATCH(TRIM(B908),'Code Aliases'!$A:$A,0)),TRIM(B908)))</f>
        <v/>
      </c>
      <c r="I908" s="67" t="str">
        <f aca="false">IF(TRIM(D908)="","",UPPER(TRIM(D908)))</f>
        <v/>
      </c>
      <c r="J908" s="67" t="str">
        <f aca="false">IF(TRIM(E908)="","",UPPER(TRIM(E908)))</f>
        <v/>
      </c>
    </row>
    <row r="909" customFormat="false" ht="14.25" hidden="false" customHeight="true" outlineLevel="0" collapsed="false">
      <c r="C909" s="17" t="str">
        <f aca="false">IF(TRIM(B909)="","",IFERROR(INDEX('Code Aliases'!$B:$B,MATCH(TRIM(B909),'Code Aliases'!$A:$A,0)),TRIM(B909)))</f>
        <v/>
      </c>
      <c r="I909" s="67" t="str">
        <f aca="false">IF(TRIM(D909)="","",UPPER(TRIM(D909)))</f>
        <v/>
      </c>
      <c r="J909" s="67" t="str">
        <f aca="false">IF(TRIM(E909)="","",UPPER(TRIM(E909)))</f>
        <v/>
      </c>
    </row>
    <row r="910" customFormat="false" ht="14.25" hidden="false" customHeight="true" outlineLevel="0" collapsed="false">
      <c r="C910" s="17" t="str">
        <f aca="false">IF(TRIM(B910)="","",IFERROR(INDEX('Code Aliases'!$B:$B,MATCH(TRIM(B910),'Code Aliases'!$A:$A,0)),TRIM(B910)))</f>
        <v/>
      </c>
      <c r="I910" s="67" t="str">
        <f aca="false">IF(TRIM(D910)="","",UPPER(TRIM(D910)))</f>
        <v/>
      </c>
      <c r="J910" s="67" t="str">
        <f aca="false">IF(TRIM(E910)="","",UPPER(TRIM(E910)))</f>
        <v/>
      </c>
    </row>
    <row r="911" customFormat="false" ht="14.25" hidden="false" customHeight="true" outlineLevel="0" collapsed="false">
      <c r="C911" s="17" t="str">
        <f aca="false">IF(TRIM(B911)="","",IFERROR(INDEX('Code Aliases'!$B:$B,MATCH(TRIM(B911),'Code Aliases'!$A:$A,0)),TRIM(B911)))</f>
        <v/>
      </c>
      <c r="I911" s="67" t="str">
        <f aca="false">IF(TRIM(D911)="","",UPPER(TRIM(D911)))</f>
        <v/>
      </c>
      <c r="J911" s="67" t="str">
        <f aca="false">IF(TRIM(E911)="","",UPPER(TRIM(E911)))</f>
        <v/>
      </c>
    </row>
    <row r="912" customFormat="false" ht="14.25" hidden="false" customHeight="true" outlineLevel="0" collapsed="false">
      <c r="C912" s="17" t="str">
        <f aca="false">IF(TRIM(B912)="","",IFERROR(INDEX('Code Aliases'!$B:$B,MATCH(TRIM(B912),'Code Aliases'!$A:$A,0)),TRIM(B912)))</f>
        <v/>
      </c>
      <c r="I912" s="67" t="str">
        <f aca="false">IF(TRIM(D912)="","",UPPER(TRIM(D912)))</f>
        <v/>
      </c>
      <c r="J912" s="67" t="str">
        <f aca="false">IF(TRIM(E912)="","",UPPER(TRIM(E912)))</f>
        <v/>
      </c>
    </row>
    <row r="913" customFormat="false" ht="14.25" hidden="false" customHeight="true" outlineLevel="0" collapsed="false">
      <c r="C913" s="17" t="str">
        <f aca="false">IF(TRIM(B913)="","",IFERROR(INDEX('Code Aliases'!$B:$B,MATCH(TRIM(B913),'Code Aliases'!$A:$A,0)),TRIM(B913)))</f>
        <v/>
      </c>
      <c r="I913" s="67" t="str">
        <f aca="false">IF(TRIM(D913)="","",UPPER(TRIM(D913)))</f>
        <v/>
      </c>
      <c r="J913" s="67" t="str">
        <f aca="false">IF(TRIM(E913)="","",UPPER(TRIM(E913)))</f>
        <v/>
      </c>
    </row>
    <row r="914" customFormat="false" ht="14.25" hidden="false" customHeight="true" outlineLevel="0" collapsed="false">
      <c r="C914" s="17" t="str">
        <f aca="false">IF(TRIM(B914)="","",IFERROR(INDEX('Code Aliases'!$B:$B,MATCH(TRIM(B914),'Code Aliases'!$A:$A,0)),TRIM(B914)))</f>
        <v/>
      </c>
      <c r="I914" s="67" t="str">
        <f aca="false">IF(TRIM(D914)="","",UPPER(TRIM(D914)))</f>
        <v/>
      </c>
      <c r="J914" s="67" t="str">
        <f aca="false">IF(TRIM(E914)="","",UPPER(TRIM(E914)))</f>
        <v/>
      </c>
    </row>
    <row r="915" customFormat="false" ht="14.25" hidden="false" customHeight="true" outlineLevel="0" collapsed="false">
      <c r="C915" s="17" t="str">
        <f aca="false">IF(TRIM(B915)="","",IFERROR(INDEX('Code Aliases'!$B:$B,MATCH(TRIM(B915),'Code Aliases'!$A:$A,0)),TRIM(B915)))</f>
        <v/>
      </c>
      <c r="I915" s="67" t="str">
        <f aca="false">IF(TRIM(D915)="","",UPPER(TRIM(D915)))</f>
        <v/>
      </c>
      <c r="J915" s="67" t="str">
        <f aca="false">IF(TRIM(E915)="","",UPPER(TRIM(E915)))</f>
        <v/>
      </c>
    </row>
    <row r="916" customFormat="false" ht="14.25" hidden="false" customHeight="true" outlineLevel="0" collapsed="false">
      <c r="C916" s="17" t="str">
        <f aca="false">IF(TRIM(B916)="","",IFERROR(INDEX('Code Aliases'!$B:$B,MATCH(TRIM(B916),'Code Aliases'!$A:$A,0)),TRIM(B916)))</f>
        <v/>
      </c>
      <c r="I916" s="67" t="str">
        <f aca="false">IF(TRIM(D916)="","",UPPER(TRIM(D916)))</f>
        <v/>
      </c>
      <c r="J916" s="67" t="str">
        <f aca="false">IF(TRIM(E916)="","",UPPER(TRIM(E916)))</f>
        <v/>
      </c>
    </row>
    <row r="917" customFormat="false" ht="14.25" hidden="false" customHeight="true" outlineLevel="0" collapsed="false">
      <c r="C917" s="17" t="str">
        <f aca="false">IF(TRIM(B917)="","",IFERROR(INDEX('Code Aliases'!$B:$B,MATCH(TRIM(B917),'Code Aliases'!$A:$A,0)),TRIM(B917)))</f>
        <v/>
      </c>
      <c r="I917" s="67" t="str">
        <f aca="false">IF(TRIM(D917)="","",UPPER(TRIM(D917)))</f>
        <v/>
      </c>
      <c r="J917" s="67" t="str">
        <f aca="false">IF(TRIM(E917)="","",UPPER(TRIM(E917)))</f>
        <v/>
      </c>
    </row>
    <row r="918" customFormat="false" ht="14.25" hidden="false" customHeight="true" outlineLevel="0" collapsed="false">
      <c r="C918" s="17" t="str">
        <f aca="false">IF(TRIM(B918)="","",IFERROR(INDEX('Code Aliases'!$B:$B,MATCH(TRIM(B918),'Code Aliases'!$A:$A,0)),TRIM(B918)))</f>
        <v/>
      </c>
      <c r="I918" s="67" t="str">
        <f aca="false">IF(TRIM(D918)="","",UPPER(TRIM(D918)))</f>
        <v/>
      </c>
      <c r="J918" s="67" t="str">
        <f aca="false">IF(TRIM(E918)="","",UPPER(TRIM(E918)))</f>
        <v/>
      </c>
    </row>
    <row r="919" customFormat="false" ht="14.25" hidden="false" customHeight="true" outlineLevel="0" collapsed="false">
      <c r="C919" s="17" t="str">
        <f aca="false">IF(TRIM(B919)="","",IFERROR(INDEX('Code Aliases'!$B:$B,MATCH(TRIM(B919),'Code Aliases'!$A:$A,0)),TRIM(B919)))</f>
        <v/>
      </c>
      <c r="I919" s="67" t="str">
        <f aca="false">IF(TRIM(D919)="","",UPPER(TRIM(D919)))</f>
        <v/>
      </c>
      <c r="J919" s="67" t="str">
        <f aca="false">IF(TRIM(E919)="","",UPPER(TRIM(E919)))</f>
        <v/>
      </c>
    </row>
    <row r="920" customFormat="false" ht="14.25" hidden="false" customHeight="true" outlineLevel="0" collapsed="false">
      <c r="C920" s="17" t="str">
        <f aca="false">IF(TRIM(B920)="","",IFERROR(INDEX('Code Aliases'!$B:$B,MATCH(TRIM(B920),'Code Aliases'!$A:$A,0)),TRIM(B920)))</f>
        <v/>
      </c>
      <c r="I920" s="67" t="str">
        <f aca="false">IF(TRIM(D920)="","",UPPER(TRIM(D920)))</f>
        <v/>
      </c>
      <c r="J920" s="67" t="str">
        <f aca="false">IF(TRIM(E920)="","",UPPER(TRIM(E920)))</f>
        <v/>
      </c>
    </row>
    <row r="921" customFormat="false" ht="14.25" hidden="false" customHeight="true" outlineLevel="0" collapsed="false">
      <c r="C921" s="17" t="str">
        <f aca="false">IF(TRIM(B921)="","",IFERROR(INDEX('Code Aliases'!$B:$B,MATCH(TRIM(B921),'Code Aliases'!$A:$A,0)),TRIM(B921)))</f>
        <v/>
      </c>
      <c r="I921" s="67" t="str">
        <f aca="false">IF(TRIM(D921)="","",UPPER(TRIM(D921)))</f>
        <v/>
      </c>
      <c r="J921" s="67" t="str">
        <f aca="false">IF(TRIM(E921)="","",UPPER(TRIM(E921)))</f>
        <v/>
      </c>
    </row>
    <row r="922" customFormat="false" ht="14.25" hidden="false" customHeight="true" outlineLevel="0" collapsed="false">
      <c r="C922" s="17" t="str">
        <f aca="false">IF(TRIM(B922)="","",IFERROR(INDEX('Code Aliases'!$B:$B,MATCH(TRIM(B922),'Code Aliases'!$A:$A,0)),TRIM(B922)))</f>
        <v/>
      </c>
      <c r="I922" s="67" t="str">
        <f aca="false">IF(TRIM(D922)="","",UPPER(TRIM(D922)))</f>
        <v/>
      </c>
      <c r="J922" s="67" t="str">
        <f aca="false">IF(TRIM(E922)="","",UPPER(TRIM(E922)))</f>
        <v/>
      </c>
    </row>
    <row r="923" customFormat="false" ht="14.25" hidden="false" customHeight="true" outlineLevel="0" collapsed="false">
      <c r="C923" s="17" t="str">
        <f aca="false">IF(TRIM(B923)="","",IFERROR(INDEX('Code Aliases'!$B:$B,MATCH(TRIM(B923),'Code Aliases'!$A:$A,0)),TRIM(B923)))</f>
        <v/>
      </c>
      <c r="I923" s="67" t="str">
        <f aca="false">IF(TRIM(D923)="","",UPPER(TRIM(D923)))</f>
        <v/>
      </c>
      <c r="J923" s="67" t="str">
        <f aca="false">IF(TRIM(E923)="","",UPPER(TRIM(E923)))</f>
        <v/>
      </c>
    </row>
    <row r="924" customFormat="false" ht="14.25" hidden="false" customHeight="true" outlineLevel="0" collapsed="false">
      <c r="C924" s="17" t="str">
        <f aca="false">IF(TRIM(B924)="","",IFERROR(INDEX('Code Aliases'!$B:$B,MATCH(TRIM(B924),'Code Aliases'!$A:$A,0)),TRIM(B924)))</f>
        <v/>
      </c>
      <c r="I924" s="67" t="str">
        <f aca="false">IF(TRIM(D924)="","",UPPER(TRIM(D924)))</f>
        <v/>
      </c>
      <c r="J924" s="67" t="str">
        <f aca="false">IF(TRIM(E924)="","",UPPER(TRIM(E924)))</f>
        <v/>
      </c>
    </row>
    <row r="925" customFormat="false" ht="14.25" hidden="false" customHeight="true" outlineLevel="0" collapsed="false">
      <c r="C925" s="17" t="str">
        <f aca="false">IF(TRIM(B925)="","",IFERROR(INDEX('Code Aliases'!$B:$B,MATCH(TRIM(B925),'Code Aliases'!$A:$A,0)),TRIM(B925)))</f>
        <v/>
      </c>
      <c r="I925" s="67" t="str">
        <f aca="false">IF(TRIM(D925)="","",UPPER(TRIM(D925)))</f>
        <v/>
      </c>
      <c r="J925" s="67" t="str">
        <f aca="false">IF(TRIM(E925)="","",UPPER(TRIM(E925)))</f>
        <v/>
      </c>
    </row>
    <row r="926" customFormat="false" ht="14.25" hidden="false" customHeight="true" outlineLevel="0" collapsed="false">
      <c r="C926" s="17" t="str">
        <f aca="false">IF(TRIM(B926)="","",IFERROR(INDEX('Code Aliases'!$B:$B,MATCH(TRIM(B926),'Code Aliases'!$A:$A,0)),TRIM(B926)))</f>
        <v/>
      </c>
      <c r="I926" s="67" t="str">
        <f aca="false">IF(TRIM(D926)="","",UPPER(TRIM(D926)))</f>
        <v/>
      </c>
      <c r="J926" s="67" t="str">
        <f aca="false">IF(TRIM(E926)="","",UPPER(TRIM(E926)))</f>
        <v/>
      </c>
    </row>
    <row r="927" customFormat="false" ht="14.25" hidden="false" customHeight="true" outlineLevel="0" collapsed="false">
      <c r="C927" s="17" t="str">
        <f aca="false">IF(TRIM(B927)="","",IFERROR(INDEX('Code Aliases'!$B:$B,MATCH(TRIM(B927),'Code Aliases'!$A:$A,0)),TRIM(B927)))</f>
        <v/>
      </c>
      <c r="I927" s="67" t="str">
        <f aca="false">IF(TRIM(D927)="","",UPPER(TRIM(D927)))</f>
        <v/>
      </c>
      <c r="J927" s="67" t="str">
        <f aca="false">IF(TRIM(E927)="","",UPPER(TRIM(E927)))</f>
        <v/>
      </c>
    </row>
    <row r="928" customFormat="false" ht="14.25" hidden="false" customHeight="true" outlineLevel="0" collapsed="false">
      <c r="C928" s="17" t="str">
        <f aca="false">IF(TRIM(B928)="","",IFERROR(INDEX('Code Aliases'!$B:$B,MATCH(TRIM(B928),'Code Aliases'!$A:$A,0)),TRIM(B928)))</f>
        <v/>
      </c>
      <c r="I928" s="67" t="str">
        <f aca="false">IF(TRIM(D928)="","",UPPER(TRIM(D928)))</f>
        <v/>
      </c>
      <c r="J928" s="67" t="str">
        <f aca="false">IF(TRIM(E928)="","",UPPER(TRIM(E928)))</f>
        <v/>
      </c>
    </row>
    <row r="929" customFormat="false" ht="14.25" hidden="false" customHeight="true" outlineLevel="0" collapsed="false">
      <c r="C929" s="17" t="str">
        <f aca="false">IF(TRIM(B929)="","",IFERROR(INDEX('Code Aliases'!$B:$B,MATCH(TRIM(B929),'Code Aliases'!$A:$A,0)),TRIM(B929)))</f>
        <v/>
      </c>
      <c r="I929" s="67" t="str">
        <f aca="false">IF(TRIM(D929)="","",UPPER(TRIM(D929)))</f>
        <v/>
      </c>
      <c r="J929" s="67" t="str">
        <f aca="false">IF(TRIM(E929)="","",UPPER(TRIM(E929)))</f>
        <v/>
      </c>
    </row>
    <row r="930" customFormat="false" ht="14.25" hidden="false" customHeight="true" outlineLevel="0" collapsed="false">
      <c r="C930" s="17" t="str">
        <f aca="false">IF(TRIM(B930)="","",IFERROR(INDEX('Code Aliases'!$B:$B,MATCH(TRIM(B930),'Code Aliases'!$A:$A,0)),TRIM(B930)))</f>
        <v/>
      </c>
      <c r="I930" s="67" t="str">
        <f aca="false">IF(TRIM(D930)="","",UPPER(TRIM(D930)))</f>
        <v/>
      </c>
      <c r="J930" s="67" t="str">
        <f aca="false">IF(TRIM(E930)="","",UPPER(TRIM(E930)))</f>
        <v/>
      </c>
    </row>
    <row r="931" customFormat="false" ht="14.25" hidden="false" customHeight="true" outlineLevel="0" collapsed="false">
      <c r="C931" s="17" t="str">
        <f aca="false">IF(TRIM(B931)="","",IFERROR(INDEX('Code Aliases'!$B:$B,MATCH(TRIM(B931),'Code Aliases'!$A:$A,0)),TRIM(B931)))</f>
        <v/>
      </c>
      <c r="I931" s="67" t="str">
        <f aca="false">IF(TRIM(D931)="","",UPPER(TRIM(D931)))</f>
        <v/>
      </c>
      <c r="J931" s="67" t="str">
        <f aca="false">IF(TRIM(E931)="","",UPPER(TRIM(E931)))</f>
        <v/>
      </c>
    </row>
    <row r="932" customFormat="false" ht="14.25" hidden="false" customHeight="true" outlineLevel="0" collapsed="false">
      <c r="C932" s="17" t="str">
        <f aca="false">IF(TRIM(B932)="","",IFERROR(INDEX('Code Aliases'!$B:$B,MATCH(TRIM(B932),'Code Aliases'!$A:$A,0)),TRIM(B932)))</f>
        <v/>
      </c>
      <c r="I932" s="67" t="str">
        <f aca="false">IF(TRIM(D932)="","",UPPER(TRIM(D932)))</f>
        <v/>
      </c>
      <c r="J932" s="67" t="str">
        <f aca="false">IF(TRIM(E932)="","",UPPER(TRIM(E932)))</f>
        <v/>
      </c>
    </row>
    <row r="933" customFormat="false" ht="14.25" hidden="false" customHeight="true" outlineLevel="0" collapsed="false">
      <c r="C933" s="17" t="str">
        <f aca="false">IF(TRIM(B933)="","",IFERROR(INDEX('Code Aliases'!$B:$B,MATCH(TRIM(B933),'Code Aliases'!$A:$A,0)),TRIM(B933)))</f>
        <v/>
      </c>
      <c r="I933" s="67" t="str">
        <f aca="false">IF(TRIM(D933)="","",UPPER(TRIM(D933)))</f>
        <v/>
      </c>
      <c r="J933" s="67" t="str">
        <f aca="false">IF(TRIM(E933)="","",UPPER(TRIM(E933)))</f>
        <v/>
      </c>
    </row>
    <row r="934" customFormat="false" ht="14.25" hidden="false" customHeight="true" outlineLevel="0" collapsed="false">
      <c r="C934" s="17" t="str">
        <f aca="false">IF(TRIM(B934)="","",IFERROR(INDEX('Code Aliases'!$B:$B,MATCH(TRIM(B934),'Code Aliases'!$A:$A,0)),TRIM(B934)))</f>
        <v/>
      </c>
      <c r="I934" s="67" t="str">
        <f aca="false">IF(TRIM(D934)="","",UPPER(TRIM(D934)))</f>
        <v/>
      </c>
      <c r="J934" s="67" t="str">
        <f aca="false">IF(TRIM(E934)="","",UPPER(TRIM(E934)))</f>
        <v/>
      </c>
    </row>
    <row r="935" customFormat="false" ht="14.25" hidden="false" customHeight="true" outlineLevel="0" collapsed="false">
      <c r="C935" s="17" t="str">
        <f aca="false">IF(TRIM(B935)="","",IFERROR(INDEX('Code Aliases'!$B:$B,MATCH(TRIM(B935),'Code Aliases'!$A:$A,0)),TRIM(B935)))</f>
        <v/>
      </c>
      <c r="I935" s="67" t="str">
        <f aca="false">IF(TRIM(D935)="","",UPPER(TRIM(D935)))</f>
        <v/>
      </c>
      <c r="J935" s="67" t="str">
        <f aca="false">IF(TRIM(E935)="","",UPPER(TRIM(E935)))</f>
        <v/>
      </c>
    </row>
    <row r="936" customFormat="false" ht="14.25" hidden="false" customHeight="true" outlineLevel="0" collapsed="false">
      <c r="C936" s="17" t="str">
        <f aca="false">IF(TRIM(B936)="","",IFERROR(INDEX('Code Aliases'!$B:$B,MATCH(TRIM(B936),'Code Aliases'!$A:$A,0)),TRIM(B936)))</f>
        <v/>
      </c>
      <c r="I936" s="67" t="str">
        <f aca="false">IF(TRIM(D936)="","",UPPER(TRIM(D936)))</f>
        <v/>
      </c>
      <c r="J936" s="67" t="str">
        <f aca="false">IF(TRIM(E936)="","",UPPER(TRIM(E936)))</f>
        <v/>
      </c>
    </row>
    <row r="937" customFormat="false" ht="14.25" hidden="false" customHeight="true" outlineLevel="0" collapsed="false">
      <c r="C937" s="17" t="str">
        <f aca="false">IF(TRIM(B937)="","",IFERROR(INDEX('Code Aliases'!$B:$B,MATCH(TRIM(B937),'Code Aliases'!$A:$A,0)),TRIM(B937)))</f>
        <v/>
      </c>
      <c r="I937" s="67" t="str">
        <f aca="false">IF(TRIM(D937)="","",UPPER(TRIM(D937)))</f>
        <v/>
      </c>
      <c r="J937" s="67" t="str">
        <f aca="false">IF(TRIM(E937)="","",UPPER(TRIM(E937)))</f>
        <v/>
      </c>
    </row>
    <row r="938" customFormat="false" ht="14.25" hidden="false" customHeight="true" outlineLevel="0" collapsed="false">
      <c r="C938" s="17" t="str">
        <f aca="false">IF(TRIM(B938)="","",IFERROR(INDEX('Code Aliases'!$B:$B,MATCH(TRIM(B938),'Code Aliases'!$A:$A,0)),TRIM(B938)))</f>
        <v/>
      </c>
      <c r="I938" s="67" t="str">
        <f aca="false">IF(TRIM(D938)="","",UPPER(TRIM(D938)))</f>
        <v/>
      </c>
      <c r="J938" s="67" t="str">
        <f aca="false">IF(TRIM(E938)="","",UPPER(TRIM(E938)))</f>
        <v/>
      </c>
    </row>
    <row r="939" customFormat="false" ht="14.25" hidden="false" customHeight="true" outlineLevel="0" collapsed="false">
      <c r="C939" s="17" t="str">
        <f aca="false">IF(TRIM(B939)="","",IFERROR(INDEX('Code Aliases'!$B:$B,MATCH(TRIM(B939),'Code Aliases'!$A:$A,0)),TRIM(B939)))</f>
        <v/>
      </c>
      <c r="I939" s="67" t="str">
        <f aca="false">IF(TRIM(D939)="","",UPPER(TRIM(D939)))</f>
        <v/>
      </c>
      <c r="J939" s="67" t="str">
        <f aca="false">IF(TRIM(E939)="","",UPPER(TRIM(E939)))</f>
        <v/>
      </c>
    </row>
    <row r="940" customFormat="false" ht="14.25" hidden="false" customHeight="true" outlineLevel="0" collapsed="false">
      <c r="C940" s="17" t="str">
        <f aca="false">IF(TRIM(B940)="","",IFERROR(INDEX('Code Aliases'!$B:$B,MATCH(TRIM(B940),'Code Aliases'!$A:$A,0)),TRIM(B940)))</f>
        <v/>
      </c>
      <c r="I940" s="67" t="str">
        <f aca="false">IF(TRIM(D940)="","",UPPER(TRIM(D940)))</f>
        <v/>
      </c>
      <c r="J940" s="67" t="str">
        <f aca="false">IF(TRIM(E940)="","",UPPER(TRIM(E940)))</f>
        <v/>
      </c>
    </row>
    <row r="941" customFormat="false" ht="14.25" hidden="false" customHeight="true" outlineLevel="0" collapsed="false">
      <c r="C941" s="17" t="str">
        <f aca="false">IF(TRIM(B941)="","",IFERROR(INDEX('Code Aliases'!$B:$B,MATCH(TRIM(B941),'Code Aliases'!$A:$A,0)),TRIM(B941)))</f>
        <v/>
      </c>
      <c r="I941" s="67" t="str">
        <f aca="false">IF(TRIM(D941)="","",UPPER(TRIM(D941)))</f>
        <v/>
      </c>
      <c r="J941" s="67" t="str">
        <f aca="false">IF(TRIM(E941)="","",UPPER(TRIM(E941)))</f>
        <v/>
      </c>
    </row>
    <row r="942" customFormat="false" ht="14.25" hidden="false" customHeight="true" outlineLevel="0" collapsed="false">
      <c r="C942" s="17" t="str">
        <f aca="false">IF(TRIM(B942)="","",IFERROR(INDEX('Code Aliases'!$B:$B,MATCH(TRIM(B942),'Code Aliases'!$A:$A,0)),TRIM(B942)))</f>
        <v/>
      </c>
      <c r="I942" s="67" t="str">
        <f aca="false">IF(TRIM(D942)="","",UPPER(TRIM(D942)))</f>
        <v/>
      </c>
      <c r="J942" s="67" t="str">
        <f aca="false">IF(TRIM(E942)="","",UPPER(TRIM(E942)))</f>
        <v/>
      </c>
    </row>
    <row r="943" customFormat="false" ht="14.25" hidden="false" customHeight="true" outlineLevel="0" collapsed="false">
      <c r="C943" s="17" t="str">
        <f aca="false">IF(TRIM(B943)="","",IFERROR(INDEX('Code Aliases'!$B:$B,MATCH(TRIM(B943),'Code Aliases'!$A:$A,0)),TRIM(B943)))</f>
        <v/>
      </c>
      <c r="I943" s="67" t="str">
        <f aca="false">IF(TRIM(D943)="","",UPPER(TRIM(D943)))</f>
        <v/>
      </c>
      <c r="J943" s="67" t="str">
        <f aca="false">IF(TRIM(E943)="","",UPPER(TRIM(E943)))</f>
        <v/>
      </c>
    </row>
    <row r="944" customFormat="false" ht="14.25" hidden="false" customHeight="true" outlineLevel="0" collapsed="false">
      <c r="C944" s="17" t="str">
        <f aca="false">IF(TRIM(B944)="","",IFERROR(INDEX('Code Aliases'!$B:$B,MATCH(TRIM(B944),'Code Aliases'!$A:$A,0)),TRIM(B944)))</f>
        <v/>
      </c>
      <c r="I944" s="67" t="str">
        <f aca="false">IF(TRIM(D944)="","",UPPER(TRIM(D944)))</f>
        <v/>
      </c>
      <c r="J944" s="67" t="str">
        <f aca="false">IF(TRIM(E944)="","",UPPER(TRIM(E944)))</f>
        <v/>
      </c>
    </row>
    <row r="945" customFormat="false" ht="14.25" hidden="false" customHeight="true" outlineLevel="0" collapsed="false">
      <c r="C945" s="17" t="str">
        <f aca="false">IF(TRIM(B945)="","",IFERROR(INDEX('Code Aliases'!$B:$B,MATCH(TRIM(B945),'Code Aliases'!$A:$A,0)),TRIM(B945)))</f>
        <v/>
      </c>
      <c r="I945" s="67" t="str">
        <f aca="false">IF(TRIM(D945)="","",UPPER(TRIM(D945)))</f>
        <v/>
      </c>
      <c r="J945" s="67" t="str">
        <f aca="false">IF(TRIM(E945)="","",UPPER(TRIM(E945)))</f>
        <v/>
      </c>
    </row>
    <row r="946" customFormat="false" ht="14.25" hidden="false" customHeight="true" outlineLevel="0" collapsed="false">
      <c r="C946" s="17" t="str">
        <f aca="false">IF(TRIM(B946)="","",IFERROR(INDEX('Code Aliases'!$B:$B,MATCH(TRIM(B946),'Code Aliases'!$A:$A,0)),TRIM(B946)))</f>
        <v/>
      </c>
      <c r="I946" s="67" t="str">
        <f aca="false">IF(TRIM(D946)="","",UPPER(TRIM(D946)))</f>
        <v/>
      </c>
      <c r="J946" s="67" t="str">
        <f aca="false">IF(TRIM(E946)="","",UPPER(TRIM(E946)))</f>
        <v/>
      </c>
    </row>
    <row r="947" customFormat="false" ht="14.25" hidden="false" customHeight="true" outlineLevel="0" collapsed="false">
      <c r="C947" s="17" t="str">
        <f aca="false">IF(TRIM(B947)="","",IFERROR(INDEX('Code Aliases'!$B:$B,MATCH(TRIM(B947),'Code Aliases'!$A:$A,0)),TRIM(B947)))</f>
        <v/>
      </c>
      <c r="I947" s="67" t="str">
        <f aca="false">IF(TRIM(D947)="","",UPPER(TRIM(D947)))</f>
        <v/>
      </c>
      <c r="J947" s="67" t="str">
        <f aca="false">IF(TRIM(E947)="","",UPPER(TRIM(E947)))</f>
        <v/>
      </c>
    </row>
    <row r="948" customFormat="false" ht="14.25" hidden="false" customHeight="true" outlineLevel="0" collapsed="false">
      <c r="C948" s="17" t="str">
        <f aca="false">IF(TRIM(B948)="","",IFERROR(INDEX('Code Aliases'!$B:$B,MATCH(TRIM(B948),'Code Aliases'!$A:$A,0)),TRIM(B948)))</f>
        <v/>
      </c>
      <c r="I948" s="67" t="str">
        <f aca="false">IF(TRIM(D948)="","",UPPER(TRIM(D948)))</f>
        <v/>
      </c>
      <c r="J948" s="67" t="str">
        <f aca="false">IF(TRIM(E948)="","",UPPER(TRIM(E948)))</f>
        <v/>
      </c>
    </row>
    <row r="949" customFormat="false" ht="14.25" hidden="false" customHeight="true" outlineLevel="0" collapsed="false">
      <c r="C949" s="17" t="str">
        <f aca="false">IF(TRIM(B949)="","",IFERROR(INDEX('Code Aliases'!$B:$B,MATCH(TRIM(B949),'Code Aliases'!$A:$A,0)),TRIM(B949)))</f>
        <v/>
      </c>
      <c r="I949" s="67" t="str">
        <f aca="false">IF(TRIM(D949)="","",UPPER(TRIM(D949)))</f>
        <v/>
      </c>
      <c r="J949" s="67" t="str">
        <f aca="false">IF(TRIM(E949)="","",UPPER(TRIM(E949)))</f>
        <v/>
      </c>
    </row>
    <row r="950" customFormat="false" ht="14.25" hidden="false" customHeight="true" outlineLevel="0" collapsed="false">
      <c r="C950" s="17" t="str">
        <f aca="false">IF(TRIM(B950)="","",IFERROR(INDEX('Code Aliases'!$B:$B,MATCH(TRIM(B950),'Code Aliases'!$A:$A,0)),TRIM(B950)))</f>
        <v/>
      </c>
      <c r="I950" s="67" t="str">
        <f aca="false">IF(TRIM(D950)="","",UPPER(TRIM(D950)))</f>
        <v/>
      </c>
      <c r="J950" s="67" t="str">
        <f aca="false">IF(TRIM(E950)="","",UPPER(TRIM(E950)))</f>
        <v/>
      </c>
    </row>
    <row r="951" customFormat="false" ht="14.25" hidden="false" customHeight="true" outlineLevel="0" collapsed="false">
      <c r="C951" s="17" t="str">
        <f aca="false">IF(TRIM(B951)="","",IFERROR(INDEX('Code Aliases'!$B:$B,MATCH(TRIM(B951),'Code Aliases'!$A:$A,0)),TRIM(B951)))</f>
        <v/>
      </c>
      <c r="I951" s="67" t="str">
        <f aca="false">IF(TRIM(D951)="","",UPPER(TRIM(D951)))</f>
        <v/>
      </c>
      <c r="J951" s="67" t="str">
        <f aca="false">IF(TRIM(E951)="","",UPPER(TRIM(E951)))</f>
        <v/>
      </c>
    </row>
    <row r="952" customFormat="false" ht="14.25" hidden="false" customHeight="true" outlineLevel="0" collapsed="false">
      <c r="C952" s="17" t="str">
        <f aca="false">IF(TRIM(B952)="","",IFERROR(INDEX('Code Aliases'!$B:$B,MATCH(TRIM(B952),'Code Aliases'!$A:$A,0)),TRIM(B952)))</f>
        <v/>
      </c>
      <c r="I952" s="67" t="str">
        <f aca="false">IF(TRIM(D952)="","",UPPER(TRIM(D952)))</f>
        <v/>
      </c>
      <c r="J952" s="67" t="str">
        <f aca="false">IF(TRIM(E952)="","",UPPER(TRIM(E952)))</f>
        <v/>
      </c>
    </row>
    <row r="953" customFormat="false" ht="14.25" hidden="false" customHeight="true" outlineLevel="0" collapsed="false">
      <c r="C953" s="17" t="str">
        <f aca="false">IF(TRIM(B953)="","",IFERROR(INDEX('Code Aliases'!$B:$B,MATCH(TRIM(B953),'Code Aliases'!$A:$A,0)),TRIM(B953)))</f>
        <v/>
      </c>
      <c r="I953" s="67" t="str">
        <f aca="false">IF(TRIM(D953)="","",UPPER(TRIM(D953)))</f>
        <v/>
      </c>
      <c r="J953" s="67" t="str">
        <f aca="false">IF(TRIM(E953)="","",UPPER(TRIM(E953)))</f>
        <v/>
      </c>
    </row>
    <row r="954" customFormat="false" ht="14.25" hidden="false" customHeight="true" outlineLevel="0" collapsed="false">
      <c r="C954" s="17" t="str">
        <f aca="false">IF(TRIM(B954)="","",IFERROR(INDEX('Code Aliases'!$B:$B,MATCH(TRIM(B954),'Code Aliases'!$A:$A,0)),TRIM(B954)))</f>
        <v/>
      </c>
      <c r="I954" s="67" t="str">
        <f aca="false">IF(TRIM(D954)="","",UPPER(TRIM(D954)))</f>
        <v/>
      </c>
      <c r="J954" s="67" t="str">
        <f aca="false">IF(TRIM(E954)="","",UPPER(TRIM(E954)))</f>
        <v/>
      </c>
    </row>
    <row r="955" customFormat="false" ht="14.25" hidden="false" customHeight="true" outlineLevel="0" collapsed="false">
      <c r="C955" s="17" t="str">
        <f aca="false">IF(TRIM(B955)="","",IFERROR(INDEX('Code Aliases'!$B:$B,MATCH(TRIM(B955),'Code Aliases'!$A:$A,0)),TRIM(B955)))</f>
        <v/>
      </c>
      <c r="I955" s="67" t="str">
        <f aca="false">IF(TRIM(D955)="","",UPPER(TRIM(D955)))</f>
        <v/>
      </c>
      <c r="J955" s="67" t="str">
        <f aca="false">IF(TRIM(E955)="","",UPPER(TRIM(E955)))</f>
        <v/>
      </c>
    </row>
    <row r="956" customFormat="false" ht="14.25" hidden="false" customHeight="true" outlineLevel="0" collapsed="false">
      <c r="C956" s="17" t="str">
        <f aca="false">IF(TRIM(B956)="","",IFERROR(INDEX('Code Aliases'!$B:$B,MATCH(TRIM(B956),'Code Aliases'!$A:$A,0)),TRIM(B956)))</f>
        <v/>
      </c>
      <c r="I956" s="67" t="str">
        <f aca="false">IF(TRIM(D956)="","",UPPER(TRIM(D956)))</f>
        <v/>
      </c>
      <c r="J956" s="67" t="str">
        <f aca="false">IF(TRIM(E956)="","",UPPER(TRIM(E956)))</f>
        <v/>
      </c>
    </row>
    <row r="957" customFormat="false" ht="14.25" hidden="false" customHeight="true" outlineLevel="0" collapsed="false">
      <c r="C957" s="17" t="str">
        <f aca="false">IF(TRIM(B957)="","",IFERROR(INDEX('Code Aliases'!$B:$B,MATCH(TRIM(B957),'Code Aliases'!$A:$A,0)),TRIM(B957)))</f>
        <v/>
      </c>
      <c r="I957" s="67" t="str">
        <f aca="false">IF(TRIM(D957)="","",UPPER(TRIM(D957)))</f>
        <v/>
      </c>
      <c r="J957" s="67" t="str">
        <f aca="false">IF(TRIM(E957)="","",UPPER(TRIM(E957)))</f>
        <v/>
      </c>
    </row>
    <row r="958" customFormat="false" ht="14.25" hidden="false" customHeight="true" outlineLevel="0" collapsed="false">
      <c r="C958" s="17" t="str">
        <f aca="false">IF(TRIM(B958)="","",IFERROR(INDEX('Code Aliases'!$B:$B,MATCH(TRIM(B958),'Code Aliases'!$A:$A,0)),TRIM(B958)))</f>
        <v/>
      </c>
      <c r="I958" s="67" t="str">
        <f aca="false">IF(TRIM(D958)="","",UPPER(TRIM(D958)))</f>
        <v/>
      </c>
      <c r="J958" s="67" t="str">
        <f aca="false">IF(TRIM(E958)="","",UPPER(TRIM(E958)))</f>
        <v/>
      </c>
    </row>
    <row r="959" customFormat="false" ht="14.25" hidden="false" customHeight="true" outlineLevel="0" collapsed="false">
      <c r="C959" s="17" t="str">
        <f aca="false">IF(TRIM(B959)="","",IFERROR(INDEX('Code Aliases'!$B:$B,MATCH(TRIM(B959),'Code Aliases'!$A:$A,0)),TRIM(B959)))</f>
        <v/>
      </c>
      <c r="I959" s="67" t="str">
        <f aca="false">IF(TRIM(D959)="","",UPPER(TRIM(D959)))</f>
        <v/>
      </c>
      <c r="J959" s="67" t="str">
        <f aca="false">IF(TRIM(E959)="","",UPPER(TRIM(E959)))</f>
        <v/>
      </c>
    </row>
    <row r="960" customFormat="false" ht="14.25" hidden="false" customHeight="true" outlineLevel="0" collapsed="false">
      <c r="C960" s="17" t="str">
        <f aca="false">IF(TRIM(B960)="","",IFERROR(INDEX('Code Aliases'!$B:$B,MATCH(TRIM(B960),'Code Aliases'!$A:$A,0)),TRIM(B960)))</f>
        <v/>
      </c>
      <c r="I960" s="67" t="str">
        <f aca="false">IF(TRIM(D960)="","",UPPER(TRIM(D960)))</f>
        <v/>
      </c>
      <c r="J960" s="67" t="str">
        <f aca="false">IF(TRIM(E960)="","",UPPER(TRIM(E960)))</f>
        <v/>
      </c>
    </row>
    <row r="961" customFormat="false" ht="14.25" hidden="false" customHeight="true" outlineLevel="0" collapsed="false">
      <c r="C961" s="17" t="str">
        <f aca="false">IF(TRIM(B961)="","",IFERROR(INDEX('Code Aliases'!$B:$B,MATCH(TRIM(B961),'Code Aliases'!$A:$A,0)),TRIM(B961)))</f>
        <v/>
      </c>
      <c r="I961" s="67" t="str">
        <f aca="false">IF(TRIM(D961)="","",UPPER(TRIM(D961)))</f>
        <v/>
      </c>
      <c r="J961" s="67" t="str">
        <f aca="false">IF(TRIM(E961)="","",UPPER(TRIM(E961)))</f>
        <v/>
      </c>
    </row>
    <row r="962" customFormat="false" ht="14.25" hidden="false" customHeight="true" outlineLevel="0" collapsed="false">
      <c r="C962" s="17" t="str">
        <f aca="false">IF(TRIM(B962)="","",IFERROR(INDEX('Code Aliases'!$B:$B,MATCH(TRIM(B962),'Code Aliases'!$A:$A,0)),TRIM(B962)))</f>
        <v/>
      </c>
      <c r="I962" s="67" t="str">
        <f aca="false">IF(TRIM(D962)="","",UPPER(TRIM(D962)))</f>
        <v/>
      </c>
      <c r="J962" s="67" t="str">
        <f aca="false">IF(TRIM(E962)="","",UPPER(TRIM(E962)))</f>
        <v/>
      </c>
    </row>
    <row r="963" customFormat="false" ht="14.25" hidden="false" customHeight="true" outlineLevel="0" collapsed="false">
      <c r="C963" s="17" t="str">
        <f aca="false">IF(TRIM(B963)="","",IFERROR(INDEX('Code Aliases'!$B:$B,MATCH(TRIM(B963),'Code Aliases'!$A:$A,0)),TRIM(B963)))</f>
        <v/>
      </c>
      <c r="I963" s="67" t="str">
        <f aca="false">IF(TRIM(D963)="","",UPPER(TRIM(D963)))</f>
        <v/>
      </c>
      <c r="J963" s="67" t="str">
        <f aca="false">IF(TRIM(E963)="","",UPPER(TRIM(E963)))</f>
        <v/>
      </c>
    </row>
    <row r="964" customFormat="false" ht="14.25" hidden="false" customHeight="true" outlineLevel="0" collapsed="false">
      <c r="C964" s="17" t="str">
        <f aca="false">IF(TRIM(B964)="","",IFERROR(INDEX('Code Aliases'!$B:$B,MATCH(TRIM(B964),'Code Aliases'!$A:$A,0)),TRIM(B964)))</f>
        <v/>
      </c>
      <c r="I964" s="67" t="str">
        <f aca="false">IF(TRIM(D964)="","",UPPER(TRIM(D964)))</f>
        <v/>
      </c>
      <c r="J964" s="67" t="str">
        <f aca="false">IF(TRIM(E964)="","",UPPER(TRIM(E964)))</f>
        <v/>
      </c>
    </row>
    <row r="965" customFormat="false" ht="14.25" hidden="false" customHeight="true" outlineLevel="0" collapsed="false">
      <c r="C965" s="17" t="str">
        <f aca="false">IF(TRIM(B965)="","",IFERROR(INDEX('Code Aliases'!$B:$B,MATCH(TRIM(B965),'Code Aliases'!$A:$A,0)),TRIM(B965)))</f>
        <v/>
      </c>
      <c r="I965" s="67" t="str">
        <f aca="false">IF(TRIM(D965)="","",UPPER(TRIM(D965)))</f>
        <v/>
      </c>
      <c r="J965" s="67" t="str">
        <f aca="false">IF(TRIM(E965)="","",UPPER(TRIM(E965)))</f>
        <v/>
      </c>
    </row>
    <row r="966" customFormat="false" ht="14.25" hidden="false" customHeight="true" outlineLevel="0" collapsed="false">
      <c r="C966" s="17" t="str">
        <f aca="false">IF(TRIM(B966)="","",IFERROR(INDEX('Code Aliases'!$B:$B,MATCH(TRIM(B966),'Code Aliases'!$A:$A,0)),TRIM(B966)))</f>
        <v/>
      </c>
      <c r="I966" s="67" t="str">
        <f aca="false">IF(TRIM(D966)="","",UPPER(TRIM(D966)))</f>
        <v/>
      </c>
      <c r="J966" s="67" t="str">
        <f aca="false">IF(TRIM(E966)="","",UPPER(TRIM(E966)))</f>
        <v/>
      </c>
    </row>
    <row r="967" customFormat="false" ht="14.25" hidden="false" customHeight="true" outlineLevel="0" collapsed="false">
      <c r="C967" s="17" t="str">
        <f aca="false">IF(TRIM(B967)="","",IFERROR(INDEX('Code Aliases'!$B:$B,MATCH(TRIM(B967),'Code Aliases'!$A:$A,0)),TRIM(B967)))</f>
        <v/>
      </c>
      <c r="I967" s="67" t="str">
        <f aca="false">IF(TRIM(D967)="","",UPPER(TRIM(D967)))</f>
        <v/>
      </c>
      <c r="J967" s="67" t="str">
        <f aca="false">IF(TRIM(E967)="","",UPPER(TRIM(E967)))</f>
        <v/>
      </c>
    </row>
    <row r="968" customFormat="false" ht="14.25" hidden="false" customHeight="true" outlineLevel="0" collapsed="false">
      <c r="C968" s="17" t="str">
        <f aca="false">IF(TRIM(B968)="","",IFERROR(INDEX('Code Aliases'!$B:$B,MATCH(TRIM(B968),'Code Aliases'!$A:$A,0)),TRIM(B968)))</f>
        <v/>
      </c>
      <c r="I968" s="67" t="str">
        <f aca="false">IF(TRIM(D968)="","",UPPER(TRIM(D968)))</f>
        <v/>
      </c>
      <c r="J968" s="67" t="str">
        <f aca="false">IF(TRIM(E968)="","",UPPER(TRIM(E968)))</f>
        <v/>
      </c>
    </row>
    <row r="969" customFormat="false" ht="14.25" hidden="false" customHeight="true" outlineLevel="0" collapsed="false">
      <c r="C969" s="17" t="str">
        <f aca="false">IF(TRIM(B969)="","",IFERROR(INDEX('Code Aliases'!$B:$B,MATCH(TRIM(B969),'Code Aliases'!$A:$A,0)),TRIM(B969)))</f>
        <v/>
      </c>
      <c r="I969" s="67" t="str">
        <f aca="false">IF(TRIM(D969)="","",UPPER(TRIM(D969)))</f>
        <v/>
      </c>
      <c r="J969" s="67" t="str">
        <f aca="false">IF(TRIM(E969)="","",UPPER(TRIM(E969)))</f>
        <v/>
      </c>
    </row>
    <row r="970" customFormat="false" ht="14.25" hidden="false" customHeight="true" outlineLevel="0" collapsed="false">
      <c r="C970" s="17" t="str">
        <f aca="false">IF(TRIM(B970)="","",IFERROR(INDEX('Code Aliases'!$B:$B,MATCH(TRIM(B970),'Code Aliases'!$A:$A,0)),TRIM(B970)))</f>
        <v/>
      </c>
      <c r="I970" s="67" t="str">
        <f aca="false">IF(TRIM(D970)="","",UPPER(TRIM(D970)))</f>
        <v/>
      </c>
      <c r="J970" s="67" t="str">
        <f aca="false">IF(TRIM(E970)="","",UPPER(TRIM(E970)))</f>
        <v/>
      </c>
    </row>
    <row r="971" customFormat="false" ht="14.25" hidden="false" customHeight="true" outlineLevel="0" collapsed="false">
      <c r="C971" s="17" t="str">
        <f aca="false">IF(TRIM(B971)="","",IFERROR(INDEX('Code Aliases'!$B:$B,MATCH(TRIM(B971),'Code Aliases'!$A:$A,0)),TRIM(B971)))</f>
        <v/>
      </c>
      <c r="I971" s="67" t="str">
        <f aca="false">IF(TRIM(D971)="","",UPPER(TRIM(D971)))</f>
        <v/>
      </c>
      <c r="J971" s="67" t="str">
        <f aca="false">IF(TRIM(E971)="","",UPPER(TRIM(E971)))</f>
        <v/>
      </c>
    </row>
    <row r="972" customFormat="false" ht="14.25" hidden="false" customHeight="true" outlineLevel="0" collapsed="false">
      <c r="C972" s="17" t="str">
        <f aca="false">IF(TRIM(B972)="","",IFERROR(INDEX('Code Aliases'!$B:$B,MATCH(TRIM(B972),'Code Aliases'!$A:$A,0)),TRIM(B972)))</f>
        <v/>
      </c>
      <c r="I972" s="67" t="str">
        <f aca="false">IF(TRIM(D972)="","",UPPER(TRIM(D972)))</f>
        <v/>
      </c>
      <c r="J972" s="67" t="str">
        <f aca="false">IF(TRIM(E972)="","",UPPER(TRIM(E972)))</f>
        <v/>
      </c>
    </row>
    <row r="973" customFormat="false" ht="14.25" hidden="false" customHeight="true" outlineLevel="0" collapsed="false">
      <c r="C973" s="17" t="str">
        <f aca="false">IF(TRIM(B973)="","",IFERROR(INDEX('Code Aliases'!$B:$B,MATCH(TRIM(B973),'Code Aliases'!$A:$A,0)),TRIM(B973)))</f>
        <v/>
      </c>
      <c r="I973" s="67" t="str">
        <f aca="false">IF(TRIM(D973)="","",UPPER(TRIM(D973)))</f>
        <v/>
      </c>
      <c r="J973" s="67" t="str">
        <f aca="false">IF(TRIM(E973)="","",UPPER(TRIM(E973)))</f>
        <v/>
      </c>
    </row>
    <row r="974" customFormat="false" ht="14.25" hidden="false" customHeight="true" outlineLevel="0" collapsed="false">
      <c r="C974" s="17" t="str">
        <f aca="false">IF(TRIM(B974)="","",IFERROR(INDEX('Code Aliases'!$B:$B,MATCH(TRIM(B974),'Code Aliases'!$A:$A,0)),TRIM(B974)))</f>
        <v/>
      </c>
      <c r="I974" s="67" t="str">
        <f aca="false">IF(TRIM(D974)="","",UPPER(TRIM(D974)))</f>
        <v/>
      </c>
      <c r="J974" s="67" t="str">
        <f aca="false">IF(TRIM(E974)="","",UPPER(TRIM(E974)))</f>
        <v/>
      </c>
    </row>
    <row r="975" customFormat="false" ht="14.25" hidden="false" customHeight="true" outlineLevel="0" collapsed="false">
      <c r="C975" s="17" t="str">
        <f aca="false">IF(TRIM(B975)="","",IFERROR(INDEX('Code Aliases'!$B:$B,MATCH(TRIM(B975),'Code Aliases'!$A:$A,0)),TRIM(B975)))</f>
        <v/>
      </c>
      <c r="I975" s="67" t="str">
        <f aca="false">IF(TRIM(D975)="","",UPPER(TRIM(D975)))</f>
        <v/>
      </c>
      <c r="J975" s="67" t="str">
        <f aca="false">IF(TRIM(E975)="","",UPPER(TRIM(E975)))</f>
        <v/>
      </c>
    </row>
    <row r="976" customFormat="false" ht="14.25" hidden="false" customHeight="true" outlineLevel="0" collapsed="false">
      <c r="C976" s="17" t="str">
        <f aca="false">IF(TRIM(B976)="","",IFERROR(INDEX('Code Aliases'!$B:$B,MATCH(TRIM(B976),'Code Aliases'!$A:$A,0)),TRIM(B976)))</f>
        <v/>
      </c>
      <c r="I976" s="67" t="str">
        <f aca="false">IF(TRIM(D976)="","",UPPER(TRIM(D976)))</f>
        <v/>
      </c>
      <c r="J976" s="67" t="str">
        <f aca="false">IF(TRIM(E976)="","",UPPER(TRIM(E976)))</f>
        <v/>
      </c>
    </row>
    <row r="977" customFormat="false" ht="14.25" hidden="false" customHeight="true" outlineLevel="0" collapsed="false">
      <c r="C977" s="17" t="str">
        <f aca="false">IF(TRIM(B977)="","",IFERROR(INDEX('Code Aliases'!$B:$B,MATCH(TRIM(B977),'Code Aliases'!$A:$A,0)),TRIM(B977)))</f>
        <v/>
      </c>
      <c r="I977" s="67" t="str">
        <f aca="false">IF(TRIM(D977)="","",UPPER(TRIM(D977)))</f>
        <v/>
      </c>
      <c r="J977" s="67" t="str">
        <f aca="false">IF(TRIM(E977)="","",UPPER(TRIM(E977)))</f>
        <v/>
      </c>
    </row>
    <row r="978" customFormat="false" ht="14.25" hidden="false" customHeight="true" outlineLevel="0" collapsed="false">
      <c r="C978" s="17" t="str">
        <f aca="false">IF(TRIM(B978)="","",IFERROR(INDEX('Code Aliases'!$B:$B,MATCH(TRIM(B978),'Code Aliases'!$A:$A,0)),TRIM(B978)))</f>
        <v/>
      </c>
      <c r="I978" s="67" t="str">
        <f aca="false">IF(TRIM(D978)="","",UPPER(TRIM(D978)))</f>
        <v/>
      </c>
      <c r="J978" s="67" t="str">
        <f aca="false">IF(TRIM(E978)="","",UPPER(TRIM(E978)))</f>
        <v/>
      </c>
    </row>
    <row r="979" customFormat="false" ht="14.25" hidden="false" customHeight="true" outlineLevel="0" collapsed="false">
      <c r="C979" s="17" t="str">
        <f aca="false">IF(TRIM(B979)="","",IFERROR(INDEX('Code Aliases'!$B:$B,MATCH(TRIM(B979),'Code Aliases'!$A:$A,0)),TRIM(B979)))</f>
        <v/>
      </c>
      <c r="I979" s="67" t="str">
        <f aca="false">IF(TRIM(D979)="","",UPPER(TRIM(D979)))</f>
        <v/>
      </c>
      <c r="J979" s="67" t="str">
        <f aca="false">IF(TRIM(E979)="","",UPPER(TRIM(E979)))</f>
        <v/>
      </c>
    </row>
    <row r="980" customFormat="false" ht="14.25" hidden="false" customHeight="true" outlineLevel="0" collapsed="false">
      <c r="C980" s="17" t="str">
        <f aca="false">IF(TRIM(B980)="","",IFERROR(INDEX('Code Aliases'!$B:$B,MATCH(TRIM(B980),'Code Aliases'!$A:$A,0)),TRIM(B980)))</f>
        <v/>
      </c>
      <c r="I980" s="67" t="str">
        <f aca="false">IF(TRIM(D980)="","",UPPER(TRIM(D980)))</f>
        <v/>
      </c>
      <c r="J980" s="67" t="str">
        <f aca="false">IF(TRIM(E980)="","",UPPER(TRIM(E980)))</f>
        <v/>
      </c>
    </row>
    <row r="981" customFormat="false" ht="14.25" hidden="false" customHeight="true" outlineLevel="0" collapsed="false">
      <c r="C981" s="17" t="str">
        <f aca="false">IF(TRIM(B981)="","",IFERROR(INDEX('Code Aliases'!$B:$B,MATCH(TRIM(B981),'Code Aliases'!$A:$A,0)),TRIM(B981)))</f>
        <v/>
      </c>
      <c r="I981" s="67" t="str">
        <f aca="false">IF(TRIM(D981)="","",UPPER(TRIM(D981)))</f>
        <v/>
      </c>
      <c r="J981" s="67" t="str">
        <f aca="false">IF(TRIM(E981)="","",UPPER(TRIM(E981)))</f>
        <v/>
      </c>
    </row>
    <row r="982" customFormat="false" ht="14.25" hidden="false" customHeight="true" outlineLevel="0" collapsed="false">
      <c r="C982" s="17" t="str">
        <f aca="false">IF(TRIM(B982)="","",IFERROR(INDEX('Code Aliases'!$B:$B,MATCH(TRIM(B982),'Code Aliases'!$A:$A,0)),TRIM(B982)))</f>
        <v/>
      </c>
      <c r="I982" s="67" t="str">
        <f aca="false">IF(TRIM(D982)="","",UPPER(TRIM(D982)))</f>
        <v/>
      </c>
      <c r="J982" s="67" t="str">
        <f aca="false">IF(TRIM(E982)="","",UPPER(TRIM(E982)))</f>
        <v/>
      </c>
    </row>
    <row r="983" customFormat="false" ht="14.25" hidden="false" customHeight="true" outlineLevel="0" collapsed="false">
      <c r="C983" s="17" t="str">
        <f aca="false">IF(TRIM(B983)="","",IFERROR(INDEX('Code Aliases'!$B:$B,MATCH(TRIM(B983),'Code Aliases'!$A:$A,0)),TRIM(B983)))</f>
        <v/>
      </c>
      <c r="I983" s="67" t="str">
        <f aca="false">IF(TRIM(D983)="","",UPPER(TRIM(D983)))</f>
        <v/>
      </c>
      <c r="J983" s="67" t="str">
        <f aca="false">IF(TRIM(E983)="","",UPPER(TRIM(E983)))</f>
        <v/>
      </c>
    </row>
    <row r="984" customFormat="false" ht="14.25" hidden="false" customHeight="true" outlineLevel="0" collapsed="false">
      <c r="C984" s="17" t="str">
        <f aca="false">IF(TRIM(B984)="","",IFERROR(INDEX('Code Aliases'!$B:$B,MATCH(TRIM(B984),'Code Aliases'!$A:$A,0)),TRIM(B984)))</f>
        <v/>
      </c>
      <c r="I984" s="67" t="str">
        <f aca="false">IF(TRIM(D984)="","",UPPER(TRIM(D984)))</f>
        <v/>
      </c>
      <c r="J984" s="67" t="str">
        <f aca="false">IF(TRIM(E984)="","",UPPER(TRIM(E984)))</f>
        <v/>
      </c>
    </row>
    <row r="985" customFormat="false" ht="14.25" hidden="false" customHeight="true" outlineLevel="0" collapsed="false">
      <c r="C985" s="17" t="str">
        <f aca="false">IF(TRIM(B985)="","",IFERROR(INDEX('Code Aliases'!$B:$B,MATCH(TRIM(B985),'Code Aliases'!$A:$A,0)),TRIM(B985)))</f>
        <v/>
      </c>
      <c r="I985" s="67" t="str">
        <f aca="false">IF(TRIM(D985)="","",UPPER(TRIM(D985)))</f>
        <v/>
      </c>
      <c r="J985" s="67" t="str">
        <f aca="false">IF(TRIM(E985)="","",UPPER(TRIM(E985)))</f>
        <v/>
      </c>
    </row>
    <row r="986" customFormat="false" ht="14.25" hidden="false" customHeight="true" outlineLevel="0" collapsed="false">
      <c r="C986" s="17" t="str">
        <f aca="false">IF(TRIM(B986)="","",IFERROR(INDEX('Code Aliases'!$B:$B,MATCH(TRIM(B986),'Code Aliases'!$A:$A,0)),TRIM(B986)))</f>
        <v/>
      </c>
      <c r="I986" s="67" t="str">
        <f aca="false">IF(TRIM(D986)="","",UPPER(TRIM(D986)))</f>
        <v/>
      </c>
      <c r="J986" s="67" t="str">
        <f aca="false">IF(TRIM(E986)="","",UPPER(TRIM(E986)))</f>
        <v/>
      </c>
    </row>
    <row r="987" customFormat="false" ht="14.25" hidden="false" customHeight="true" outlineLevel="0" collapsed="false">
      <c r="C987" s="17" t="str">
        <f aca="false">IF(TRIM(B987)="","",IFERROR(INDEX('Code Aliases'!$B:$B,MATCH(TRIM(B987),'Code Aliases'!$A:$A,0)),TRIM(B987)))</f>
        <v/>
      </c>
      <c r="I987" s="67" t="str">
        <f aca="false">IF(TRIM(D987)="","",UPPER(TRIM(D987)))</f>
        <v/>
      </c>
      <c r="J987" s="67" t="str">
        <f aca="false">IF(TRIM(E987)="","",UPPER(TRIM(E987)))</f>
        <v/>
      </c>
    </row>
    <row r="988" customFormat="false" ht="14.25" hidden="false" customHeight="true" outlineLevel="0" collapsed="false">
      <c r="C988" s="17" t="str">
        <f aca="false">IF(TRIM(B988)="","",IFERROR(INDEX('Code Aliases'!$B:$B,MATCH(TRIM(B988),'Code Aliases'!$A:$A,0)),TRIM(B988)))</f>
        <v/>
      </c>
      <c r="I988" s="67" t="str">
        <f aca="false">IF(TRIM(D988)="","",UPPER(TRIM(D988)))</f>
        <v/>
      </c>
      <c r="J988" s="67" t="str">
        <f aca="false">IF(TRIM(E988)="","",UPPER(TRIM(E988)))</f>
        <v/>
      </c>
    </row>
    <row r="989" customFormat="false" ht="14.25" hidden="false" customHeight="true" outlineLevel="0" collapsed="false">
      <c r="C989" s="17" t="str">
        <f aca="false">IF(TRIM(B989)="","",IFERROR(INDEX('Code Aliases'!$B:$B,MATCH(TRIM(B989),'Code Aliases'!$A:$A,0)),TRIM(B989)))</f>
        <v/>
      </c>
      <c r="I989" s="67" t="str">
        <f aca="false">IF(TRIM(D989)="","",UPPER(TRIM(D989)))</f>
        <v/>
      </c>
      <c r="J989" s="67" t="str">
        <f aca="false">IF(TRIM(E989)="","",UPPER(TRIM(E989)))</f>
        <v/>
      </c>
    </row>
    <row r="990" customFormat="false" ht="14.25" hidden="false" customHeight="true" outlineLevel="0" collapsed="false">
      <c r="C990" s="17" t="str">
        <f aca="false">IF(TRIM(B990)="","",IFERROR(INDEX('Code Aliases'!$B:$B,MATCH(TRIM(B990),'Code Aliases'!$A:$A,0)),TRIM(B990)))</f>
        <v/>
      </c>
      <c r="I990" s="67" t="str">
        <f aca="false">IF(TRIM(D990)="","",UPPER(TRIM(D990)))</f>
        <v/>
      </c>
      <c r="J990" s="67" t="str">
        <f aca="false">IF(TRIM(E990)="","",UPPER(TRIM(E990)))</f>
        <v/>
      </c>
    </row>
    <row r="991" customFormat="false" ht="14.25" hidden="false" customHeight="true" outlineLevel="0" collapsed="false">
      <c r="C991" s="17" t="str">
        <f aca="false">IF(TRIM(B991)="","",IFERROR(INDEX('Code Aliases'!$B:$B,MATCH(TRIM(B991),'Code Aliases'!$A:$A,0)),TRIM(B991)))</f>
        <v/>
      </c>
      <c r="I991" s="67" t="str">
        <f aca="false">IF(TRIM(D991)="","",UPPER(TRIM(D991)))</f>
        <v/>
      </c>
      <c r="J991" s="67" t="str">
        <f aca="false">IF(TRIM(E991)="","",UPPER(TRIM(E991)))</f>
        <v/>
      </c>
    </row>
    <row r="992" customFormat="false" ht="14.25" hidden="false" customHeight="true" outlineLevel="0" collapsed="false">
      <c r="C992" s="17" t="str">
        <f aca="false">IF(TRIM(B992)="","",IFERROR(INDEX('Code Aliases'!$B:$B,MATCH(TRIM(B992),'Code Aliases'!$A:$A,0)),TRIM(B992)))</f>
        <v/>
      </c>
      <c r="I992" s="67" t="str">
        <f aca="false">IF(TRIM(D992)="","",UPPER(TRIM(D992)))</f>
        <v/>
      </c>
      <c r="J992" s="67" t="str">
        <f aca="false">IF(TRIM(E992)="","",UPPER(TRIM(E992)))</f>
        <v/>
      </c>
    </row>
    <row r="993" customFormat="false" ht="14.25" hidden="false" customHeight="true" outlineLevel="0" collapsed="false">
      <c r="C993" s="17" t="str">
        <f aca="false">IF(TRIM(B993)="","",IFERROR(INDEX('Code Aliases'!$B:$B,MATCH(TRIM(B993),'Code Aliases'!$A:$A,0)),TRIM(B993)))</f>
        <v/>
      </c>
      <c r="I993" s="67" t="str">
        <f aca="false">IF(TRIM(D993)="","",UPPER(TRIM(D993)))</f>
        <v/>
      </c>
      <c r="J993" s="67" t="str">
        <f aca="false">IF(TRIM(E993)="","",UPPER(TRIM(E993)))</f>
        <v/>
      </c>
    </row>
    <row r="994" customFormat="false" ht="14.25" hidden="false" customHeight="true" outlineLevel="0" collapsed="false">
      <c r="C994" s="17" t="str">
        <f aca="false">IF(TRIM(B994)="","",IFERROR(INDEX('Code Aliases'!$B:$B,MATCH(TRIM(B994),'Code Aliases'!$A:$A,0)),TRIM(B994)))</f>
        <v/>
      </c>
      <c r="I994" s="67" t="str">
        <f aca="false">IF(TRIM(D994)="","",UPPER(TRIM(D994)))</f>
        <v/>
      </c>
      <c r="J994" s="67" t="str">
        <f aca="false">IF(TRIM(E994)="","",UPPER(TRIM(E994)))</f>
        <v/>
      </c>
    </row>
    <row r="995" customFormat="false" ht="14.25" hidden="false" customHeight="true" outlineLevel="0" collapsed="false">
      <c r="C995" s="17" t="str">
        <f aca="false">IF(TRIM(B995)="","",IFERROR(INDEX('Code Aliases'!$B:$B,MATCH(TRIM(B995),'Code Aliases'!$A:$A,0)),TRIM(B995)))</f>
        <v/>
      </c>
      <c r="I995" s="67" t="str">
        <f aca="false">IF(TRIM(D995)="","",UPPER(TRIM(D995)))</f>
        <v/>
      </c>
      <c r="J995" s="67" t="str">
        <f aca="false">IF(TRIM(E995)="","",UPPER(TRIM(E995)))</f>
        <v/>
      </c>
    </row>
    <row r="996" customFormat="false" ht="14.25" hidden="false" customHeight="true" outlineLevel="0" collapsed="false">
      <c r="C996" s="17" t="str">
        <f aca="false">IF(TRIM(B996)="","",IFERROR(INDEX('Code Aliases'!$B:$B,MATCH(TRIM(B996),'Code Aliases'!$A:$A,0)),TRIM(B996)))</f>
        <v/>
      </c>
      <c r="I996" s="67" t="str">
        <f aca="false">IF(TRIM(D996)="","",UPPER(TRIM(D996)))</f>
        <v/>
      </c>
      <c r="J996" s="67" t="str">
        <f aca="false">IF(TRIM(E996)="","",UPPER(TRIM(E996)))</f>
        <v/>
      </c>
    </row>
    <row r="997" customFormat="false" ht="14.25" hidden="false" customHeight="true" outlineLevel="0" collapsed="false">
      <c r="C997" s="17" t="str">
        <f aca="false">IF(TRIM(B997)="","",IFERROR(INDEX('Code Aliases'!$B:$B,MATCH(TRIM(B997),'Code Aliases'!$A:$A,0)),TRIM(B997)))</f>
        <v/>
      </c>
      <c r="I997" s="67" t="str">
        <f aca="false">IF(TRIM(D997)="","",UPPER(TRIM(D997)))</f>
        <v/>
      </c>
      <c r="J997" s="67" t="str">
        <f aca="false">IF(TRIM(E997)="","",UPPER(TRIM(E997)))</f>
        <v/>
      </c>
    </row>
    <row r="998" customFormat="false" ht="14.25" hidden="false" customHeight="true" outlineLevel="0" collapsed="false">
      <c r="C998" s="17" t="str">
        <f aca="false">IF(TRIM(B998)="","",IFERROR(INDEX('Code Aliases'!$B:$B,MATCH(TRIM(B998),'Code Aliases'!$A:$A,0)),TRIM(B998)))</f>
        <v/>
      </c>
      <c r="I998" s="67" t="str">
        <f aca="false">IF(TRIM(D998)="","",UPPER(TRIM(D998)))</f>
        <v/>
      </c>
      <c r="J998" s="67" t="str">
        <f aca="false">IF(TRIM(E998)="","",UPPER(TRIM(E998)))</f>
        <v/>
      </c>
    </row>
    <row r="999" customFormat="false" ht="14.25" hidden="false" customHeight="true" outlineLevel="0" collapsed="false">
      <c r="C999" s="17" t="str">
        <f aca="false">IF(TRIM(B999)="","",IFERROR(INDEX('Code Aliases'!$B:$B,MATCH(TRIM(B999),'Code Aliases'!$A:$A,0)),TRIM(B999)))</f>
        <v/>
      </c>
      <c r="I999" s="67" t="str">
        <f aca="false">IF(TRIM(D999)="","",UPPER(TRIM(D999)))</f>
        <v/>
      </c>
      <c r="J999" s="67" t="str">
        <f aca="false">IF(TRIM(E999)="","",UPPER(TRIM(E999)))</f>
        <v/>
      </c>
    </row>
    <row r="1000" customFormat="false" ht="14.25" hidden="false" customHeight="true" outlineLevel="0" collapsed="false">
      <c r="C1000" s="17" t="str">
        <f aca="false">IF(TRIM(B1000)="","",IFERROR(INDEX('Code Aliases'!$B:$B,MATCH(TRIM(B1000),'Code Aliases'!$A:$A,0)),TRIM(B1000)))</f>
        <v/>
      </c>
      <c r="I1000" s="67" t="str">
        <f aca="false">IF(TRIM(D1000)="","",UPPER(TRIM(D1000)))</f>
        <v/>
      </c>
      <c r="J1000" s="67" t="str">
        <f aca="false">IF(TRIM(E1000)="","",UPPER(TRIM(E1000)))</f>
        <v/>
      </c>
    </row>
    <row r="1001" customFormat="false" ht="14.25" hidden="false" customHeight="true" outlineLevel="0" collapsed="false">
      <c r="C1001" s="17" t="str">
        <f aca="false">IF(TRIM(B1001)="","",IFERROR(INDEX('Code Aliases'!$B:$B,MATCH(TRIM(B1001),'Code Aliases'!$A:$A,0)),TRIM(B1001)))</f>
        <v/>
      </c>
      <c r="I1001" s="67" t="str">
        <f aca="false">IF(TRIM(D1001)="","",UPPER(TRIM(D1001)))</f>
        <v/>
      </c>
      <c r="J1001" s="67" t="str">
        <f aca="false">IF(TRIM(E1001)="","",UPPER(TRIM(E1001)))</f>
        <v/>
      </c>
    </row>
    <row r="1002" customFormat="false" ht="14.25" hidden="false" customHeight="true" outlineLevel="0" collapsed="false">
      <c r="C1002" s="17" t="str">
        <f aca="false">IF(TRIM(B1002)="","",IFERROR(INDEX('Code Aliases'!$B:$B,MATCH(TRIM(B1002),'Code Aliases'!$A:$A,0)),TRIM(B1002)))</f>
        <v/>
      </c>
      <c r="I1002" s="67" t="str">
        <f aca="false">IF(TRIM(D1002)="","",UPPER(TRIM(D1002)))</f>
        <v/>
      </c>
      <c r="J1002" s="67" t="str">
        <f aca="false">IF(TRIM(E1002)="","",UPPER(TRIM(E1002)))</f>
        <v/>
      </c>
    </row>
    <row r="1003" customFormat="false" ht="14.25" hidden="false" customHeight="true" outlineLevel="0" collapsed="false">
      <c r="C1003" s="17" t="str">
        <f aca="false">IF(TRIM(B1003)="","",IFERROR(INDEX('Code Aliases'!$B:$B,MATCH(TRIM(B1003),'Code Aliases'!$A:$A,0)),TRIM(B1003)))</f>
        <v/>
      </c>
      <c r="I1003" s="67" t="str">
        <f aca="false">IF(TRIM(D1003)="","",UPPER(TRIM(D1003)))</f>
        <v/>
      </c>
      <c r="J1003" s="67" t="str">
        <f aca="false">IF(TRIM(E1003)="","",UPPER(TRIM(E1003)))</f>
        <v/>
      </c>
    </row>
    <row r="1004" customFormat="false" ht="14.25" hidden="false" customHeight="true" outlineLevel="0" collapsed="false">
      <c r="C1004" s="17" t="str">
        <f aca="false">IF(TRIM(B1004)="","",IFERROR(INDEX('Code Aliases'!$B:$B,MATCH(TRIM(B1004),'Code Aliases'!$A:$A,0)),TRIM(B1004)))</f>
        <v/>
      </c>
      <c r="I1004" s="67" t="str">
        <f aca="false">IF(TRIM(D1004)="","",UPPER(TRIM(D1004)))</f>
        <v/>
      </c>
      <c r="J1004" s="67" t="str">
        <f aca="false">IF(TRIM(E1004)="","",UPPER(TRIM(E1004)))</f>
        <v/>
      </c>
    </row>
    <row r="1005" customFormat="false" ht="14.25" hidden="false" customHeight="true" outlineLevel="0" collapsed="false">
      <c r="C1005" s="17" t="str">
        <f aca="false">IF(TRIM(B1005)="","",IFERROR(INDEX('Code Aliases'!$B:$B,MATCH(TRIM(B1005),'Code Aliases'!$A:$A,0)),TRIM(B1005)))</f>
        <v/>
      </c>
      <c r="I1005" s="67" t="str">
        <f aca="false">IF(TRIM(D1005)="","",UPPER(TRIM(D1005)))</f>
        <v/>
      </c>
      <c r="J1005" s="67" t="str">
        <f aca="false">IF(TRIM(E1005)="","",UPPER(TRIM(E1005)))</f>
        <v/>
      </c>
    </row>
    <row r="1006" customFormat="false" ht="14.25" hidden="false" customHeight="true" outlineLevel="0" collapsed="false">
      <c r="C1006" s="17" t="str">
        <f aca="false">IF(TRIM(B1006)="","",IFERROR(INDEX('Code Aliases'!$B:$B,MATCH(TRIM(B1006),'Code Aliases'!$A:$A,0)),TRIM(B1006)))</f>
        <v/>
      </c>
      <c r="I1006" s="67" t="str">
        <f aca="false">IF(TRIM(D1006)="","",UPPER(TRIM(D1006)))</f>
        <v/>
      </c>
      <c r="J1006" s="67" t="str">
        <f aca="false">IF(TRIM(E1006)="","",UPPER(TRIM(E1006)))</f>
        <v/>
      </c>
    </row>
    <row r="1007" customFormat="false" ht="14.25" hidden="false" customHeight="true" outlineLevel="0" collapsed="false">
      <c r="C1007" s="17" t="str">
        <f aca="false">IF(TRIM(B1007)="","",IFERROR(INDEX('Code Aliases'!$B:$B,MATCH(TRIM(B1007),'Code Aliases'!$A:$A,0)),TRIM(B1007)))</f>
        <v/>
      </c>
      <c r="I1007" s="67" t="str">
        <f aca="false">IF(TRIM(D1007)="","",UPPER(TRIM(D1007)))</f>
        <v/>
      </c>
      <c r="J1007" s="67" t="str">
        <f aca="false">IF(TRIM(E1007)="","",UPPER(TRIM(E1007)))</f>
        <v/>
      </c>
    </row>
    <row r="1008" customFormat="false" ht="14.25" hidden="false" customHeight="true" outlineLevel="0" collapsed="false">
      <c r="C1008" s="17" t="str">
        <f aca="false">IF(TRIM(B1008)="","",IFERROR(INDEX('Code Aliases'!$B:$B,MATCH(TRIM(B1008),'Code Aliases'!$A:$A,0)),TRIM(B1008)))</f>
        <v/>
      </c>
      <c r="I1008" s="67" t="str">
        <f aca="false">IF(TRIM(D1008)="","",UPPER(TRIM(D1008)))</f>
        <v/>
      </c>
      <c r="J1008" s="67" t="str">
        <f aca="false">IF(TRIM(E1008)="","",UPPER(TRIM(E1008)))</f>
        <v/>
      </c>
    </row>
    <row r="1009" customFormat="false" ht="14.25" hidden="false" customHeight="true" outlineLevel="0" collapsed="false">
      <c r="C1009" s="17" t="str">
        <f aca="false">IF(TRIM(B1009)="","",IFERROR(INDEX('Code Aliases'!$B:$B,MATCH(TRIM(B1009),'Code Aliases'!$A:$A,0)),TRIM(B1009)))</f>
        <v/>
      </c>
      <c r="I1009" s="67" t="str">
        <f aca="false">IF(TRIM(D1009)="","",UPPER(TRIM(D1009)))</f>
        <v/>
      </c>
      <c r="J1009" s="67" t="str">
        <f aca="false">IF(TRIM(E1009)="","",UPPER(TRIM(E1009)))</f>
        <v/>
      </c>
    </row>
    <row r="1010" customFormat="false" ht="14.25" hidden="false" customHeight="true" outlineLevel="0" collapsed="false">
      <c r="C1010" s="17" t="str">
        <f aca="false">IF(TRIM(B1010)="","",IFERROR(INDEX('Code Aliases'!$B:$B,MATCH(TRIM(B1010),'Code Aliases'!$A:$A,0)),TRIM(B1010)))</f>
        <v/>
      </c>
      <c r="I1010" s="67" t="str">
        <f aca="false">IF(TRIM(D1010)="","",UPPER(TRIM(D1010)))</f>
        <v/>
      </c>
      <c r="J1010" s="67" t="str">
        <f aca="false">IF(TRIM(E1010)="","",UPPER(TRIM(E1010)))</f>
        <v/>
      </c>
    </row>
    <row r="1011" customFormat="false" ht="14.25" hidden="false" customHeight="true" outlineLevel="0" collapsed="false">
      <c r="C1011" s="17" t="str">
        <f aca="false">IF(TRIM(B1011)="","",IFERROR(INDEX('Code Aliases'!$B:$B,MATCH(TRIM(B1011),'Code Aliases'!$A:$A,0)),TRIM(B1011)))</f>
        <v/>
      </c>
      <c r="I1011" s="67" t="str">
        <f aca="false">IF(TRIM(D1011)="","",UPPER(TRIM(D1011)))</f>
        <v/>
      </c>
      <c r="J1011" s="67" t="str">
        <f aca="false">IF(TRIM(E1011)="","",UPPER(TRIM(E1011)))</f>
        <v/>
      </c>
    </row>
    <row r="1012" customFormat="false" ht="14.25" hidden="false" customHeight="true" outlineLevel="0" collapsed="false">
      <c r="C1012" s="17" t="str">
        <f aca="false">IF(TRIM(B1012)="","",IFERROR(INDEX('Code Aliases'!$B:$B,MATCH(TRIM(B1012),'Code Aliases'!$A:$A,0)),TRIM(B1012)))</f>
        <v/>
      </c>
      <c r="I1012" s="67" t="str">
        <f aca="false">IF(TRIM(D1012)="","",UPPER(TRIM(D1012)))</f>
        <v/>
      </c>
      <c r="J1012" s="67" t="str">
        <f aca="false">IF(TRIM(E1012)="","",UPPER(TRIM(E1012)))</f>
        <v/>
      </c>
    </row>
    <row r="1013" customFormat="false" ht="14.25" hidden="false" customHeight="true" outlineLevel="0" collapsed="false">
      <c r="C1013" s="17" t="str">
        <f aca="false">IF(TRIM(B1013)="","",IFERROR(INDEX('Code Aliases'!$B:$B,MATCH(TRIM(B1013),'Code Aliases'!$A:$A,0)),TRIM(B1013)))</f>
        <v/>
      </c>
      <c r="I1013" s="67" t="str">
        <f aca="false">IF(TRIM(D1013)="","",UPPER(TRIM(D1013)))</f>
        <v/>
      </c>
      <c r="J1013" s="67" t="str">
        <f aca="false">IF(TRIM(E1013)="","",UPPER(TRIM(E1013)))</f>
        <v/>
      </c>
    </row>
    <row r="1014" customFormat="false" ht="14.25" hidden="false" customHeight="true" outlineLevel="0" collapsed="false">
      <c r="C1014" s="17" t="str">
        <f aca="false">IF(TRIM(B1014)="","",IFERROR(INDEX('Code Aliases'!$B:$B,MATCH(TRIM(B1014),'Code Aliases'!$A:$A,0)),TRIM(B1014)))</f>
        <v/>
      </c>
      <c r="I1014" s="67" t="str">
        <f aca="false">IF(TRIM(D1014)="","",UPPER(TRIM(D1014)))</f>
        <v/>
      </c>
      <c r="J1014" s="67" t="str">
        <f aca="false">IF(TRIM(E1014)="","",UPPER(TRIM(E1014)))</f>
        <v/>
      </c>
    </row>
    <row r="1015" customFormat="false" ht="14.25" hidden="false" customHeight="true" outlineLevel="0" collapsed="false">
      <c r="C1015" s="17" t="str">
        <f aca="false">IF(TRIM(B1015)="","",IFERROR(INDEX('Code Aliases'!$B:$B,MATCH(TRIM(B1015),'Code Aliases'!$A:$A,0)),TRIM(B1015)))</f>
        <v/>
      </c>
      <c r="I1015" s="67" t="str">
        <f aca="false">IF(TRIM(D1015)="","",UPPER(TRIM(D1015)))</f>
        <v/>
      </c>
      <c r="J1015" s="67" t="str">
        <f aca="false">IF(TRIM(E1015)="","",UPPER(TRIM(E1015)))</f>
        <v/>
      </c>
    </row>
    <row r="1016" customFormat="false" ht="14.25" hidden="false" customHeight="true" outlineLevel="0" collapsed="false">
      <c r="C1016" s="17" t="str">
        <f aca="false">IF(TRIM(B1016)="","",IFERROR(INDEX('Code Aliases'!$B:$B,MATCH(TRIM(B1016),'Code Aliases'!$A:$A,0)),TRIM(B1016)))</f>
        <v/>
      </c>
      <c r="I1016" s="67" t="str">
        <f aca="false">IF(TRIM(D1016)="","",UPPER(TRIM(D1016)))</f>
        <v/>
      </c>
      <c r="J1016" s="67" t="str">
        <f aca="false">IF(TRIM(E1016)="","",UPPER(TRIM(E1016)))</f>
        <v/>
      </c>
    </row>
    <row r="1017" customFormat="false" ht="14.25" hidden="false" customHeight="true" outlineLevel="0" collapsed="false">
      <c r="C1017" s="17" t="str">
        <f aca="false">IF(TRIM(B1017)="","",IFERROR(INDEX('Code Aliases'!$B:$B,MATCH(TRIM(B1017),'Code Aliases'!$A:$A,0)),TRIM(B1017)))</f>
        <v/>
      </c>
      <c r="I1017" s="67" t="str">
        <f aca="false">IF(TRIM(D1017)="","",UPPER(TRIM(D1017)))</f>
        <v/>
      </c>
      <c r="J1017" s="67" t="str">
        <f aca="false">IF(TRIM(E1017)="","",UPPER(TRIM(E1017)))</f>
        <v/>
      </c>
    </row>
    <row r="1018" customFormat="false" ht="14.25" hidden="false" customHeight="true" outlineLevel="0" collapsed="false">
      <c r="C1018" s="17" t="str">
        <f aca="false">IF(TRIM(B1018)="","",IFERROR(INDEX('Code Aliases'!$B:$B,MATCH(TRIM(B1018),'Code Aliases'!$A:$A,0)),TRIM(B1018)))</f>
        <v/>
      </c>
      <c r="I1018" s="67" t="str">
        <f aca="false">IF(TRIM(D1018)="","",UPPER(TRIM(D1018)))</f>
        <v/>
      </c>
      <c r="J1018" s="67" t="str">
        <f aca="false">IF(TRIM(E1018)="","",UPPER(TRIM(E1018)))</f>
        <v/>
      </c>
    </row>
    <row r="1019" customFormat="false" ht="14.25" hidden="false" customHeight="true" outlineLevel="0" collapsed="false">
      <c r="C1019" s="17" t="str">
        <f aca="false">IF(TRIM(B1019)="","",IFERROR(INDEX('Code Aliases'!$B:$B,MATCH(TRIM(B1019),'Code Aliases'!$A:$A,0)),TRIM(B1019)))</f>
        <v/>
      </c>
      <c r="I1019" s="67" t="str">
        <f aca="false">IF(TRIM(D1019)="","",UPPER(TRIM(D1019)))</f>
        <v/>
      </c>
      <c r="J1019" s="67" t="str">
        <f aca="false">IF(TRIM(E1019)="","",UPPER(TRIM(E1019)))</f>
        <v/>
      </c>
    </row>
    <row r="1020" customFormat="false" ht="14.25" hidden="false" customHeight="true" outlineLevel="0" collapsed="false">
      <c r="C1020" s="17" t="str">
        <f aca="false">IF(TRIM(B1020)="","",IFERROR(INDEX('Code Aliases'!$B:$B,MATCH(TRIM(B1020),'Code Aliases'!$A:$A,0)),TRIM(B1020)))</f>
        <v/>
      </c>
      <c r="I1020" s="67" t="str">
        <f aca="false">IF(TRIM(D1020)="","",UPPER(TRIM(D1020)))</f>
        <v/>
      </c>
      <c r="J1020" s="67" t="str">
        <f aca="false">IF(TRIM(E1020)="","",UPPER(TRIM(E1020)))</f>
        <v/>
      </c>
    </row>
    <row r="1021" customFormat="false" ht="14.25" hidden="false" customHeight="true" outlineLevel="0" collapsed="false">
      <c r="C1021" s="17" t="str">
        <f aca="false">IF(TRIM(B1021)="","",IFERROR(INDEX('Code Aliases'!$B:$B,MATCH(TRIM(B1021),'Code Aliases'!$A:$A,0)),TRIM(B1021)))</f>
        <v/>
      </c>
      <c r="I1021" s="67" t="str">
        <f aca="false">IF(TRIM(D1021)="","",UPPER(TRIM(D1021)))</f>
        <v/>
      </c>
      <c r="J1021" s="67" t="str">
        <f aca="false">IF(TRIM(E1021)="","",UPPER(TRIM(E1021)))</f>
        <v/>
      </c>
    </row>
    <row r="1022" customFormat="false" ht="14.25" hidden="false" customHeight="true" outlineLevel="0" collapsed="false">
      <c r="C1022" s="17" t="str">
        <f aca="false">IF(TRIM(B1022)="","",IFERROR(INDEX('Code Aliases'!$B:$B,MATCH(TRIM(B1022),'Code Aliases'!$A:$A,0)),TRIM(B1022)))</f>
        <v/>
      </c>
      <c r="I1022" s="67" t="str">
        <f aca="false">IF(TRIM(D1022)="","",UPPER(TRIM(D1022)))</f>
        <v/>
      </c>
      <c r="J1022" s="67" t="str">
        <f aca="false">IF(TRIM(E1022)="","",UPPER(TRIM(E1022)))</f>
        <v/>
      </c>
    </row>
    <row r="1023" customFormat="false" ht="14.25" hidden="false" customHeight="true" outlineLevel="0" collapsed="false">
      <c r="C1023" s="17" t="str">
        <f aca="false">IF(TRIM(B1023)="","",IFERROR(INDEX('Code Aliases'!$B:$B,MATCH(TRIM(B1023),'Code Aliases'!$A:$A,0)),TRIM(B1023)))</f>
        <v/>
      </c>
      <c r="I1023" s="67" t="str">
        <f aca="false">IF(TRIM(D1023)="","",UPPER(TRIM(D1023)))</f>
        <v/>
      </c>
      <c r="J1023" s="67" t="str">
        <f aca="false">IF(TRIM(E1023)="","",UPPER(TRIM(E1023)))</f>
        <v/>
      </c>
    </row>
    <row r="1024" customFormat="false" ht="14.25" hidden="false" customHeight="true" outlineLevel="0" collapsed="false">
      <c r="C1024" s="17" t="str">
        <f aca="false">IF(TRIM(B1024)="","",IFERROR(INDEX('Code Aliases'!$B:$B,MATCH(TRIM(B1024),'Code Aliases'!$A:$A,0)),TRIM(B1024)))</f>
        <v/>
      </c>
      <c r="I1024" s="67" t="str">
        <f aca="false">IF(TRIM(D1024)="","",UPPER(TRIM(D1024)))</f>
        <v/>
      </c>
      <c r="J1024" s="67" t="str">
        <f aca="false">IF(TRIM(E1024)="","",UPPER(TRIM(E1024)))</f>
        <v/>
      </c>
    </row>
    <row r="1025" customFormat="false" ht="14.25" hidden="false" customHeight="true" outlineLevel="0" collapsed="false">
      <c r="C1025" s="17" t="str">
        <f aca="false">IF(TRIM(B1025)="","",IFERROR(INDEX('Code Aliases'!$B:$B,MATCH(TRIM(B1025),'Code Aliases'!$A:$A,0)),TRIM(B1025)))</f>
        <v/>
      </c>
      <c r="I1025" s="67" t="str">
        <f aca="false">IF(TRIM(D1025)="","",UPPER(TRIM(D1025)))</f>
        <v/>
      </c>
      <c r="J1025" s="67" t="str">
        <f aca="false">IF(TRIM(E1025)="","",UPPER(TRIM(E1025)))</f>
        <v/>
      </c>
    </row>
    <row r="1026" customFormat="false" ht="14.25" hidden="false" customHeight="true" outlineLevel="0" collapsed="false">
      <c r="C1026" s="17" t="str">
        <f aca="false">IF(TRIM(B1026)="","",IFERROR(INDEX('Code Aliases'!$B:$B,MATCH(TRIM(B1026),'Code Aliases'!$A:$A,0)),TRIM(B1026)))</f>
        <v/>
      </c>
      <c r="I1026" s="67" t="str">
        <f aca="false">IF(TRIM(D1026)="","",UPPER(TRIM(D1026)))</f>
        <v/>
      </c>
      <c r="J1026" s="67" t="str">
        <f aca="false">IF(TRIM(E1026)="","",UPPER(TRIM(E1026)))</f>
        <v/>
      </c>
    </row>
    <row r="1027" customFormat="false" ht="14.25" hidden="false" customHeight="true" outlineLevel="0" collapsed="false">
      <c r="C1027" s="17" t="str">
        <f aca="false">IF(TRIM(B1027)="","",IFERROR(INDEX('Code Aliases'!$B:$B,MATCH(TRIM(B1027),'Code Aliases'!$A:$A,0)),TRIM(B1027)))</f>
        <v/>
      </c>
      <c r="I1027" s="67" t="str">
        <f aca="false">IF(TRIM(D1027)="","",UPPER(TRIM(D1027)))</f>
        <v/>
      </c>
      <c r="J1027" s="67" t="str">
        <f aca="false">IF(TRIM(E1027)="","",UPPER(TRIM(E1027)))</f>
        <v/>
      </c>
    </row>
    <row r="1028" customFormat="false" ht="14.25" hidden="false" customHeight="true" outlineLevel="0" collapsed="false">
      <c r="C1028" s="17" t="str">
        <f aca="false">IF(TRIM(B1028)="","",IFERROR(INDEX('Code Aliases'!$B:$B,MATCH(TRIM(B1028),'Code Aliases'!$A:$A,0)),TRIM(B1028)))</f>
        <v/>
      </c>
      <c r="I1028" s="67" t="str">
        <f aca="false">IF(TRIM(D1028)="","",UPPER(TRIM(D1028)))</f>
        <v/>
      </c>
      <c r="J1028" s="67" t="str">
        <f aca="false">IF(TRIM(E1028)="","",UPPER(TRIM(E1028)))</f>
        <v/>
      </c>
    </row>
    <row r="1029" customFormat="false" ht="14.25" hidden="false" customHeight="true" outlineLevel="0" collapsed="false">
      <c r="C1029" s="17" t="str">
        <f aca="false">IF(TRIM(B1029)="","",IFERROR(INDEX('Code Aliases'!$B:$B,MATCH(TRIM(B1029),'Code Aliases'!$A:$A,0)),TRIM(B1029)))</f>
        <v/>
      </c>
      <c r="I1029" s="67" t="str">
        <f aca="false">IF(TRIM(D1029)="","",UPPER(TRIM(D1029)))</f>
        <v/>
      </c>
      <c r="J1029" s="67" t="str">
        <f aca="false">IF(TRIM(E1029)="","",UPPER(TRIM(E1029)))</f>
        <v/>
      </c>
    </row>
    <row r="1030" customFormat="false" ht="14.25" hidden="false" customHeight="true" outlineLevel="0" collapsed="false">
      <c r="C1030" s="17" t="str">
        <f aca="false">IF(TRIM(B1030)="","",IFERROR(INDEX('Code Aliases'!$B:$B,MATCH(TRIM(B1030),'Code Aliases'!$A:$A,0)),TRIM(B1030)))</f>
        <v/>
      </c>
      <c r="I1030" s="67" t="str">
        <f aca="false">IF(TRIM(D1030)="","",UPPER(TRIM(D1030)))</f>
        <v/>
      </c>
      <c r="J1030" s="67" t="str">
        <f aca="false">IF(TRIM(E1030)="","",UPPER(TRIM(E1030)))</f>
        <v/>
      </c>
    </row>
    <row r="1031" customFormat="false" ht="14.25" hidden="false" customHeight="true" outlineLevel="0" collapsed="false">
      <c r="C1031" s="17" t="str">
        <f aca="false">IF(TRIM(B1031)="","",IFERROR(INDEX('Code Aliases'!$B:$B,MATCH(TRIM(B1031),'Code Aliases'!$A:$A,0)),TRIM(B1031)))</f>
        <v/>
      </c>
      <c r="I1031" s="67" t="str">
        <f aca="false">IF(TRIM(D1031)="","",UPPER(TRIM(D1031)))</f>
        <v/>
      </c>
      <c r="J1031" s="67" t="str">
        <f aca="false">IF(TRIM(E1031)="","",UPPER(TRIM(E1031)))</f>
        <v/>
      </c>
    </row>
    <row r="1032" customFormat="false" ht="14.25" hidden="false" customHeight="true" outlineLevel="0" collapsed="false">
      <c r="C1032" s="17" t="str">
        <f aca="false">IF(TRIM(B1032)="","",IFERROR(INDEX('Code Aliases'!$B:$B,MATCH(TRIM(B1032),'Code Aliases'!$A:$A,0)),TRIM(B1032)))</f>
        <v/>
      </c>
      <c r="I1032" s="67" t="str">
        <f aca="false">IF(TRIM(D1032)="","",UPPER(TRIM(D1032)))</f>
        <v/>
      </c>
      <c r="J1032" s="67" t="str">
        <f aca="false">IF(TRIM(E1032)="","",UPPER(TRIM(E1032)))</f>
        <v/>
      </c>
    </row>
    <row r="1033" customFormat="false" ht="14.25" hidden="false" customHeight="true" outlineLevel="0" collapsed="false">
      <c r="C1033" s="17" t="str">
        <f aca="false">IF(TRIM(B1033)="","",IFERROR(INDEX('Code Aliases'!$B:$B,MATCH(TRIM(B1033),'Code Aliases'!$A:$A,0)),TRIM(B1033)))</f>
        <v/>
      </c>
      <c r="I1033" s="67" t="str">
        <f aca="false">IF(TRIM(D1033)="","",UPPER(TRIM(D1033)))</f>
        <v/>
      </c>
      <c r="J1033" s="67" t="str">
        <f aca="false">IF(TRIM(E1033)="","",UPPER(TRIM(E1033)))</f>
        <v/>
      </c>
    </row>
    <row r="1034" customFormat="false" ht="14.25" hidden="false" customHeight="true" outlineLevel="0" collapsed="false">
      <c r="C1034" s="17" t="str">
        <f aca="false">IF(TRIM(B1034)="","",IFERROR(INDEX('Code Aliases'!$B:$B,MATCH(TRIM(B1034),'Code Aliases'!$A:$A,0)),TRIM(B1034)))</f>
        <v/>
      </c>
      <c r="I1034" s="67" t="str">
        <f aca="false">IF(TRIM(D1034)="","",UPPER(TRIM(D1034)))</f>
        <v/>
      </c>
      <c r="J1034" s="67" t="str">
        <f aca="false">IF(TRIM(E1034)="","",UPPER(TRIM(E1034)))</f>
        <v/>
      </c>
    </row>
    <row r="1035" customFormat="false" ht="14.25" hidden="false" customHeight="true" outlineLevel="0" collapsed="false">
      <c r="C1035" s="17" t="str">
        <f aca="false">IF(TRIM(B1035)="","",IFERROR(INDEX('Code Aliases'!$B:$B,MATCH(TRIM(B1035),'Code Aliases'!$A:$A,0)),TRIM(B1035)))</f>
        <v/>
      </c>
      <c r="I1035" s="67" t="str">
        <f aca="false">IF(TRIM(D1035)="","",UPPER(TRIM(D1035)))</f>
        <v/>
      </c>
      <c r="J1035" s="67" t="str">
        <f aca="false">IF(TRIM(E1035)="","",UPPER(TRIM(E1035)))</f>
        <v/>
      </c>
    </row>
    <row r="1036" customFormat="false" ht="14.25" hidden="false" customHeight="true" outlineLevel="0" collapsed="false">
      <c r="C1036" s="17" t="str">
        <f aca="false">IF(TRIM(B1036)="","",IFERROR(INDEX('Code Aliases'!$B:$B,MATCH(TRIM(B1036),'Code Aliases'!$A:$A,0)),TRIM(B1036)))</f>
        <v/>
      </c>
      <c r="I1036" s="67" t="str">
        <f aca="false">IF(TRIM(D1036)="","",UPPER(TRIM(D1036)))</f>
        <v/>
      </c>
      <c r="J1036" s="67" t="str">
        <f aca="false">IF(TRIM(E1036)="","",UPPER(TRIM(E1036)))</f>
        <v/>
      </c>
    </row>
    <row r="1037" customFormat="false" ht="14.25" hidden="false" customHeight="true" outlineLevel="0" collapsed="false">
      <c r="C1037" s="17" t="str">
        <f aca="false">IF(TRIM(B1037)="","",IFERROR(INDEX('Code Aliases'!$B:$B,MATCH(TRIM(B1037),'Code Aliases'!$A:$A,0)),TRIM(B1037)))</f>
        <v/>
      </c>
      <c r="I1037" s="67" t="str">
        <f aca="false">IF(TRIM(D1037)="","",UPPER(TRIM(D1037)))</f>
        <v/>
      </c>
      <c r="J1037" s="67" t="str">
        <f aca="false">IF(TRIM(E1037)="","",UPPER(TRIM(E1037)))</f>
        <v/>
      </c>
    </row>
    <row r="1038" customFormat="false" ht="14.25" hidden="false" customHeight="true" outlineLevel="0" collapsed="false">
      <c r="C1038" s="17" t="str">
        <f aca="false">IF(TRIM(B1038)="","",IFERROR(INDEX('Code Aliases'!$B:$B,MATCH(TRIM(B1038),'Code Aliases'!$A:$A,0)),TRIM(B1038)))</f>
        <v/>
      </c>
      <c r="I1038" s="67" t="str">
        <f aca="false">IF(TRIM(D1038)="","",UPPER(TRIM(D1038)))</f>
        <v/>
      </c>
      <c r="J1038" s="67" t="str">
        <f aca="false">IF(TRIM(E1038)="","",UPPER(TRIM(E1038)))</f>
        <v/>
      </c>
    </row>
    <row r="1039" customFormat="false" ht="14.25" hidden="false" customHeight="true" outlineLevel="0" collapsed="false">
      <c r="C1039" s="17" t="str">
        <f aca="false">IF(TRIM(B1039)="","",IFERROR(INDEX('Code Aliases'!$B:$B,MATCH(TRIM(B1039),'Code Aliases'!$A:$A,0)),TRIM(B1039)))</f>
        <v/>
      </c>
      <c r="I1039" s="67" t="str">
        <f aca="false">IF(TRIM(D1039)="","",UPPER(TRIM(D1039)))</f>
        <v/>
      </c>
      <c r="J1039" s="67" t="str">
        <f aca="false">IF(TRIM(E1039)="","",UPPER(TRIM(E1039)))</f>
        <v/>
      </c>
    </row>
    <row r="1040" customFormat="false" ht="14.25" hidden="false" customHeight="true" outlineLevel="0" collapsed="false">
      <c r="C1040" s="17" t="str">
        <f aca="false">IF(TRIM(B1040)="","",IFERROR(INDEX('Code Aliases'!$B:$B,MATCH(TRIM(B1040),'Code Aliases'!$A:$A,0)),TRIM(B1040)))</f>
        <v/>
      </c>
      <c r="I1040" s="67" t="str">
        <f aca="false">IF(TRIM(D1040)="","",UPPER(TRIM(D1040)))</f>
        <v/>
      </c>
      <c r="J1040" s="67" t="str">
        <f aca="false">IF(TRIM(E1040)="","",UPPER(TRIM(E1040)))</f>
        <v/>
      </c>
    </row>
    <row r="1041" customFormat="false" ht="14.25" hidden="false" customHeight="true" outlineLevel="0" collapsed="false">
      <c r="C1041" s="17" t="str">
        <f aca="false">IF(TRIM(B1041)="","",IFERROR(INDEX('Code Aliases'!$B:$B,MATCH(TRIM(B1041),'Code Aliases'!$A:$A,0)),TRIM(B1041)))</f>
        <v/>
      </c>
      <c r="I1041" s="67" t="str">
        <f aca="false">IF(TRIM(D1041)="","",UPPER(TRIM(D1041)))</f>
        <v/>
      </c>
      <c r="J1041" s="67" t="str">
        <f aca="false">IF(TRIM(E1041)="","",UPPER(TRIM(E1041)))</f>
        <v/>
      </c>
    </row>
    <row r="1042" customFormat="false" ht="14.25" hidden="false" customHeight="true" outlineLevel="0" collapsed="false">
      <c r="C1042" s="17" t="str">
        <f aca="false">IF(TRIM(B1042)="","",IFERROR(INDEX('Code Aliases'!$B:$B,MATCH(TRIM(B1042),'Code Aliases'!$A:$A,0)),TRIM(B1042)))</f>
        <v/>
      </c>
      <c r="I1042" s="67" t="str">
        <f aca="false">IF(TRIM(D1042)="","",UPPER(TRIM(D1042)))</f>
        <v/>
      </c>
      <c r="J1042" s="67" t="str">
        <f aca="false">IF(TRIM(E1042)="","",UPPER(TRIM(E1042)))</f>
        <v/>
      </c>
    </row>
    <row r="1043" customFormat="false" ht="14.25" hidden="false" customHeight="true" outlineLevel="0" collapsed="false">
      <c r="C1043" s="17" t="str">
        <f aca="false">IF(TRIM(B1043)="","",IFERROR(INDEX('Code Aliases'!$B:$B,MATCH(TRIM(B1043),'Code Aliases'!$A:$A,0)),TRIM(B1043)))</f>
        <v/>
      </c>
      <c r="I1043" s="67" t="str">
        <f aca="false">IF(TRIM(D1043)="","",UPPER(TRIM(D1043)))</f>
        <v/>
      </c>
      <c r="J1043" s="67" t="str">
        <f aca="false">IF(TRIM(E1043)="","",UPPER(TRIM(E1043)))</f>
        <v/>
      </c>
    </row>
    <row r="1044" customFormat="false" ht="14.25" hidden="false" customHeight="true" outlineLevel="0" collapsed="false">
      <c r="C1044" s="17" t="str">
        <f aca="false">IF(TRIM(B1044)="","",IFERROR(INDEX('Code Aliases'!$B:$B,MATCH(TRIM(B1044),'Code Aliases'!$A:$A,0)),TRIM(B1044)))</f>
        <v/>
      </c>
      <c r="I1044" s="67" t="str">
        <f aca="false">IF(TRIM(D1044)="","",UPPER(TRIM(D1044)))</f>
        <v/>
      </c>
      <c r="J1044" s="67" t="str">
        <f aca="false">IF(TRIM(E1044)="","",UPPER(TRIM(E1044)))</f>
        <v/>
      </c>
    </row>
    <row r="1045" customFormat="false" ht="14.25" hidden="false" customHeight="true" outlineLevel="0" collapsed="false">
      <c r="C1045" s="17" t="str">
        <f aca="false">IF(TRIM(B1045)="","",IFERROR(INDEX('Code Aliases'!$B:$B,MATCH(TRIM(B1045),'Code Aliases'!$A:$A,0)),TRIM(B1045)))</f>
        <v/>
      </c>
      <c r="I1045" s="67" t="str">
        <f aca="false">IF(TRIM(D1045)="","",UPPER(TRIM(D1045)))</f>
        <v/>
      </c>
      <c r="J1045" s="67" t="str">
        <f aca="false">IF(TRIM(E1045)="","",UPPER(TRIM(E1045)))</f>
        <v/>
      </c>
    </row>
    <row r="1046" customFormat="false" ht="14.25" hidden="false" customHeight="true" outlineLevel="0" collapsed="false">
      <c r="C1046" s="17" t="str">
        <f aca="false">IF(TRIM(B1046)="","",IFERROR(INDEX('Code Aliases'!$B:$B,MATCH(TRIM(B1046),'Code Aliases'!$A:$A,0)),TRIM(B1046)))</f>
        <v/>
      </c>
      <c r="I1046" s="67" t="str">
        <f aca="false">IF(TRIM(D1046)="","",UPPER(TRIM(D1046)))</f>
        <v/>
      </c>
      <c r="J1046" s="67" t="str">
        <f aca="false">IF(TRIM(E1046)="","",UPPER(TRIM(E1046)))</f>
        <v/>
      </c>
    </row>
    <row r="1047" customFormat="false" ht="14.25" hidden="false" customHeight="true" outlineLevel="0" collapsed="false">
      <c r="C1047" s="17" t="str">
        <f aca="false">IF(TRIM(B1047)="","",IFERROR(INDEX('Code Aliases'!$B:$B,MATCH(TRIM(B1047),'Code Aliases'!$A:$A,0)),TRIM(B1047)))</f>
        <v/>
      </c>
      <c r="I1047" s="67" t="str">
        <f aca="false">IF(TRIM(D1047)="","",UPPER(TRIM(D1047)))</f>
        <v/>
      </c>
      <c r="J1047" s="67" t="str">
        <f aca="false">IF(TRIM(E1047)="","",UPPER(TRIM(E1047)))</f>
        <v/>
      </c>
    </row>
    <row r="1048" customFormat="false" ht="14.25" hidden="false" customHeight="true" outlineLevel="0" collapsed="false">
      <c r="C1048" s="17" t="str">
        <f aca="false">IF(TRIM(B1048)="","",IFERROR(INDEX('Code Aliases'!$B:$B,MATCH(TRIM(B1048),'Code Aliases'!$A:$A,0)),TRIM(B1048)))</f>
        <v/>
      </c>
      <c r="I1048" s="67" t="str">
        <f aca="false">IF(TRIM(D1048)="","",UPPER(TRIM(D1048)))</f>
        <v/>
      </c>
      <c r="J1048" s="67" t="str">
        <f aca="false">IF(TRIM(E1048)="","",UPPER(TRIM(E1048)))</f>
        <v/>
      </c>
    </row>
    <row r="1049" customFormat="false" ht="14.25" hidden="false" customHeight="true" outlineLevel="0" collapsed="false">
      <c r="C1049" s="17" t="str">
        <f aca="false">IF(TRIM(B1049)="","",IFERROR(INDEX('Code Aliases'!$B:$B,MATCH(TRIM(B1049),'Code Aliases'!$A:$A,0)),TRIM(B1049)))</f>
        <v/>
      </c>
      <c r="I1049" s="67" t="str">
        <f aca="false">IF(TRIM(D1049)="","",UPPER(TRIM(D1049)))</f>
        <v/>
      </c>
      <c r="J1049" s="67" t="str">
        <f aca="false">IF(TRIM(E1049)="","",UPPER(TRIM(E1049)))</f>
        <v/>
      </c>
    </row>
    <row r="1050" customFormat="false" ht="14.25" hidden="false" customHeight="true" outlineLevel="0" collapsed="false">
      <c r="C1050" s="17" t="str">
        <f aca="false">IF(TRIM(B1050)="","",IFERROR(INDEX('Code Aliases'!$B:$B,MATCH(TRIM(B1050),'Code Aliases'!$A:$A,0)),TRIM(B1050)))</f>
        <v/>
      </c>
      <c r="I1050" s="67" t="str">
        <f aca="false">IF(TRIM(D1050)="","",UPPER(TRIM(D1050)))</f>
        <v/>
      </c>
      <c r="J1050" s="67" t="str">
        <f aca="false">IF(TRIM(E1050)="","",UPPER(TRIM(E1050)))</f>
        <v/>
      </c>
    </row>
    <row r="1051" customFormat="false" ht="14.25" hidden="false" customHeight="true" outlineLevel="0" collapsed="false">
      <c r="C1051" s="17" t="str">
        <f aca="false">IF(TRIM(B1051)="","",IFERROR(INDEX('Code Aliases'!$B:$B,MATCH(TRIM(B1051),'Code Aliases'!$A:$A,0)),TRIM(B1051)))</f>
        <v/>
      </c>
      <c r="I1051" s="67" t="str">
        <f aca="false">IF(TRIM(D1051)="","",UPPER(TRIM(D1051)))</f>
        <v/>
      </c>
      <c r="J1051" s="67" t="str">
        <f aca="false">IF(TRIM(E1051)="","",UPPER(TRIM(E1051)))</f>
        <v/>
      </c>
    </row>
    <row r="1052" customFormat="false" ht="14.25" hidden="false" customHeight="true" outlineLevel="0" collapsed="false">
      <c r="C1052" s="17" t="str">
        <f aca="false">IF(TRIM(B1052)="","",IFERROR(INDEX('Code Aliases'!$B:$B,MATCH(TRIM(B1052),'Code Aliases'!$A:$A,0)),TRIM(B1052)))</f>
        <v/>
      </c>
      <c r="I1052" s="67" t="str">
        <f aca="false">IF(TRIM(D1052)="","",UPPER(TRIM(D1052)))</f>
        <v/>
      </c>
      <c r="J1052" s="67" t="str">
        <f aca="false">IF(TRIM(E1052)="","",UPPER(TRIM(E1052)))</f>
        <v/>
      </c>
    </row>
    <row r="1053" customFormat="false" ht="14.25" hidden="false" customHeight="true" outlineLevel="0" collapsed="false">
      <c r="C1053" s="17" t="str">
        <f aca="false">IF(TRIM(B1053)="","",IFERROR(INDEX('Code Aliases'!$B:$B,MATCH(TRIM(B1053),'Code Aliases'!$A:$A,0)),TRIM(B1053)))</f>
        <v/>
      </c>
      <c r="I1053" s="67" t="str">
        <f aca="false">IF(TRIM(D1053)="","",UPPER(TRIM(D1053)))</f>
        <v/>
      </c>
      <c r="J1053" s="67" t="str">
        <f aca="false">IF(TRIM(E1053)="","",UPPER(TRIM(E1053)))</f>
        <v/>
      </c>
    </row>
    <row r="1054" customFormat="false" ht="14.25" hidden="false" customHeight="true" outlineLevel="0" collapsed="false">
      <c r="C1054" s="17" t="str">
        <f aca="false">IF(TRIM(B1054)="","",IFERROR(INDEX('Code Aliases'!$B:$B,MATCH(TRIM(B1054),'Code Aliases'!$A:$A,0)),TRIM(B1054)))</f>
        <v/>
      </c>
      <c r="I1054" s="67" t="str">
        <f aca="false">IF(TRIM(D1054)="","",UPPER(TRIM(D1054)))</f>
        <v/>
      </c>
      <c r="J1054" s="67" t="str">
        <f aca="false">IF(TRIM(E1054)="","",UPPER(TRIM(E1054)))</f>
        <v/>
      </c>
    </row>
    <row r="1055" customFormat="false" ht="14.25" hidden="false" customHeight="true" outlineLevel="0" collapsed="false">
      <c r="C1055" s="17" t="str">
        <f aca="false">IF(TRIM(B1055)="","",IFERROR(INDEX('Code Aliases'!$B:$B,MATCH(TRIM(B1055),'Code Aliases'!$A:$A,0)),TRIM(B1055)))</f>
        <v/>
      </c>
      <c r="I1055" s="67" t="str">
        <f aca="false">IF(TRIM(D1055)="","",UPPER(TRIM(D1055)))</f>
        <v/>
      </c>
      <c r="J1055" s="67" t="str">
        <f aca="false">IF(TRIM(E1055)="","",UPPER(TRIM(E1055)))</f>
        <v/>
      </c>
    </row>
    <row r="1056" customFormat="false" ht="14.25" hidden="false" customHeight="true" outlineLevel="0" collapsed="false">
      <c r="C1056" s="17" t="str">
        <f aca="false">IF(TRIM(B1056)="","",IFERROR(INDEX('Code Aliases'!$B:$B,MATCH(TRIM(B1056),'Code Aliases'!$A:$A,0)),TRIM(B1056)))</f>
        <v/>
      </c>
      <c r="I1056" s="67" t="str">
        <f aca="false">IF(TRIM(D1056)="","",UPPER(TRIM(D1056)))</f>
        <v/>
      </c>
      <c r="J1056" s="67" t="str">
        <f aca="false">IF(TRIM(E1056)="","",UPPER(TRIM(E1056)))</f>
        <v/>
      </c>
    </row>
    <row r="1057" customFormat="false" ht="14.25" hidden="false" customHeight="true" outlineLevel="0" collapsed="false">
      <c r="C1057" s="17" t="str">
        <f aca="false">IF(TRIM(B1057)="","",IFERROR(INDEX('Code Aliases'!$B:$B,MATCH(TRIM(B1057),'Code Aliases'!$A:$A,0)),TRIM(B1057)))</f>
        <v/>
      </c>
      <c r="I1057" s="67" t="str">
        <f aca="false">IF(TRIM(D1057)="","",UPPER(TRIM(D1057)))</f>
        <v/>
      </c>
      <c r="J1057" s="67" t="str">
        <f aca="false">IF(TRIM(E1057)="","",UPPER(TRIM(E1057)))</f>
        <v/>
      </c>
    </row>
    <row r="1058" customFormat="false" ht="14.25" hidden="false" customHeight="true" outlineLevel="0" collapsed="false">
      <c r="C1058" s="17" t="str">
        <f aca="false">IF(TRIM(B1058)="","",IFERROR(INDEX('Code Aliases'!$B:$B,MATCH(TRIM(B1058),'Code Aliases'!$A:$A,0)),TRIM(B1058)))</f>
        <v/>
      </c>
      <c r="I1058" s="67" t="str">
        <f aca="false">IF(TRIM(D1058)="","",UPPER(TRIM(D1058)))</f>
        <v/>
      </c>
      <c r="J1058" s="67" t="str">
        <f aca="false">IF(TRIM(E1058)="","",UPPER(TRIM(E1058)))</f>
        <v/>
      </c>
    </row>
    <row r="1059" customFormat="false" ht="14.25" hidden="false" customHeight="true" outlineLevel="0" collapsed="false">
      <c r="C1059" s="17" t="str">
        <f aca="false">IF(TRIM(B1059)="","",IFERROR(INDEX('Code Aliases'!$B:$B,MATCH(TRIM(B1059),'Code Aliases'!$A:$A,0)),TRIM(B1059)))</f>
        <v/>
      </c>
      <c r="I1059" s="67" t="str">
        <f aca="false">IF(TRIM(D1059)="","",UPPER(TRIM(D1059)))</f>
        <v/>
      </c>
      <c r="J1059" s="67" t="str">
        <f aca="false">IF(TRIM(E1059)="","",UPPER(TRIM(E1059)))</f>
        <v/>
      </c>
    </row>
    <row r="1060" customFormat="false" ht="14.25" hidden="false" customHeight="true" outlineLevel="0" collapsed="false">
      <c r="C1060" s="17" t="str">
        <f aca="false">IF(TRIM(B1060)="","",IFERROR(INDEX('Code Aliases'!$B:$B,MATCH(TRIM(B1060),'Code Aliases'!$A:$A,0)),TRIM(B1060)))</f>
        <v/>
      </c>
      <c r="I1060" s="67" t="str">
        <f aca="false">IF(TRIM(D1060)="","",UPPER(TRIM(D1060)))</f>
        <v/>
      </c>
      <c r="J1060" s="67" t="str">
        <f aca="false">IF(TRIM(E1060)="","",UPPER(TRIM(E1060)))</f>
        <v/>
      </c>
    </row>
    <row r="1061" customFormat="false" ht="14.25" hidden="false" customHeight="true" outlineLevel="0" collapsed="false">
      <c r="C1061" s="17" t="str">
        <f aca="false">IF(TRIM(B1061)="","",IFERROR(INDEX('Code Aliases'!$B:$B,MATCH(TRIM(B1061),'Code Aliases'!$A:$A,0)),TRIM(B1061)))</f>
        <v/>
      </c>
      <c r="I1061" s="67" t="str">
        <f aca="false">IF(TRIM(D1061)="","",UPPER(TRIM(D1061)))</f>
        <v/>
      </c>
      <c r="J1061" s="67" t="str">
        <f aca="false">IF(TRIM(E1061)="","",UPPER(TRIM(E1061)))</f>
        <v/>
      </c>
    </row>
    <row r="1062" customFormat="false" ht="14.25" hidden="false" customHeight="true" outlineLevel="0" collapsed="false">
      <c r="C1062" s="17" t="str">
        <f aca="false">IF(TRIM(B1062)="","",IFERROR(INDEX('Code Aliases'!$B:$B,MATCH(TRIM(B1062),'Code Aliases'!$A:$A,0)),TRIM(B1062)))</f>
        <v/>
      </c>
      <c r="I1062" s="67" t="str">
        <f aca="false">IF(TRIM(D1062)="","",UPPER(TRIM(D1062)))</f>
        <v/>
      </c>
      <c r="J1062" s="67" t="str">
        <f aca="false">IF(TRIM(E1062)="","",UPPER(TRIM(E1062)))</f>
        <v/>
      </c>
    </row>
    <row r="1063" customFormat="false" ht="14.25" hidden="false" customHeight="true" outlineLevel="0" collapsed="false">
      <c r="C1063" s="17" t="str">
        <f aca="false">IF(TRIM(B1063)="","",IFERROR(INDEX('Code Aliases'!$B:$B,MATCH(TRIM(B1063),'Code Aliases'!$A:$A,0)),TRIM(B1063)))</f>
        <v/>
      </c>
      <c r="I1063" s="67" t="str">
        <f aca="false">IF(TRIM(D1063)="","",UPPER(TRIM(D1063)))</f>
        <v/>
      </c>
      <c r="J1063" s="67" t="str">
        <f aca="false">IF(TRIM(E1063)="","",UPPER(TRIM(E1063)))</f>
        <v/>
      </c>
    </row>
    <row r="1064" customFormat="false" ht="14.25" hidden="false" customHeight="true" outlineLevel="0" collapsed="false">
      <c r="C1064" s="17" t="str">
        <f aca="false">IF(TRIM(B1064)="","",IFERROR(INDEX('Code Aliases'!$B:$B,MATCH(TRIM(B1064),'Code Aliases'!$A:$A,0)),TRIM(B1064)))</f>
        <v/>
      </c>
      <c r="I1064" s="67" t="str">
        <f aca="false">IF(TRIM(D1064)="","",UPPER(TRIM(D1064)))</f>
        <v/>
      </c>
      <c r="J1064" s="67" t="str">
        <f aca="false">IF(TRIM(E1064)="","",UPPER(TRIM(E1064)))</f>
        <v/>
      </c>
    </row>
    <row r="1065" customFormat="false" ht="14.25" hidden="false" customHeight="true" outlineLevel="0" collapsed="false">
      <c r="C1065" s="17" t="str">
        <f aca="false">IF(TRIM(B1065)="","",IFERROR(INDEX('Code Aliases'!$B:$B,MATCH(TRIM(B1065),'Code Aliases'!$A:$A,0)),TRIM(B1065)))</f>
        <v/>
      </c>
      <c r="I1065" s="67" t="str">
        <f aca="false">IF(TRIM(D1065)="","",UPPER(TRIM(D1065)))</f>
        <v/>
      </c>
      <c r="J1065" s="67" t="str">
        <f aca="false">IF(TRIM(E1065)="","",UPPER(TRIM(E1065)))</f>
        <v/>
      </c>
    </row>
    <row r="1066" customFormat="false" ht="14.25" hidden="false" customHeight="true" outlineLevel="0" collapsed="false">
      <c r="C1066" s="17" t="str">
        <f aca="false">IF(TRIM(B1066)="","",IFERROR(INDEX('Code Aliases'!$B:$B,MATCH(TRIM(B1066),'Code Aliases'!$A:$A,0)),TRIM(B1066)))</f>
        <v/>
      </c>
      <c r="I1066" s="67" t="str">
        <f aca="false">IF(TRIM(D1066)="","",UPPER(TRIM(D1066)))</f>
        <v/>
      </c>
      <c r="J1066" s="67" t="str">
        <f aca="false">IF(TRIM(E1066)="","",UPPER(TRIM(E1066)))</f>
        <v/>
      </c>
    </row>
    <row r="1067" customFormat="false" ht="14.25" hidden="false" customHeight="true" outlineLevel="0" collapsed="false">
      <c r="C1067" s="17" t="str">
        <f aca="false">IF(TRIM(B1067)="","",IFERROR(INDEX('Code Aliases'!$B:$B,MATCH(TRIM(B1067),'Code Aliases'!$A:$A,0)),TRIM(B1067)))</f>
        <v/>
      </c>
      <c r="I1067" s="67" t="str">
        <f aca="false">IF(TRIM(D1067)="","",UPPER(TRIM(D1067)))</f>
        <v/>
      </c>
      <c r="J1067" s="67" t="str">
        <f aca="false">IF(TRIM(E1067)="","",UPPER(TRIM(E1067)))</f>
        <v/>
      </c>
    </row>
    <row r="1068" customFormat="false" ht="14.25" hidden="false" customHeight="true" outlineLevel="0" collapsed="false">
      <c r="C1068" s="17" t="str">
        <f aca="false">IF(TRIM(B1068)="","",IFERROR(INDEX('Code Aliases'!$B:$B,MATCH(TRIM(B1068),'Code Aliases'!$A:$A,0)),TRIM(B1068)))</f>
        <v/>
      </c>
      <c r="I1068" s="67" t="str">
        <f aca="false">IF(TRIM(D1068)="","",UPPER(TRIM(D1068)))</f>
        <v/>
      </c>
      <c r="J1068" s="67" t="str">
        <f aca="false">IF(TRIM(E1068)="","",UPPER(TRIM(E1068)))</f>
        <v/>
      </c>
    </row>
    <row r="1069" customFormat="false" ht="14.25" hidden="false" customHeight="true" outlineLevel="0" collapsed="false">
      <c r="C1069" s="17" t="str">
        <f aca="false">IF(TRIM(B1069)="","",IFERROR(INDEX('Code Aliases'!$B:$B,MATCH(TRIM(B1069),'Code Aliases'!$A:$A,0)),TRIM(B1069)))</f>
        <v/>
      </c>
      <c r="I1069" s="67" t="str">
        <f aca="false">IF(TRIM(D1069)="","",UPPER(TRIM(D1069)))</f>
        <v/>
      </c>
      <c r="J1069" s="67" t="str">
        <f aca="false">IF(TRIM(E1069)="","",UPPER(TRIM(E1069)))</f>
        <v/>
      </c>
    </row>
    <row r="1070" customFormat="false" ht="14.25" hidden="false" customHeight="true" outlineLevel="0" collapsed="false">
      <c r="C1070" s="17" t="str">
        <f aca="false">IF(TRIM(B1070)="","",IFERROR(INDEX('Code Aliases'!$B:$B,MATCH(TRIM(B1070),'Code Aliases'!$A:$A,0)),TRIM(B1070)))</f>
        <v/>
      </c>
      <c r="I1070" s="67" t="str">
        <f aca="false">IF(TRIM(D1070)="","",UPPER(TRIM(D1070)))</f>
        <v/>
      </c>
      <c r="J1070" s="67" t="str">
        <f aca="false">IF(TRIM(E1070)="","",UPPER(TRIM(E1070)))</f>
        <v/>
      </c>
    </row>
    <row r="1071" customFormat="false" ht="14.25" hidden="false" customHeight="true" outlineLevel="0" collapsed="false">
      <c r="C1071" s="17" t="str">
        <f aca="false">IF(TRIM(B1071)="","",IFERROR(INDEX('Code Aliases'!$B:$B,MATCH(TRIM(B1071),'Code Aliases'!$A:$A,0)),TRIM(B1071)))</f>
        <v/>
      </c>
      <c r="I1071" s="67" t="str">
        <f aca="false">IF(TRIM(D1071)="","",UPPER(TRIM(D1071)))</f>
        <v/>
      </c>
      <c r="J1071" s="67" t="str">
        <f aca="false">IF(TRIM(E1071)="","",UPPER(TRIM(E1071)))</f>
        <v/>
      </c>
    </row>
    <row r="1072" customFormat="false" ht="14.25" hidden="false" customHeight="true" outlineLevel="0" collapsed="false">
      <c r="C1072" s="17" t="str">
        <f aca="false">IF(TRIM(B1072)="","",IFERROR(INDEX('Code Aliases'!$B:$B,MATCH(TRIM(B1072),'Code Aliases'!$A:$A,0)),TRIM(B1072)))</f>
        <v/>
      </c>
      <c r="I1072" s="67" t="str">
        <f aca="false">IF(TRIM(D1072)="","",UPPER(TRIM(D1072)))</f>
        <v/>
      </c>
      <c r="J1072" s="67" t="str">
        <f aca="false">IF(TRIM(E1072)="","",UPPER(TRIM(E1072)))</f>
        <v/>
      </c>
    </row>
    <row r="1073" customFormat="false" ht="14.25" hidden="false" customHeight="true" outlineLevel="0" collapsed="false">
      <c r="C1073" s="17" t="str">
        <f aca="false">IF(TRIM(B1073)="","",IFERROR(INDEX('Code Aliases'!$B:$B,MATCH(TRIM(B1073),'Code Aliases'!$A:$A,0)),TRIM(B1073)))</f>
        <v/>
      </c>
      <c r="I1073" s="67" t="str">
        <f aca="false">IF(TRIM(D1073)="","",UPPER(TRIM(D1073)))</f>
        <v/>
      </c>
      <c r="J1073" s="67" t="str">
        <f aca="false">IF(TRIM(E1073)="","",UPPER(TRIM(E1073)))</f>
        <v/>
      </c>
    </row>
    <row r="1074" customFormat="false" ht="14.25" hidden="false" customHeight="true" outlineLevel="0" collapsed="false">
      <c r="C1074" s="17" t="str">
        <f aca="false">IF(TRIM(B1074)="","",IFERROR(INDEX('Code Aliases'!$B:$B,MATCH(TRIM(B1074),'Code Aliases'!$A:$A,0)),TRIM(B1074)))</f>
        <v/>
      </c>
      <c r="I1074" s="67" t="str">
        <f aca="false">IF(TRIM(D1074)="","",UPPER(TRIM(D1074)))</f>
        <v/>
      </c>
      <c r="J1074" s="67" t="str">
        <f aca="false">IF(TRIM(E1074)="","",UPPER(TRIM(E1074)))</f>
        <v/>
      </c>
    </row>
    <row r="1075" customFormat="false" ht="14.25" hidden="false" customHeight="true" outlineLevel="0" collapsed="false">
      <c r="C1075" s="17" t="str">
        <f aca="false">IF(TRIM(B1075)="","",IFERROR(INDEX('Code Aliases'!$B:$B,MATCH(TRIM(B1075),'Code Aliases'!$A:$A,0)),TRIM(B1075)))</f>
        <v/>
      </c>
      <c r="I1075" s="67" t="str">
        <f aca="false">IF(TRIM(D1075)="","",UPPER(TRIM(D1075)))</f>
        <v/>
      </c>
      <c r="J1075" s="67" t="str">
        <f aca="false">IF(TRIM(E1075)="","",UPPER(TRIM(E1075)))</f>
        <v/>
      </c>
    </row>
    <row r="1076" customFormat="false" ht="14.25" hidden="false" customHeight="true" outlineLevel="0" collapsed="false">
      <c r="C1076" s="17" t="str">
        <f aca="false">IF(TRIM(B1076)="","",IFERROR(INDEX('Code Aliases'!$B:$B,MATCH(TRIM(B1076),'Code Aliases'!$A:$A,0)),TRIM(B1076)))</f>
        <v/>
      </c>
      <c r="I1076" s="67" t="str">
        <f aca="false">IF(TRIM(D1076)="","",UPPER(TRIM(D1076)))</f>
        <v/>
      </c>
      <c r="J1076" s="67" t="str">
        <f aca="false">IF(TRIM(E1076)="","",UPPER(TRIM(E1076)))</f>
        <v/>
      </c>
    </row>
    <row r="1077" customFormat="false" ht="14.25" hidden="false" customHeight="true" outlineLevel="0" collapsed="false">
      <c r="C1077" s="17" t="str">
        <f aca="false">IF(TRIM(B1077)="","",IFERROR(INDEX('Code Aliases'!$B:$B,MATCH(TRIM(B1077),'Code Aliases'!$A:$A,0)),TRIM(B1077)))</f>
        <v/>
      </c>
      <c r="I1077" s="67" t="str">
        <f aca="false">IF(TRIM(D1077)="","",UPPER(TRIM(D1077)))</f>
        <v/>
      </c>
      <c r="J1077" s="67" t="str">
        <f aca="false">IF(TRIM(E1077)="","",UPPER(TRIM(E1077)))</f>
        <v/>
      </c>
    </row>
    <row r="1078" customFormat="false" ht="14.25" hidden="false" customHeight="true" outlineLevel="0" collapsed="false">
      <c r="C1078" s="17" t="str">
        <f aca="false">IF(TRIM(B1078)="","",IFERROR(INDEX('Code Aliases'!$B:$B,MATCH(TRIM(B1078),'Code Aliases'!$A:$A,0)),TRIM(B1078)))</f>
        <v/>
      </c>
      <c r="I1078" s="67" t="str">
        <f aca="false">IF(TRIM(D1078)="","",UPPER(TRIM(D1078)))</f>
        <v/>
      </c>
      <c r="J1078" s="67" t="str">
        <f aca="false">IF(TRIM(E1078)="","",UPPER(TRIM(E1078)))</f>
        <v/>
      </c>
    </row>
    <row r="1079" customFormat="false" ht="14.25" hidden="false" customHeight="true" outlineLevel="0" collapsed="false">
      <c r="C1079" s="17" t="str">
        <f aca="false">IF(TRIM(B1079)="","",IFERROR(INDEX('Code Aliases'!$B:$B,MATCH(TRIM(B1079),'Code Aliases'!$A:$A,0)),TRIM(B1079)))</f>
        <v/>
      </c>
      <c r="I1079" s="67" t="str">
        <f aca="false">IF(TRIM(D1079)="","",UPPER(TRIM(D1079)))</f>
        <v/>
      </c>
      <c r="J1079" s="67" t="str">
        <f aca="false">IF(TRIM(E1079)="","",UPPER(TRIM(E1079)))</f>
        <v/>
      </c>
    </row>
    <row r="1080" customFormat="false" ht="14.25" hidden="false" customHeight="true" outlineLevel="0" collapsed="false">
      <c r="C1080" s="17" t="str">
        <f aca="false">IF(TRIM(B1080)="","",IFERROR(INDEX('Code Aliases'!$B:$B,MATCH(TRIM(B1080),'Code Aliases'!$A:$A,0)),TRIM(B1080)))</f>
        <v/>
      </c>
      <c r="I1080" s="67" t="str">
        <f aca="false">IF(TRIM(D1080)="","",UPPER(TRIM(D1080)))</f>
        <v/>
      </c>
      <c r="J1080" s="67" t="str">
        <f aca="false">IF(TRIM(E1080)="","",UPPER(TRIM(E1080)))</f>
        <v/>
      </c>
    </row>
    <row r="1081" customFormat="false" ht="14.25" hidden="false" customHeight="true" outlineLevel="0" collapsed="false">
      <c r="C1081" s="17" t="str">
        <f aca="false">IF(TRIM(B1081)="","",IFERROR(INDEX('Code Aliases'!$B:$B,MATCH(TRIM(B1081),'Code Aliases'!$A:$A,0)),TRIM(B1081)))</f>
        <v/>
      </c>
      <c r="I1081" s="67" t="str">
        <f aca="false">IF(TRIM(D1081)="","",UPPER(TRIM(D1081)))</f>
        <v/>
      </c>
      <c r="J1081" s="67" t="str">
        <f aca="false">IF(TRIM(E1081)="","",UPPER(TRIM(E1081)))</f>
        <v/>
      </c>
    </row>
    <row r="1082" customFormat="false" ht="14.25" hidden="false" customHeight="true" outlineLevel="0" collapsed="false">
      <c r="C1082" s="17" t="str">
        <f aca="false">IF(TRIM(B1082)="","",IFERROR(INDEX('Code Aliases'!$B:$B,MATCH(TRIM(B1082),'Code Aliases'!$A:$A,0)),TRIM(B1082)))</f>
        <v/>
      </c>
      <c r="I1082" s="67" t="str">
        <f aca="false">IF(TRIM(D1082)="","",UPPER(TRIM(D1082)))</f>
        <v/>
      </c>
      <c r="J1082" s="67" t="str">
        <f aca="false">IF(TRIM(E1082)="","",UPPER(TRIM(E1082)))</f>
        <v/>
      </c>
    </row>
    <row r="1083" customFormat="false" ht="14.25" hidden="false" customHeight="true" outlineLevel="0" collapsed="false">
      <c r="C1083" s="17" t="str">
        <f aca="false">IF(TRIM(B1083)="","",IFERROR(INDEX('Code Aliases'!$B:$B,MATCH(TRIM(B1083),'Code Aliases'!$A:$A,0)),TRIM(B1083)))</f>
        <v/>
      </c>
      <c r="I1083" s="67" t="str">
        <f aca="false">IF(TRIM(D1083)="","",UPPER(TRIM(D1083)))</f>
        <v/>
      </c>
      <c r="J1083" s="67" t="str">
        <f aca="false">IF(TRIM(E1083)="","",UPPER(TRIM(E1083)))</f>
        <v/>
      </c>
    </row>
    <row r="1084" customFormat="false" ht="14.25" hidden="false" customHeight="true" outlineLevel="0" collapsed="false">
      <c r="C1084" s="17" t="str">
        <f aca="false">IF(TRIM(B1084)="","",IFERROR(INDEX('Code Aliases'!$B:$B,MATCH(TRIM(B1084),'Code Aliases'!$A:$A,0)),TRIM(B1084)))</f>
        <v/>
      </c>
      <c r="I1084" s="67" t="str">
        <f aca="false">IF(TRIM(D1084)="","",UPPER(TRIM(D1084)))</f>
        <v/>
      </c>
      <c r="J1084" s="67" t="str">
        <f aca="false">IF(TRIM(E1084)="","",UPPER(TRIM(E1084)))</f>
        <v/>
      </c>
    </row>
    <row r="1085" customFormat="false" ht="14.25" hidden="false" customHeight="true" outlineLevel="0" collapsed="false">
      <c r="C1085" s="17" t="str">
        <f aca="false">IF(TRIM(B1085)="","",IFERROR(INDEX('Code Aliases'!$B:$B,MATCH(TRIM(B1085),'Code Aliases'!$A:$A,0)),TRIM(B1085)))</f>
        <v/>
      </c>
      <c r="I1085" s="67" t="str">
        <f aca="false">IF(TRIM(D1085)="","",UPPER(TRIM(D1085)))</f>
        <v/>
      </c>
      <c r="J1085" s="67" t="str">
        <f aca="false">IF(TRIM(E1085)="","",UPPER(TRIM(E1085)))</f>
        <v/>
      </c>
    </row>
    <row r="1086" customFormat="false" ht="14.25" hidden="false" customHeight="true" outlineLevel="0" collapsed="false">
      <c r="C1086" s="17" t="str">
        <f aca="false">IF(TRIM(B1086)="","",IFERROR(INDEX('Code Aliases'!$B:$B,MATCH(TRIM(B1086),'Code Aliases'!$A:$A,0)),TRIM(B1086)))</f>
        <v/>
      </c>
      <c r="I1086" s="67" t="str">
        <f aca="false">IF(TRIM(D1086)="","",UPPER(TRIM(D1086)))</f>
        <v/>
      </c>
      <c r="J1086" s="67" t="str">
        <f aca="false">IF(TRIM(E1086)="","",UPPER(TRIM(E1086)))</f>
        <v/>
      </c>
    </row>
    <row r="1087" customFormat="false" ht="14.25" hidden="false" customHeight="true" outlineLevel="0" collapsed="false">
      <c r="C1087" s="17" t="str">
        <f aca="false">IF(TRIM(B1087)="","",IFERROR(INDEX('Code Aliases'!$B:$B,MATCH(TRIM(B1087),'Code Aliases'!$A:$A,0)),TRIM(B1087)))</f>
        <v/>
      </c>
      <c r="I1087" s="67" t="str">
        <f aca="false">IF(TRIM(D1087)="","",UPPER(TRIM(D1087)))</f>
        <v/>
      </c>
      <c r="J1087" s="67" t="str">
        <f aca="false">IF(TRIM(E1087)="","",UPPER(TRIM(E1087)))</f>
        <v/>
      </c>
    </row>
    <row r="1088" customFormat="false" ht="14.25" hidden="false" customHeight="true" outlineLevel="0" collapsed="false">
      <c r="C1088" s="17" t="str">
        <f aca="false">IF(TRIM(B1088)="","",IFERROR(INDEX('Code Aliases'!$B:$B,MATCH(TRIM(B1088),'Code Aliases'!$A:$A,0)),TRIM(B1088)))</f>
        <v/>
      </c>
      <c r="I1088" s="67" t="str">
        <f aca="false">IF(TRIM(D1088)="","",UPPER(TRIM(D1088)))</f>
        <v/>
      </c>
      <c r="J1088" s="67" t="str">
        <f aca="false">IF(TRIM(E1088)="","",UPPER(TRIM(E1088)))</f>
        <v/>
      </c>
    </row>
    <row r="1089" customFormat="false" ht="14.25" hidden="false" customHeight="true" outlineLevel="0" collapsed="false">
      <c r="C1089" s="17" t="str">
        <f aca="false">IF(TRIM(B1089)="","",IFERROR(INDEX('Code Aliases'!$B:$B,MATCH(TRIM(B1089),'Code Aliases'!$A:$A,0)),TRIM(B1089)))</f>
        <v/>
      </c>
      <c r="I1089" s="67" t="str">
        <f aca="false">IF(TRIM(D1089)="","",UPPER(TRIM(D1089)))</f>
        <v/>
      </c>
      <c r="J1089" s="67" t="str">
        <f aca="false">IF(TRIM(E1089)="","",UPPER(TRIM(E1089)))</f>
        <v/>
      </c>
    </row>
    <row r="1090" customFormat="false" ht="14.25" hidden="false" customHeight="true" outlineLevel="0" collapsed="false">
      <c r="C1090" s="17" t="str">
        <f aca="false">IF(TRIM(B1090)="","",IFERROR(INDEX('Code Aliases'!$B:$B,MATCH(TRIM(B1090),'Code Aliases'!$A:$A,0)),TRIM(B1090)))</f>
        <v/>
      </c>
      <c r="I1090" s="67" t="str">
        <f aca="false">IF(TRIM(D1090)="","",UPPER(TRIM(D1090)))</f>
        <v/>
      </c>
      <c r="J1090" s="67" t="str">
        <f aca="false">IF(TRIM(E1090)="","",UPPER(TRIM(E1090)))</f>
        <v/>
      </c>
    </row>
    <row r="1091" customFormat="false" ht="14.25" hidden="false" customHeight="true" outlineLevel="0" collapsed="false">
      <c r="C1091" s="17" t="str">
        <f aca="false">IF(TRIM(B1091)="","",IFERROR(INDEX('Code Aliases'!$B:$B,MATCH(TRIM(B1091),'Code Aliases'!$A:$A,0)),TRIM(B1091)))</f>
        <v/>
      </c>
      <c r="I1091" s="67" t="str">
        <f aca="false">IF(TRIM(D1091)="","",UPPER(TRIM(D1091)))</f>
        <v/>
      </c>
      <c r="J1091" s="67" t="str">
        <f aca="false">IF(TRIM(E1091)="","",UPPER(TRIM(E1091)))</f>
        <v/>
      </c>
    </row>
    <row r="1092" customFormat="false" ht="14.25" hidden="false" customHeight="true" outlineLevel="0" collapsed="false">
      <c r="C1092" s="17" t="str">
        <f aca="false">IF(TRIM(B1092)="","",IFERROR(INDEX('Code Aliases'!$B:$B,MATCH(TRIM(B1092),'Code Aliases'!$A:$A,0)),TRIM(B1092)))</f>
        <v/>
      </c>
      <c r="I1092" s="67" t="str">
        <f aca="false">IF(TRIM(D1092)="","",UPPER(TRIM(D1092)))</f>
        <v/>
      </c>
      <c r="J1092" s="67" t="str">
        <f aca="false">IF(TRIM(E1092)="","",UPPER(TRIM(E1092)))</f>
        <v/>
      </c>
    </row>
    <row r="1093" customFormat="false" ht="14.25" hidden="false" customHeight="true" outlineLevel="0" collapsed="false">
      <c r="C1093" s="17" t="str">
        <f aca="false">IF(TRIM(B1093)="","",IFERROR(INDEX('Code Aliases'!$B:$B,MATCH(TRIM(B1093),'Code Aliases'!$A:$A,0)),TRIM(B1093)))</f>
        <v/>
      </c>
      <c r="I1093" s="67" t="str">
        <f aca="false">IF(TRIM(D1093)="","",UPPER(TRIM(D1093)))</f>
        <v/>
      </c>
      <c r="J1093" s="67" t="str">
        <f aca="false">IF(TRIM(E1093)="","",UPPER(TRIM(E1093)))</f>
        <v/>
      </c>
    </row>
    <row r="1094" customFormat="false" ht="14.25" hidden="false" customHeight="true" outlineLevel="0" collapsed="false">
      <c r="C1094" s="17" t="str">
        <f aca="false">IF(TRIM(B1094)="","",IFERROR(INDEX('Code Aliases'!$B:$B,MATCH(TRIM(B1094),'Code Aliases'!$A:$A,0)),TRIM(B1094)))</f>
        <v/>
      </c>
      <c r="I1094" s="67" t="str">
        <f aca="false">IF(TRIM(D1094)="","",UPPER(TRIM(D1094)))</f>
        <v/>
      </c>
      <c r="J1094" s="67" t="str">
        <f aca="false">IF(TRIM(E1094)="","",UPPER(TRIM(E1094)))</f>
        <v/>
      </c>
    </row>
    <row r="1095" customFormat="false" ht="14.25" hidden="false" customHeight="true" outlineLevel="0" collapsed="false">
      <c r="C1095" s="17" t="str">
        <f aca="false">IF(TRIM(B1095)="","",IFERROR(INDEX('Code Aliases'!$B:$B,MATCH(TRIM(B1095),'Code Aliases'!$A:$A,0)),TRIM(B1095)))</f>
        <v/>
      </c>
      <c r="I1095" s="67" t="str">
        <f aca="false">IF(TRIM(D1095)="","",UPPER(TRIM(D1095)))</f>
        <v/>
      </c>
      <c r="J1095" s="67" t="str">
        <f aca="false">IF(TRIM(E1095)="","",UPPER(TRIM(E1095)))</f>
        <v/>
      </c>
    </row>
    <row r="1096" customFormat="false" ht="14.25" hidden="false" customHeight="true" outlineLevel="0" collapsed="false">
      <c r="C1096" s="17" t="str">
        <f aca="false">IF(TRIM(B1096)="","",IFERROR(INDEX('Code Aliases'!$B:$B,MATCH(TRIM(B1096),'Code Aliases'!$A:$A,0)),TRIM(B1096)))</f>
        <v/>
      </c>
      <c r="I1096" s="67" t="str">
        <f aca="false">IF(TRIM(D1096)="","",UPPER(TRIM(D1096)))</f>
        <v/>
      </c>
      <c r="J1096" s="67" t="str">
        <f aca="false">IF(TRIM(E1096)="","",UPPER(TRIM(E1096)))</f>
        <v/>
      </c>
    </row>
    <row r="1097" customFormat="false" ht="14.25" hidden="false" customHeight="true" outlineLevel="0" collapsed="false">
      <c r="C1097" s="17" t="str">
        <f aca="false">IF(TRIM(B1097)="","",IFERROR(INDEX('Code Aliases'!$B:$B,MATCH(TRIM(B1097),'Code Aliases'!$A:$A,0)),TRIM(B1097)))</f>
        <v/>
      </c>
      <c r="I1097" s="67" t="str">
        <f aca="false">IF(TRIM(D1097)="","",UPPER(TRIM(D1097)))</f>
        <v/>
      </c>
      <c r="J1097" s="67" t="str">
        <f aca="false">IF(TRIM(E1097)="","",UPPER(TRIM(E1097)))</f>
        <v/>
      </c>
    </row>
    <row r="1098" customFormat="false" ht="14.25" hidden="false" customHeight="true" outlineLevel="0" collapsed="false">
      <c r="C1098" s="17" t="str">
        <f aca="false">IF(TRIM(B1098)="","",IFERROR(INDEX('Code Aliases'!$B:$B,MATCH(TRIM(B1098),'Code Aliases'!$A:$A,0)),TRIM(B1098)))</f>
        <v/>
      </c>
      <c r="I1098" s="67" t="str">
        <f aca="false">IF(TRIM(D1098)="","",UPPER(TRIM(D1098)))</f>
        <v/>
      </c>
      <c r="J1098" s="67" t="str">
        <f aca="false">IF(TRIM(E1098)="","",UPPER(TRIM(E1098)))</f>
        <v/>
      </c>
    </row>
    <row r="1099" customFormat="false" ht="14.25" hidden="false" customHeight="true" outlineLevel="0" collapsed="false">
      <c r="C1099" s="17" t="str">
        <f aca="false">IF(TRIM(B1099)="","",IFERROR(INDEX('Code Aliases'!$B:$B,MATCH(TRIM(B1099),'Code Aliases'!$A:$A,0)),TRIM(B1099)))</f>
        <v/>
      </c>
      <c r="I1099" s="67" t="str">
        <f aca="false">IF(TRIM(D1099)="","",UPPER(TRIM(D1099)))</f>
        <v/>
      </c>
      <c r="J1099" s="67" t="str">
        <f aca="false">IF(TRIM(E1099)="","",UPPER(TRIM(E1099)))</f>
        <v/>
      </c>
    </row>
    <row r="1100" customFormat="false" ht="14.25" hidden="false" customHeight="true" outlineLevel="0" collapsed="false">
      <c r="C1100" s="17" t="str">
        <f aca="false">IF(TRIM(B1100)="","",IFERROR(INDEX('Code Aliases'!$B:$B,MATCH(TRIM(B1100),'Code Aliases'!$A:$A,0)),TRIM(B1100)))</f>
        <v/>
      </c>
      <c r="I1100" s="67" t="str">
        <f aca="false">IF(TRIM(D1100)="","",UPPER(TRIM(D1100)))</f>
        <v/>
      </c>
      <c r="J1100" s="67" t="str">
        <f aca="false">IF(TRIM(E1100)="","",UPPER(TRIM(E1100)))</f>
        <v/>
      </c>
    </row>
    <row r="1101" customFormat="false" ht="14.25" hidden="false" customHeight="true" outlineLevel="0" collapsed="false">
      <c r="C1101" s="17" t="str">
        <f aca="false">IF(TRIM(B1101)="","",IFERROR(INDEX('Code Aliases'!$B:$B,MATCH(TRIM(B1101),'Code Aliases'!$A:$A,0)),TRIM(B1101)))</f>
        <v/>
      </c>
      <c r="I1101" s="67" t="str">
        <f aca="false">IF(TRIM(D1101)="","",UPPER(TRIM(D1101)))</f>
        <v/>
      </c>
      <c r="J1101" s="67" t="str">
        <f aca="false">IF(TRIM(E1101)="","",UPPER(TRIM(E1101)))</f>
        <v/>
      </c>
    </row>
    <row r="1102" customFormat="false" ht="14.25" hidden="false" customHeight="true" outlineLevel="0" collapsed="false">
      <c r="C1102" s="17" t="str">
        <f aca="false">IF(TRIM(B1102)="","",IFERROR(INDEX('Code Aliases'!$B:$B,MATCH(TRIM(B1102),'Code Aliases'!$A:$A,0)),TRIM(B1102)))</f>
        <v/>
      </c>
      <c r="I1102" s="67" t="str">
        <f aca="false">IF(TRIM(D1102)="","",UPPER(TRIM(D1102)))</f>
        <v/>
      </c>
      <c r="J1102" s="67" t="str">
        <f aca="false">IF(TRIM(E1102)="","",UPPER(TRIM(E1102)))</f>
        <v/>
      </c>
    </row>
    <row r="1103" customFormat="false" ht="14.25" hidden="false" customHeight="true" outlineLevel="0" collapsed="false">
      <c r="C1103" s="17" t="str">
        <f aca="false">IF(TRIM(B1103)="","",IFERROR(INDEX('Code Aliases'!$B:$B,MATCH(TRIM(B1103),'Code Aliases'!$A:$A,0)),TRIM(B1103)))</f>
        <v/>
      </c>
      <c r="I1103" s="67" t="str">
        <f aca="false">IF(TRIM(D1103)="","",UPPER(TRIM(D1103)))</f>
        <v/>
      </c>
      <c r="J1103" s="67" t="str">
        <f aca="false">IF(TRIM(E1103)="","",UPPER(TRIM(E1103)))</f>
        <v/>
      </c>
    </row>
    <row r="1104" customFormat="false" ht="14.25" hidden="false" customHeight="true" outlineLevel="0" collapsed="false">
      <c r="C1104" s="17" t="str">
        <f aca="false">IF(TRIM(B1104)="","",IFERROR(INDEX('Code Aliases'!$B:$B,MATCH(TRIM(B1104),'Code Aliases'!$A:$A,0)),TRIM(B1104)))</f>
        <v/>
      </c>
      <c r="I1104" s="67" t="str">
        <f aca="false">IF(TRIM(D1104)="","",UPPER(TRIM(D1104)))</f>
        <v/>
      </c>
      <c r="J1104" s="67" t="str">
        <f aca="false">IF(TRIM(E1104)="","",UPPER(TRIM(E1104)))</f>
        <v/>
      </c>
    </row>
    <row r="1105" customFormat="false" ht="14.25" hidden="false" customHeight="true" outlineLevel="0" collapsed="false">
      <c r="C1105" s="17" t="str">
        <f aca="false">IF(TRIM(B1105)="","",IFERROR(INDEX('Code Aliases'!$B:$B,MATCH(TRIM(B1105),'Code Aliases'!$A:$A,0)),TRIM(B1105)))</f>
        <v/>
      </c>
      <c r="I1105" s="67" t="str">
        <f aca="false">IF(TRIM(D1105)="","",UPPER(TRIM(D1105)))</f>
        <v/>
      </c>
      <c r="J1105" s="67" t="str">
        <f aca="false">IF(TRIM(E1105)="","",UPPER(TRIM(E1105)))</f>
        <v/>
      </c>
    </row>
    <row r="1106" customFormat="false" ht="14.25" hidden="false" customHeight="true" outlineLevel="0" collapsed="false">
      <c r="C1106" s="17" t="str">
        <f aca="false">IF(TRIM(B1106)="","",IFERROR(INDEX('Code Aliases'!$B:$B,MATCH(TRIM(B1106),'Code Aliases'!$A:$A,0)),TRIM(B1106)))</f>
        <v/>
      </c>
      <c r="I1106" s="67" t="str">
        <f aca="false">IF(TRIM(D1106)="","",UPPER(TRIM(D1106)))</f>
        <v/>
      </c>
      <c r="J1106" s="67" t="str">
        <f aca="false">IF(TRIM(E1106)="","",UPPER(TRIM(E1106)))</f>
        <v/>
      </c>
    </row>
    <row r="1107" customFormat="false" ht="14.25" hidden="false" customHeight="true" outlineLevel="0" collapsed="false">
      <c r="C1107" s="17" t="str">
        <f aca="false">IF(TRIM(B1107)="","",IFERROR(INDEX('Code Aliases'!$B:$B,MATCH(TRIM(B1107),'Code Aliases'!$A:$A,0)),TRIM(B1107)))</f>
        <v/>
      </c>
      <c r="I1107" s="67" t="str">
        <f aca="false">IF(TRIM(D1107)="","",UPPER(TRIM(D1107)))</f>
        <v/>
      </c>
      <c r="J1107" s="67" t="str">
        <f aca="false">IF(TRIM(E1107)="","",UPPER(TRIM(E1107)))</f>
        <v/>
      </c>
    </row>
    <row r="1108" customFormat="false" ht="14.25" hidden="false" customHeight="true" outlineLevel="0" collapsed="false">
      <c r="C1108" s="17" t="str">
        <f aca="false">IF(TRIM(B1108)="","",IFERROR(INDEX('Code Aliases'!$B:$B,MATCH(TRIM(B1108),'Code Aliases'!$A:$A,0)),TRIM(B1108)))</f>
        <v/>
      </c>
      <c r="I1108" s="67" t="str">
        <f aca="false">IF(TRIM(D1108)="","",UPPER(TRIM(D1108)))</f>
        <v/>
      </c>
      <c r="J1108" s="67" t="str">
        <f aca="false">IF(TRIM(E1108)="","",UPPER(TRIM(E1108)))</f>
        <v/>
      </c>
    </row>
    <row r="1109" customFormat="false" ht="14.25" hidden="false" customHeight="true" outlineLevel="0" collapsed="false">
      <c r="C1109" s="17" t="str">
        <f aca="false">IF(TRIM(B1109)="","",IFERROR(INDEX('Code Aliases'!$B:$B,MATCH(TRIM(B1109),'Code Aliases'!$A:$A,0)),TRIM(B1109)))</f>
        <v/>
      </c>
      <c r="I1109" s="67" t="str">
        <f aca="false">IF(TRIM(D1109)="","",UPPER(TRIM(D1109)))</f>
        <v/>
      </c>
      <c r="J1109" s="67" t="str">
        <f aca="false">IF(TRIM(E1109)="","",UPPER(TRIM(E1109)))</f>
        <v/>
      </c>
    </row>
    <row r="1110" customFormat="false" ht="14.25" hidden="false" customHeight="true" outlineLevel="0" collapsed="false">
      <c r="C1110" s="17" t="str">
        <f aca="false">IF(TRIM(B1110)="","",IFERROR(INDEX('Code Aliases'!$B:$B,MATCH(TRIM(B1110),'Code Aliases'!$A:$A,0)),TRIM(B1110)))</f>
        <v/>
      </c>
      <c r="I1110" s="67" t="str">
        <f aca="false">IF(TRIM(D1110)="","",UPPER(TRIM(D1110)))</f>
        <v/>
      </c>
      <c r="J1110" s="67" t="str">
        <f aca="false">IF(TRIM(E1110)="","",UPPER(TRIM(E1110)))</f>
        <v/>
      </c>
    </row>
    <row r="1111" customFormat="false" ht="14.25" hidden="false" customHeight="true" outlineLevel="0" collapsed="false">
      <c r="C1111" s="17" t="str">
        <f aca="false">IF(TRIM(B1111)="","",IFERROR(INDEX('Code Aliases'!$B:$B,MATCH(TRIM(B1111),'Code Aliases'!$A:$A,0)),TRIM(B1111)))</f>
        <v/>
      </c>
      <c r="I1111" s="67" t="str">
        <f aca="false">IF(TRIM(D1111)="","",UPPER(TRIM(D1111)))</f>
        <v/>
      </c>
      <c r="J1111" s="67" t="str">
        <f aca="false">IF(TRIM(E1111)="","",UPPER(TRIM(E1111)))</f>
        <v/>
      </c>
    </row>
    <row r="1112" customFormat="false" ht="14.25" hidden="false" customHeight="true" outlineLevel="0" collapsed="false">
      <c r="C1112" s="17" t="str">
        <f aca="false">IF(TRIM(B1112)="","",IFERROR(INDEX('Code Aliases'!$B:$B,MATCH(TRIM(B1112),'Code Aliases'!$A:$A,0)),TRIM(B1112)))</f>
        <v/>
      </c>
      <c r="I1112" s="67" t="str">
        <f aca="false">IF(TRIM(D1112)="","",UPPER(TRIM(D1112)))</f>
        <v/>
      </c>
      <c r="J1112" s="67" t="str">
        <f aca="false">IF(TRIM(E1112)="","",UPPER(TRIM(E1112)))</f>
        <v/>
      </c>
    </row>
    <row r="1113" customFormat="false" ht="14.25" hidden="false" customHeight="true" outlineLevel="0" collapsed="false">
      <c r="C1113" s="17" t="str">
        <f aca="false">IF(TRIM(B1113)="","",IFERROR(INDEX('Code Aliases'!$B:$B,MATCH(TRIM(B1113),'Code Aliases'!$A:$A,0)),TRIM(B1113)))</f>
        <v/>
      </c>
      <c r="I1113" s="67" t="str">
        <f aca="false">IF(TRIM(D1113)="","",UPPER(TRIM(D1113)))</f>
        <v/>
      </c>
      <c r="J1113" s="67" t="str">
        <f aca="false">IF(TRIM(E1113)="","",UPPER(TRIM(E1113)))</f>
        <v/>
      </c>
    </row>
    <row r="1114" customFormat="false" ht="14.25" hidden="false" customHeight="true" outlineLevel="0" collapsed="false">
      <c r="C1114" s="17" t="str">
        <f aca="false">IF(TRIM(B1114)="","",IFERROR(INDEX('Code Aliases'!$B:$B,MATCH(TRIM(B1114),'Code Aliases'!$A:$A,0)),TRIM(B1114)))</f>
        <v/>
      </c>
      <c r="I1114" s="67" t="str">
        <f aca="false">IF(TRIM(D1114)="","",UPPER(TRIM(D1114)))</f>
        <v/>
      </c>
      <c r="J1114" s="67" t="str">
        <f aca="false">IF(TRIM(E1114)="","",UPPER(TRIM(E1114)))</f>
        <v/>
      </c>
    </row>
    <row r="1115" customFormat="false" ht="14.25" hidden="false" customHeight="true" outlineLevel="0" collapsed="false">
      <c r="C1115" s="17" t="str">
        <f aca="false">IF(TRIM(B1115)="","",IFERROR(INDEX('Code Aliases'!$B:$B,MATCH(TRIM(B1115),'Code Aliases'!$A:$A,0)),TRIM(B1115)))</f>
        <v/>
      </c>
      <c r="I1115" s="67" t="str">
        <f aca="false">IF(TRIM(D1115)="","",UPPER(TRIM(D1115)))</f>
        <v/>
      </c>
      <c r="J1115" s="67" t="str">
        <f aca="false">IF(TRIM(E1115)="","",UPPER(TRIM(E1115)))</f>
        <v/>
      </c>
    </row>
    <row r="1116" customFormat="false" ht="14.25" hidden="false" customHeight="true" outlineLevel="0" collapsed="false">
      <c r="C1116" s="17" t="str">
        <f aca="false">IF(TRIM(B1116)="","",IFERROR(INDEX('Code Aliases'!$B:$B,MATCH(TRIM(B1116),'Code Aliases'!$A:$A,0)),TRIM(B1116)))</f>
        <v/>
      </c>
      <c r="I1116" s="67" t="str">
        <f aca="false">IF(TRIM(D1116)="","",UPPER(TRIM(D1116)))</f>
        <v/>
      </c>
      <c r="J1116" s="67" t="str">
        <f aca="false">IF(TRIM(E1116)="","",UPPER(TRIM(E1116)))</f>
        <v/>
      </c>
    </row>
    <row r="1117" customFormat="false" ht="14.25" hidden="false" customHeight="true" outlineLevel="0" collapsed="false">
      <c r="C1117" s="17" t="str">
        <f aca="false">IF(TRIM(B1117)="","",IFERROR(INDEX('Code Aliases'!$B:$B,MATCH(TRIM(B1117),'Code Aliases'!$A:$A,0)),TRIM(B1117)))</f>
        <v/>
      </c>
      <c r="I1117" s="67" t="str">
        <f aca="false">IF(TRIM(D1117)="","",UPPER(TRIM(D1117)))</f>
        <v/>
      </c>
      <c r="J1117" s="67" t="str">
        <f aca="false">IF(TRIM(E1117)="","",UPPER(TRIM(E1117)))</f>
        <v/>
      </c>
    </row>
    <row r="1118" customFormat="false" ht="14.25" hidden="false" customHeight="true" outlineLevel="0" collapsed="false">
      <c r="C1118" s="17" t="str">
        <f aca="false">IF(TRIM(B1118)="","",IFERROR(INDEX('Code Aliases'!$B:$B,MATCH(TRIM(B1118),'Code Aliases'!$A:$A,0)),TRIM(B1118)))</f>
        <v/>
      </c>
      <c r="I1118" s="67" t="str">
        <f aca="false">IF(TRIM(D1118)="","",UPPER(TRIM(D1118)))</f>
        <v/>
      </c>
      <c r="J1118" s="67" t="str">
        <f aca="false">IF(TRIM(E1118)="","",UPPER(TRIM(E1118)))</f>
        <v/>
      </c>
    </row>
    <row r="1119" customFormat="false" ht="14.25" hidden="false" customHeight="true" outlineLevel="0" collapsed="false">
      <c r="C1119" s="17" t="str">
        <f aca="false">IF(TRIM(B1119)="","",IFERROR(INDEX('Code Aliases'!$B:$B,MATCH(TRIM(B1119),'Code Aliases'!$A:$A,0)),TRIM(B1119)))</f>
        <v/>
      </c>
      <c r="I1119" s="67" t="str">
        <f aca="false">IF(TRIM(D1119)="","",UPPER(TRIM(D1119)))</f>
        <v/>
      </c>
      <c r="J1119" s="67" t="str">
        <f aca="false">IF(TRIM(E1119)="","",UPPER(TRIM(E1119)))</f>
        <v/>
      </c>
    </row>
    <row r="1120" customFormat="false" ht="14.25" hidden="false" customHeight="true" outlineLevel="0" collapsed="false">
      <c r="C1120" s="17" t="str">
        <f aca="false">IF(TRIM(B1120)="","",IFERROR(INDEX('Code Aliases'!$B:$B,MATCH(TRIM(B1120),'Code Aliases'!$A:$A,0)),TRIM(B1120)))</f>
        <v/>
      </c>
      <c r="I1120" s="67" t="str">
        <f aca="false">IF(TRIM(D1120)="","",UPPER(TRIM(D1120)))</f>
        <v/>
      </c>
      <c r="J1120" s="67" t="str">
        <f aca="false">IF(TRIM(E1120)="","",UPPER(TRIM(E1120)))</f>
        <v/>
      </c>
    </row>
    <row r="1121" customFormat="false" ht="14.25" hidden="false" customHeight="true" outlineLevel="0" collapsed="false">
      <c r="C1121" s="17" t="str">
        <f aca="false">IF(TRIM(B1121)="","",IFERROR(INDEX('Code Aliases'!$B:$B,MATCH(TRIM(B1121),'Code Aliases'!$A:$A,0)),TRIM(B1121)))</f>
        <v/>
      </c>
      <c r="I1121" s="67" t="str">
        <f aca="false">IF(TRIM(D1121)="","",UPPER(TRIM(D1121)))</f>
        <v/>
      </c>
      <c r="J1121" s="67" t="str">
        <f aca="false">IF(TRIM(E1121)="","",UPPER(TRIM(E1121)))</f>
        <v/>
      </c>
    </row>
    <row r="1122" customFormat="false" ht="14.25" hidden="false" customHeight="true" outlineLevel="0" collapsed="false">
      <c r="C1122" s="17" t="str">
        <f aca="false">IF(TRIM(B1122)="","",IFERROR(INDEX('Code Aliases'!$B:$B,MATCH(TRIM(B1122),'Code Aliases'!$A:$A,0)),TRIM(B1122)))</f>
        <v/>
      </c>
      <c r="I1122" s="67" t="str">
        <f aca="false">IF(TRIM(D1122)="","",UPPER(TRIM(D1122)))</f>
        <v/>
      </c>
      <c r="J1122" s="67" t="str">
        <f aca="false">IF(TRIM(E1122)="","",UPPER(TRIM(E1122)))</f>
        <v/>
      </c>
    </row>
    <row r="1123" customFormat="false" ht="14.25" hidden="false" customHeight="true" outlineLevel="0" collapsed="false">
      <c r="C1123" s="17" t="str">
        <f aca="false">IF(TRIM(B1123)="","",IFERROR(INDEX('Code Aliases'!$B:$B,MATCH(TRIM(B1123),'Code Aliases'!$A:$A,0)),TRIM(B1123)))</f>
        <v/>
      </c>
      <c r="I1123" s="67" t="str">
        <f aca="false">IF(TRIM(D1123)="","",UPPER(TRIM(D1123)))</f>
        <v/>
      </c>
      <c r="J1123" s="67" t="str">
        <f aca="false">IF(TRIM(E1123)="","",UPPER(TRIM(E1123)))</f>
        <v/>
      </c>
    </row>
    <row r="1124" customFormat="false" ht="14.25" hidden="false" customHeight="true" outlineLevel="0" collapsed="false">
      <c r="C1124" s="17" t="str">
        <f aca="false">IF(TRIM(B1124)="","",IFERROR(INDEX('Code Aliases'!$B:$B,MATCH(TRIM(B1124),'Code Aliases'!$A:$A,0)),TRIM(B1124)))</f>
        <v/>
      </c>
      <c r="I1124" s="67" t="str">
        <f aca="false">IF(TRIM(D1124)="","",UPPER(TRIM(D1124)))</f>
        <v/>
      </c>
      <c r="J1124" s="67" t="str">
        <f aca="false">IF(TRIM(E1124)="","",UPPER(TRIM(E1124)))</f>
        <v/>
      </c>
    </row>
    <row r="1125" customFormat="false" ht="14.25" hidden="false" customHeight="true" outlineLevel="0" collapsed="false">
      <c r="C1125" s="17" t="str">
        <f aca="false">IF(TRIM(B1125)="","",IFERROR(INDEX('Code Aliases'!$B:$B,MATCH(TRIM(B1125),'Code Aliases'!$A:$A,0)),TRIM(B1125)))</f>
        <v/>
      </c>
      <c r="I1125" s="67" t="str">
        <f aca="false">IF(TRIM(D1125)="","",UPPER(TRIM(D1125)))</f>
        <v/>
      </c>
      <c r="J1125" s="67" t="str">
        <f aca="false">IF(TRIM(E1125)="","",UPPER(TRIM(E1125)))</f>
        <v/>
      </c>
    </row>
    <row r="1126" customFormat="false" ht="14.25" hidden="false" customHeight="true" outlineLevel="0" collapsed="false">
      <c r="C1126" s="17" t="str">
        <f aca="false">IF(TRIM(B1126)="","",IFERROR(INDEX('Code Aliases'!$B:$B,MATCH(TRIM(B1126),'Code Aliases'!$A:$A,0)),TRIM(B1126)))</f>
        <v/>
      </c>
      <c r="I1126" s="67" t="str">
        <f aca="false">IF(TRIM(D1126)="","",UPPER(TRIM(D1126)))</f>
        <v/>
      </c>
      <c r="J1126" s="67" t="str">
        <f aca="false">IF(TRIM(E1126)="","",UPPER(TRIM(E1126)))</f>
        <v/>
      </c>
    </row>
    <row r="1127" customFormat="false" ht="14.25" hidden="false" customHeight="true" outlineLevel="0" collapsed="false">
      <c r="C1127" s="17" t="str">
        <f aca="false">IF(TRIM(B1127)="","",IFERROR(INDEX('Code Aliases'!$B:$B,MATCH(TRIM(B1127),'Code Aliases'!$A:$A,0)),TRIM(B1127)))</f>
        <v/>
      </c>
      <c r="I1127" s="67" t="str">
        <f aca="false">IF(TRIM(D1127)="","",UPPER(TRIM(D1127)))</f>
        <v/>
      </c>
      <c r="J1127" s="67" t="str">
        <f aca="false">IF(TRIM(E1127)="","",UPPER(TRIM(E1127)))</f>
        <v/>
      </c>
    </row>
    <row r="1128" customFormat="false" ht="14.25" hidden="false" customHeight="true" outlineLevel="0" collapsed="false">
      <c r="C1128" s="17" t="str">
        <f aca="false">IF(TRIM(B1128)="","",IFERROR(INDEX('Code Aliases'!$B:$B,MATCH(TRIM(B1128),'Code Aliases'!$A:$A,0)),TRIM(B1128)))</f>
        <v/>
      </c>
      <c r="I1128" s="67" t="str">
        <f aca="false">IF(TRIM(D1128)="","",UPPER(TRIM(D1128)))</f>
        <v/>
      </c>
      <c r="J1128" s="67" t="str">
        <f aca="false">IF(TRIM(E1128)="","",UPPER(TRIM(E1128)))</f>
        <v/>
      </c>
    </row>
    <row r="1129" customFormat="false" ht="14.25" hidden="false" customHeight="true" outlineLevel="0" collapsed="false">
      <c r="C1129" s="17" t="str">
        <f aca="false">IF(TRIM(B1129)="","",IFERROR(INDEX('Code Aliases'!$B:$B,MATCH(TRIM(B1129),'Code Aliases'!$A:$A,0)),TRIM(B1129)))</f>
        <v/>
      </c>
      <c r="I1129" s="67" t="str">
        <f aca="false">IF(TRIM(D1129)="","",UPPER(TRIM(D1129)))</f>
        <v/>
      </c>
      <c r="J1129" s="67" t="str">
        <f aca="false">IF(TRIM(E1129)="","",UPPER(TRIM(E1129)))</f>
        <v/>
      </c>
    </row>
    <row r="1130" customFormat="false" ht="14.25" hidden="false" customHeight="true" outlineLevel="0" collapsed="false">
      <c r="C1130" s="17" t="str">
        <f aca="false">IF(TRIM(B1130)="","",IFERROR(INDEX('Code Aliases'!$B:$B,MATCH(TRIM(B1130),'Code Aliases'!$A:$A,0)),TRIM(B1130)))</f>
        <v/>
      </c>
      <c r="I1130" s="67" t="str">
        <f aca="false">IF(TRIM(D1130)="","",UPPER(TRIM(D1130)))</f>
        <v/>
      </c>
      <c r="J1130" s="67" t="str">
        <f aca="false">IF(TRIM(E1130)="","",UPPER(TRIM(E1130)))</f>
        <v/>
      </c>
    </row>
    <row r="1131" customFormat="false" ht="14.25" hidden="false" customHeight="true" outlineLevel="0" collapsed="false">
      <c r="C1131" s="17" t="str">
        <f aca="false">IF(TRIM(B1131)="","",IFERROR(INDEX('Code Aliases'!$B:$B,MATCH(TRIM(B1131),'Code Aliases'!$A:$A,0)),TRIM(B1131)))</f>
        <v/>
      </c>
      <c r="I1131" s="67" t="str">
        <f aca="false">IF(TRIM(D1131)="","",UPPER(TRIM(D1131)))</f>
        <v/>
      </c>
      <c r="J1131" s="67" t="str">
        <f aca="false">IF(TRIM(E1131)="","",UPPER(TRIM(E1131)))</f>
        <v/>
      </c>
    </row>
    <row r="1132" customFormat="false" ht="14.25" hidden="false" customHeight="true" outlineLevel="0" collapsed="false">
      <c r="C1132" s="17" t="str">
        <f aca="false">IF(TRIM(B1132)="","",IFERROR(INDEX('Code Aliases'!$B:$B,MATCH(TRIM(B1132),'Code Aliases'!$A:$A,0)),TRIM(B1132)))</f>
        <v/>
      </c>
      <c r="I1132" s="67" t="str">
        <f aca="false">IF(TRIM(D1132)="","",UPPER(TRIM(D1132)))</f>
        <v/>
      </c>
      <c r="J1132" s="67" t="str">
        <f aca="false">IF(TRIM(E1132)="","",UPPER(TRIM(E1132)))</f>
        <v/>
      </c>
    </row>
    <row r="1133" customFormat="false" ht="14.25" hidden="false" customHeight="true" outlineLevel="0" collapsed="false">
      <c r="C1133" s="17" t="str">
        <f aca="false">IF(TRIM(B1133)="","",IFERROR(INDEX('Code Aliases'!$B:$B,MATCH(TRIM(B1133),'Code Aliases'!$A:$A,0)),TRIM(B1133)))</f>
        <v/>
      </c>
      <c r="I1133" s="67" t="str">
        <f aca="false">IF(TRIM(D1133)="","",UPPER(TRIM(D1133)))</f>
        <v/>
      </c>
      <c r="J1133" s="67" t="str">
        <f aca="false">IF(TRIM(E1133)="","",UPPER(TRIM(E1133)))</f>
        <v/>
      </c>
    </row>
    <row r="1134" customFormat="false" ht="14.25" hidden="false" customHeight="true" outlineLevel="0" collapsed="false">
      <c r="C1134" s="17" t="str">
        <f aca="false">IF(TRIM(B1134)="","",IFERROR(INDEX('Code Aliases'!$B:$B,MATCH(TRIM(B1134),'Code Aliases'!$A:$A,0)),TRIM(B1134)))</f>
        <v/>
      </c>
      <c r="I1134" s="67" t="str">
        <f aca="false">IF(TRIM(D1134)="","",UPPER(TRIM(D1134)))</f>
        <v/>
      </c>
      <c r="J1134" s="67" t="str">
        <f aca="false">IF(TRIM(E1134)="","",UPPER(TRIM(E1134)))</f>
        <v/>
      </c>
    </row>
    <row r="1135" customFormat="false" ht="14.25" hidden="false" customHeight="true" outlineLevel="0" collapsed="false">
      <c r="C1135" s="17" t="str">
        <f aca="false">IF(TRIM(B1135)="","",IFERROR(INDEX('Code Aliases'!$B:$B,MATCH(TRIM(B1135),'Code Aliases'!$A:$A,0)),TRIM(B1135)))</f>
        <v/>
      </c>
      <c r="I1135" s="67" t="str">
        <f aca="false">IF(TRIM(D1135)="","",UPPER(TRIM(D1135)))</f>
        <v/>
      </c>
      <c r="J1135" s="67" t="str">
        <f aca="false">IF(TRIM(E1135)="","",UPPER(TRIM(E1135)))</f>
        <v/>
      </c>
    </row>
    <row r="1136" customFormat="false" ht="14.25" hidden="false" customHeight="true" outlineLevel="0" collapsed="false">
      <c r="C1136" s="17" t="str">
        <f aca="false">IF(TRIM(B1136)="","",IFERROR(INDEX('Code Aliases'!$B:$B,MATCH(TRIM(B1136),'Code Aliases'!$A:$A,0)),TRIM(B1136)))</f>
        <v/>
      </c>
      <c r="I1136" s="67" t="str">
        <f aca="false">IF(TRIM(D1136)="","",UPPER(TRIM(D1136)))</f>
        <v/>
      </c>
      <c r="J1136" s="67" t="str">
        <f aca="false">IF(TRIM(E1136)="","",UPPER(TRIM(E1136)))</f>
        <v/>
      </c>
    </row>
    <row r="1137" customFormat="false" ht="14.25" hidden="false" customHeight="true" outlineLevel="0" collapsed="false">
      <c r="C1137" s="17" t="str">
        <f aca="false">IF(TRIM(B1137)="","",IFERROR(INDEX('Code Aliases'!$B:$B,MATCH(TRIM(B1137),'Code Aliases'!$A:$A,0)),TRIM(B1137)))</f>
        <v/>
      </c>
      <c r="I1137" s="67" t="str">
        <f aca="false">IF(TRIM(D1137)="","",UPPER(TRIM(D1137)))</f>
        <v/>
      </c>
      <c r="J1137" s="67" t="str">
        <f aca="false">IF(TRIM(E1137)="","",UPPER(TRIM(E1137)))</f>
        <v/>
      </c>
    </row>
    <row r="1138" customFormat="false" ht="14.25" hidden="false" customHeight="true" outlineLevel="0" collapsed="false">
      <c r="C1138" s="17" t="str">
        <f aca="false">IF(TRIM(B1138)="","",IFERROR(INDEX('Code Aliases'!$B:$B,MATCH(TRIM(B1138),'Code Aliases'!$A:$A,0)),TRIM(B1138)))</f>
        <v/>
      </c>
      <c r="I1138" s="67" t="str">
        <f aca="false">IF(TRIM(D1138)="","",UPPER(TRIM(D1138)))</f>
        <v/>
      </c>
      <c r="J1138" s="67" t="str">
        <f aca="false">IF(TRIM(E1138)="","",UPPER(TRIM(E1138)))</f>
        <v/>
      </c>
    </row>
    <row r="1139" customFormat="false" ht="14.25" hidden="false" customHeight="true" outlineLevel="0" collapsed="false">
      <c r="C1139" s="17" t="str">
        <f aca="false">IF(TRIM(B1139)="","",IFERROR(INDEX('Code Aliases'!$B:$B,MATCH(TRIM(B1139),'Code Aliases'!$A:$A,0)),TRIM(B1139)))</f>
        <v/>
      </c>
      <c r="I1139" s="67" t="str">
        <f aca="false">IF(TRIM(D1139)="","",UPPER(TRIM(D1139)))</f>
        <v/>
      </c>
      <c r="J1139" s="67" t="str">
        <f aca="false">IF(TRIM(E1139)="","",UPPER(TRIM(E1139)))</f>
        <v/>
      </c>
    </row>
    <row r="1140" customFormat="false" ht="14.25" hidden="false" customHeight="true" outlineLevel="0" collapsed="false">
      <c r="C1140" s="17" t="str">
        <f aca="false">IF(TRIM(B1140)="","",IFERROR(INDEX('Code Aliases'!$B:$B,MATCH(TRIM(B1140),'Code Aliases'!$A:$A,0)),TRIM(B1140)))</f>
        <v/>
      </c>
      <c r="I1140" s="67" t="str">
        <f aca="false">IF(TRIM(D1140)="","",UPPER(TRIM(D1140)))</f>
        <v/>
      </c>
      <c r="J1140" s="67" t="str">
        <f aca="false">IF(TRIM(E1140)="","",UPPER(TRIM(E1140)))</f>
        <v/>
      </c>
    </row>
    <row r="1141" customFormat="false" ht="14.25" hidden="false" customHeight="true" outlineLevel="0" collapsed="false">
      <c r="C1141" s="17" t="str">
        <f aca="false">IF(TRIM(B1141)="","",IFERROR(INDEX('Code Aliases'!$B:$B,MATCH(TRIM(B1141),'Code Aliases'!$A:$A,0)),TRIM(B1141)))</f>
        <v/>
      </c>
      <c r="I1141" s="67" t="str">
        <f aca="false">IF(TRIM(D1141)="","",UPPER(TRIM(D1141)))</f>
        <v/>
      </c>
      <c r="J1141" s="67" t="str">
        <f aca="false">IF(TRIM(E1141)="","",UPPER(TRIM(E1141)))</f>
        <v/>
      </c>
    </row>
    <row r="1142" customFormat="false" ht="14.25" hidden="false" customHeight="true" outlineLevel="0" collapsed="false">
      <c r="C1142" s="17" t="str">
        <f aca="false">IF(TRIM(B1142)="","",IFERROR(INDEX('Code Aliases'!$B:$B,MATCH(TRIM(B1142),'Code Aliases'!$A:$A,0)),TRIM(B1142)))</f>
        <v/>
      </c>
      <c r="I1142" s="67" t="str">
        <f aca="false">IF(TRIM(D1142)="","",UPPER(TRIM(D1142)))</f>
        <v/>
      </c>
      <c r="J1142" s="67" t="str">
        <f aca="false">IF(TRIM(E1142)="","",UPPER(TRIM(E1142)))</f>
        <v/>
      </c>
    </row>
    <row r="1143" customFormat="false" ht="14.25" hidden="false" customHeight="true" outlineLevel="0" collapsed="false">
      <c r="C1143" s="17" t="str">
        <f aca="false">IF(TRIM(B1143)="","",IFERROR(INDEX('Code Aliases'!$B:$B,MATCH(TRIM(B1143),'Code Aliases'!$A:$A,0)),TRIM(B1143)))</f>
        <v/>
      </c>
      <c r="I1143" s="67" t="str">
        <f aca="false">IF(TRIM(D1143)="","",UPPER(TRIM(D1143)))</f>
        <v/>
      </c>
      <c r="J1143" s="67" t="str">
        <f aca="false">IF(TRIM(E1143)="","",UPPER(TRIM(E1143)))</f>
        <v/>
      </c>
    </row>
    <row r="1144" customFormat="false" ht="14.25" hidden="false" customHeight="true" outlineLevel="0" collapsed="false">
      <c r="C1144" s="17" t="str">
        <f aca="false">IF(TRIM(B1144)="","",IFERROR(INDEX('Code Aliases'!$B:$B,MATCH(TRIM(B1144),'Code Aliases'!$A:$A,0)),TRIM(B1144)))</f>
        <v/>
      </c>
      <c r="I1144" s="67" t="str">
        <f aca="false">IF(TRIM(D1144)="","",UPPER(TRIM(D1144)))</f>
        <v/>
      </c>
      <c r="J1144" s="67" t="str">
        <f aca="false">IF(TRIM(E1144)="","",UPPER(TRIM(E1144)))</f>
        <v/>
      </c>
    </row>
    <row r="1145" customFormat="false" ht="14.25" hidden="false" customHeight="true" outlineLevel="0" collapsed="false">
      <c r="C1145" s="17" t="str">
        <f aca="false">IF(TRIM(B1145)="","",IFERROR(INDEX('Code Aliases'!$B:$B,MATCH(TRIM(B1145),'Code Aliases'!$A:$A,0)),TRIM(B1145)))</f>
        <v/>
      </c>
      <c r="I1145" s="67" t="str">
        <f aca="false">IF(TRIM(D1145)="","",UPPER(TRIM(D1145)))</f>
        <v/>
      </c>
      <c r="J1145" s="67" t="str">
        <f aca="false">IF(TRIM(E1145)="","",UPPER(TRIM(E1145)))</f>
        <v/>
      </c>
    </row>
    <row r="1146" customFormat="false" ht="14.25" hidden="false" customHeight="true" outlineLevel="0" collapsed="false">
      <c r="C1146" s="17" t="str">
        <f aca="false">IF(TRIM(B1146)="","",IFERROR(INDEX('Code Aliases'!$B:$B,MATCH(TRIM(B1146),'Code Aliases'!$A:$A,0)),TRIM(B1146)))</f>
        <v/>
      </c>
      <c r="I1146" s="67" t="str">
        <f aca="false">IF(TRIM(D1146)="","",UPPER(TRIM(D1146)))</f>
        <v/>
      </c>
      <c r="J1146" s="67" t="str">
        <f aca="false">IF(TRIM(E1146)="","",UPPER(TRIM(E1146)))</f>
        <v/>
      </c>
    </row>
    <row r="1147" customFormat="false" ht="14.25" hidden="false" customHeight="true" outlineLevel="0" collapsed="false">
      <c r="C1147" s="17" t="str">
        <f aca="false">IF(TRIM(B1147)="","",IFERROR(INDEX('Code Aliases'!$B:$B,MATCH(TRIM(B1147),'Code Aliases'!$A:$A,0)),TRIM(B1147)))</f>
        <v/>
      </c>
      <c r="I1147" s="67" t="str">
        <f aca="false">IF(TRIM(D1147)="","",UPPER(TRIM(D1147)))</f>
        <v/>
      </c>
      <c r="J1147" s="67" t="str">
        <f aca="false">IF(TRIM(E1147)="","",UPPER(TRIM(E1147)))</f>
        <v/>
      </c>
    </row>
    <row r="1148" customFormat="false" ht="14.25" hidden="false" customHeight="true" outlineLevel="0" collapsed="false">
      <c r="C1148" s="17" t="str">
        <f aca="false">IF(TRIM(B1148)="","",IFERROR(INDEX('Code Aliases'!$B:$B,MATCH(TRIM(B1148),'Code Aliases'!$A:$A,0)),TRIM(B1148)))</f>
        <v/>
      </c>
      <c r="I1148" s="67" t="str">
        <f aca="false">IF(TRIM(D1148)="","",UPPER(TRIM(D1148)))</f>
        <v/>
      </c>
      <c r="J1148" s="67" t="str">
        <f aca="false">IF(TRIM(E1148)="","",UPPER(TRIM(E1148)))</f>
        <v/>
      </c>
    </row>
    <row r="1149" customFormat="false" ht="14.25" hidden="false" customHeight="true" outlineLevel="0" collapsed="false">
      <c r="C1149" s="17" t="str">
        <f aca="false">IF(TRIM(B1149)="","",IFERROR(INDEX('Code Aliases'!$B:$B,MATCH(TRIM(B1149),'Code Aliases'!$A:$A,0)),TRIM(B1149)))</f>
        <v/>
      </c>
      <c r="I1149" s="67" t="str">
        <f aca="false">IF(TRIM(D1149)="","",UPPER(TRIM(D1149)))</f>
        <v/>
      </c>
      <c r="J1149" s="67" t="str">
        <f aca="false">IF(TRIM(E1149)="","",UPPER(TRIM(E1149)))</f>
        <v/>
      </c>
    </row>
    <row r="1150" customFormat="false" ht="14.25" hidden="false" customHeight="true" outlineLevel="0" collapsed="false">
      <c r="C1150" s="17" t="str">
        <f aca="false">IF(TRIM(B1150)="","",IFERROR(INDEX('Code Aliases'!$B:$B,MATCH(TRIM(B1150),'Code Aliases'!$A:$A,0)),TRIM(B1150)))</f>
        <v/>
      </c>
      <c r="I1150" s="67" t="str">
        <f aca="false">IF(TRIM(D1150)="","",UPPER(TRIM(D1150)))</f>
        <v/>
      </c>
      <c r="J1150" s="67" t="str">
        <f aca="false">IF(TRIM(E1150)="","",UPPER(TRIM(E1150)))</f>
        <v/>
      </c>
    </row>
    <row r="1151" customFormat="false" ht="14.25" hidden="false" customHeight="true" outlineLevel="0" collapsed="false">
      <c r="C1151" s="17" t="str">
        <f aca="false">IF(TRIM(B1151)="","",IFERROR(INDEX('Code Aliases'!$B:$B,MATCH(TRIM(B1151),'Code Aliases'!$A:$A,0)),TRIM(B1151)))</f>
        <v/>
      </c>
      <c r="I1151" s="67" t="str">
        <f aca="false">IF(TRIM(D1151)="","",UPPER(TRIM(D1151)))</f>
        <v/>
      </c>
      <c r="J1151" s="67" t="str">
        <f aca="false">IF(TRIM(E1151)="","",UPPER(TRIM(E1151)))</f>
        <v/>
      </c>
    </row>
    <row r="1152" customFormat="false" ht="14.25" hidden="false" customHeight="true" outlineLevel="0" collapsed="false">
      <c r="C1152" s="17" t="str">
        <f aca="false">IF(TRIM(B1152)="","",IFERROR(INDEX('Code Aliases'!$B:$B,MATCH(TRIM(B1152),'Code Aliases'!$A:$A,0)),TRIM(B1152)))</f>
        <v/>
      </c>
      <c r="I1152" s="67" t="str">
        <f aca="false">IF(TRIM(D1152)="","",UPPER(TRIM(D1152)))</f>
        <v/>
      </c>
      <c r="J1152" s="67" t="str">
        <f aca="false">IF(TRIM(E1152)="","",UPPER(TRIM(E1152)))</f>
        <v/>
      </c>
    </row>
    <row r="1153" customFormat="false" ht="14.25" hidden="false" customHeight="true" outlineLevel="0" collapsed="false">
      <c r="C1153" s="17" t="str">
        <f aca="false">IF(TRIM(B1153)="","",IFERROR(INDEX('Code Aliases'!$B:$B,MATCH(TRIM(B1153),'Code Aliases'!$A:$A,0)),TRIM(B1153)))</f>
        <v/>
      </c>
      <c r="I1153" s="67" t="str">
        <f aca="false">IF(TRIM(D1153)="","",UPPER(TRIM(D1153)))</f>
        <v/>
      </c>
      <c r="J1153" s="67" t="str">
        <f aca="false">IF(TRIM(E1153)="","",UPPER(TRIM(E1153)))</f>
        <v/>
      </c>
    </row>
    <row r="1154" customFormat="false" ht="14.25" hidden="false" customHeight="true" outlineLevel="0" collapsed="false">
      <c r="C1154" s="17" t="str">
        <f aca="false">IF(TRIM(B1154)="","",IFERROR(INDEX('Code Aliases'!$B:$B,MATCH(TRIM(B1154),'Code Aliases'!$A:$A,0)),TRIM(B1154)))</f>
        <v/>
      </c>
      <c r="I1154" s="67" t="str">
        <f aca="false">IF(TRIM(D1154)="","",UPPER(TRIM(D1154)))</f>
        <v/>
      </c>
      <c r="J1154" s="67" t="str">
        <f aca="false">IF(TRIM(E1154)="","",UPPER(TRIM(E1154)))</f>
        <v/>
      </c>
    </row>
    <row r="1155" customFormat="false" ht="14.25" hidden="false" customHeight="true" outlineLevel="0" collapsed="false">
      <c r="C1155" s="17" t="str">
        <f aca="false">IF(TRIM(B1155)="","",IFERROR(INDEX('Code Aliases'!$B:$B,MATCH(TRIM(B1155),'Code Aliases'!$A:$A,0)),TRIM(B1155)))</f>
        <v/>
      </c>
      <c r="I1155" s="67" t="str">
        <f aca="false">IF(TRIM(D1155)="","",UPPER(TRIM(D1155)))</f>
        <v/>
      </c>
      <c r="J1155" s="67" t="str">
        <f aca="false">IF(TRIM(E1155)="","",UPPER(TRIM(E1155)))</f>
        <v/>
      </c>
    </row>
    <row r="1156" customFormat="false" ht="14.25" hidden="false" customHeight="true" outlineLevel="0" collapsed="false">
      <c r="C1156" s="17" t="str">
        <f aca="false">IF(TRIM(B1156)="","",IFERROR(INDEX('Code Aliases'!$B:$B,MATCH(TRIM(B1156),'Code Aliases'!$A:$A,0)),TRIM(B1156)))</f>
        <v/>
      </c>
      <c r="I1156" s="67" t="str">
        <f aca="false">IF(TRIM(D1156)="","",UPPER(TRIM(D1156)))</f>
        <v/>
      </c>
      <c r="J1156" s="67" t="str">
        <f aca="false">IF(TRIM(E1156)="","",UPPER(TRIM(E1156)))</f>
        <v/>
      </c>
    </row>
    <row r="1157" customFormat="false" ht="14.25" hidden="false" customHeight="true" outlineLevel="0" collapsed="false">
      <c r="C1157" s="17" t="str">
        <f aca="false">IF(TRIM(B1157)="","",IFERROR(INDEX('Code Aliases'!$B:$B,MATCH(TRIM(B1157),'Code Aliases'!$A:$A,0)),TRIM(B1157)))</f>
        <v/>
      </c>
      <c r="I1157" s="67" t="str">
        <f aca="false">IF(TRIM(D1157)="","",UPPER(TRIM(D1157)))</f>
        <v/>
      </c>
      <c r="J1157" s="67" t="str">
        <f aca="false">IF(TRIM(E1157)="","",UPPER(TRIM(E1157)))</f>
        <v/>
      </c>
    </row>
    <row r="1158" customFormat="false" ht="14.25" hidden="false" customHeight="true" outlineLevel="0" collapsed="false">
      <c r="C1158" s="17" t="str">
        <f aca="false">IF(TRIM(B1158)="","",IFERROR(INDEX('Code Aliases'!$B:$B,MATCH(TRIM(B1158),'Code Aliases'!$A:$A,0)),TRIM(B1158)))</f>
        <v/>
      </c>
      <c r="I1158" s="67" t="str">
        <f aca="false">IF(TRIM(D1158)="","",UPPER(TRIM(D1158)))</f>
        <v/>
      </c>
      <c r="J1158" s="67" t="str">
        <f aca="false">IF(TRIM(E1158)="","",UPPER(TRIM(E1158)))</f>
        <v/>
      </c>
    </row>
    <row r="1159" customFormat="false" ht="14.25" hidden="false" customHeight="true" outlineLevel="0" collapsed="false">
      <c r="C1159" s="17" t="str">
        <f aca="false">IF(TRIM(B1159)="","",IFERROR(INDEX('Code Aliases'!$B:$B,MATCH(TRIM(B1159),'Code Aliases'!$A:$A,0)),TRIM(B1159)))</f>
        <v/>
      </c>
      <c r="I1159" s="67" t="str">
        <f aca="false">IF(TRIM(D1159)="","",UPPER(TRIM(D1159)))</f>
        <v/>
      </c>
      <c r="J1159" s="67" t="str">
        <f aca="false">IF(TRIM(E1159)="","",UPPER(TRIM(E1159)))</f>
        <v/>
      </c>
    </row>
    <row r="1160" customFormat="false" ht="14.25" hidden="false" customHeight="true" outlineLevel="0" collapsed="false">
      <c r="C1160" s="17" t="str">
        <f aca="false">IF(TRIM(B1160)="","",IFERROR(INDEX('Code Aliases'!$B:$B,MATCH(TRIM(B1160),'Code Aliases'!$A:$A,0)),TRIM(B1160)))</f>
        <v/>
      </c>
      <c r="I1160" s="67" t="str">
        <f aca="false">IF(TRIM(D1160)="","",UPPER(TRIM(D1160)))</f>
        <v/>
      </c>
      <c r="J1160" s="67" t="str">
        <f aca="false">IF(TRIM(E1160)="","",UPPER(TRIM(E1160)))</f>
        <v/>
      </c>
    </row>
    <row r="1161" customFormat="false" ht="14.25" hidden="false" customHeight="true" outlineLevel="0" collapsed="false">
      <c r="C1161" s="17" t="str">
        <f aca="false">IF(TRIM(B1161)="","",IFERROR(INDEX('Code Aliases'!$B:$B,MATCH(TRIM(B1161),'Code Aliases'!$A:$A,0)),TRIM(B1161)))</f>
        <v/>
      </c>
      <c r="I1161" s="67" t="str">
        <f aca="false">IF(TRIM(D1161)="","",UPPER(TRIM(D1161)))</f>
        <v/>
      </c>
      <c r="J1161" s="67" t="str">
        <f aca="false">IF(TRIM(E1161)="","",UPPER(TRIM(E1161)))</f>
        <v/>
      </c>
    </row>
    <row r="1162" customFormat="false" ht="14.25" hidden="false" customHeight="true" outlineLevel="0" collapsed="false">
      <c r="C1162" s="17" t="str">
        <f aca="false">IF(TRIM(B1162)="","",IFERROR(INDEX('Code Aliases'!$B:$B,MATCH(TRIM(B1162),'Code Aliases'!$A:$A,0)),TRIM(B1162)))</f>
        <v/>
      </c>
      <c r="I1162" s="67" t="str">
        <f aca="false">IF(TRIM(D1162)="","",UPPER(TRIM(D1162)))</f>
        <v/>
      </c>
      <c r="J1162" s="67" t="str">
        <f aca="false">IF(TRIM(E1162)="","",UPPER(TRIM(E1162)))</f>
        <v/>
      </c>
    </row>
    <row r="1163" customFormat="false" ht="14.25" hidden="false" customHeight="true" outlineLevel="0" collapsed="false">
      <c r="C1163" s="17" t="str">
        <f aca="false">IF(TRIM(B1163)="","",IFERROR(INDEX('Code Aliases'!$B:$B,MATCH(TRIM(B1163),'Code Aliases'!$A:$A,0)),TRIM(B1163)))</f>
        <v/>
      </c>
      <c r="I1163" s="67" t="str">
        <f aca="false">IF(TRIM(D1163)="","",UPPER(TRIM(D1163)))</f>
        <v/>
      </c>
      <c r="J1163" s="67" t="str">
        <f aca="false">IF(TRIM(E1163)="","",UPPER(TRIM(E1163)))</f>
        <v/>
      </c>
    </row>
    <row r="1164" customFormat="false" ht="14.25" hidden="false" customHeight="true" outlineLevel="0" collapsed="false">
      <c r="C1164" s="17" t="str">
        <f aca="false">IF(TRIM(B1164)="","",IFERROR(INDEX('Code Aliases'!$B:$B,MATCH(TRIM(B1164),'Code Aliases'!$A:$A,0)),TRIM(B1164)))</f>
        <v/>
      </c>
      <c r="I1164" s="67" t="str">
        <f aca="false">IF(TRIM(D1164)="","",UPPER(TRIM(D1164)))</f>
        <v/>
      </c>
      <c r="J1164" s="67" t="str">
        <f aca="false">IF(TRIM(E1164)="","",UPPER(TRIM(E1164)))</f>
        <v/>
      </c>
    </row>
    <row r="1165" customFormat="false" ht="14.25" hidden="false" customHeight="true" outlineLevel="0" collapsed="false">
      <c r="C1165" s="17" t="str">
        <f aca="false">IF(TRIM(B1165)="","",IFERROR(INDEX('Code Aliases'!$B:$B,MATCH(TRIM(B1165),'Code Aliases'!$A:$A,0)),TRIM(B1165)))</f>
        <v/>
      </c>
      <c r="I1165" s="67" t="str">
        <f aca="false">IF(TRIM(D1165)="","",UPPER(TRIM(D1165)))</f>
        <v/>
      </c>
      <c r="J1165" s="67" t="str">
        <f aca="false">IF(TRIM(E1165)="","",UPPER(TRIM(E1165)))</f>
        <v/>
      </c>
    </row>
    <row r="1166" customFormat="false" ht="14.25" hidden="false" customHeight="true" outlineLevel="0" collapsed="false">
      <c r="C1166" s="17" t="str">
        <f aca="false">IF(TRIM(B1166)="","",IFERROR(INDEX('Code Aliases'!$B:$B,MATCH(TRIM(B1166),'Code Aliases'!$A:$A,0)),TRIM(B1166)))</f>
        <v/>
      </c>
      <c r="I1166" s="67" t="str">
        <f aca="false">IF(TRIM(D1166)="","",UPPER(TRIM(D1166)))</f>
        <v/>
      </c>
      <c r="J1166" s="67" t="str">
        <f aca="false">IF(TRIM(E1166)="","",UPPER(TRIM(E1166)))</f>
        <v/>
      </c>
    </row>
    <row r="1167" customFormat="false" ht="14.25" hidden="false" customHeight="true" outlineLevel="0" collapsed="false">
      <c r="C1167" s="17" t="str">
        <f aca="false">IF(TRIM(B1167)="","",IFERROR(INDEX('Code Aliases'!$B:$B,MATCH(TRIM(B1167),'Code Aliases'!$A:$A,0)),TRIM(B1167)))</f>
        <v/>
      </c>
      <c r="I1167" s="67" t="str">
        <f aca="false">IF(TRIM(D1167)="","",UPPER(TRIM(D1167)))</f>
        <v/>
      </c>
      <c r="J1167" s="67" t="str">
        <f aca="false">IF(TRIM(E1167)="","",UPPER(TRIM(E1167)))</f>
        <v/>
      </c>
    </row>
    <row r="1168" customFormat="false" ht="14.25" hidden="false" customHeight="true" outlineLevel="0" collapsed="false">
      <c r="C1168" s="17" t="str">
        <f aca="false">IF(TRIM(B1168)="","",IFERROR(INDEX('Code Aliases'!$B:$B,MATCH(TRIM(B1168),'Code Aliases'!$A:$A,0)),TRIM(B1168)))</f>
        <v/>
      </c>
      <c r="I1168" s="67" t="str">
        <f aca="false">IF(TRIM(D1168)="","",UPPER(TRIM(D1168)))</f>
        <v/>
      </c>
      <c r="J1168" s="67" t="str">
        <f aca="false">IF(TRIM(E1168)="","",UPPER(TRIM(E1168)))</f>
        <v/>
      </c>
    </row>
    <row r="1169" customFormat="false" ht="14.25" hidden="false" customHeight="true" outlineLevel="0" collapsed="false">
      <c r="C1169" s="17" t="str">
        <f aca="false">IF(TRIM(B1169)="","",IFERROR(INDEX('Code Aliases'!$B:$B,MATCH(TRIM(B1169),'Code Aliases'!$A:$A,0)),TRIM(B1169)))</f>
        <v/>
      </c>
      <c r="I1169" s="67" t="str">
        <f aca="false">IF(TRIM(D1169)="","",UPPER(TRIM(D1169)))</f>
        <v/>
      </c>
      <c r="J1169" s="67" t="str">
        <f aca="false">IF(TRIM(E1169)="","",UPPER(TRIM(E1169)))</f>
        <v/>
      </c>
    </row>
    <row r="1170" customFormat="false" ht="14.25" hidden="false" customHeight="true" outlineLevel="0" collapsed="false">
      <c r="C1170" s="17" t="str">
        <f aca="false">IF(TRIM(B1170)="","",IFERROR(INDEX('Code Aliases'!$B:$B,MATCH(TRIM(B1170),'Code Aliases'!$A:$A,0)),TRIM(B1170)))</f>
        <v/>
      </c>
      <c r="I1170" s="67" t="str">
        <f aca="false">IF(TRIM(D1170)="","",UPPER(TRIM(D1170)))</f>
        <v/>
      </c>
      <c r="J1170" s="67" t="str">
        <f aca="false">IF(TRIM(E1170)="","",UPPER(TRIM(E1170)))</f>
        <v/>
      </c>
    </row>
    <row r="1171" customFormat="false" ht="14.25" hidden="false" customHeight="true" outlineLevel="0" collapsed="false">
      <c r="C1171" s="17" t="str">
        <f aca="false">IF(TRIM(B1171)="","",IFERROR(INDEX('Code Aliases'!$B:$B,MATCH(TRIM(B1171),'Code Aliases'!$A:$A,0)),TRIM(B1171)))</f>
        <v/>
      </c>
      <c r="I1171" s="67" t="str">
        <f aca="false">IF(TRIM(D1171)="","",UPPER(TRIM(D1171)))</f>
        <v/>
      </c>
      <c r="J1171" s="67" t="str">
        <f aca="false">IF(TRIM(E1171)="","",UPPER(TRIM(E1171)))</f>
        <v/>
      </c>
    </row>
    <row r="1172" customFormat="false" ht="14.25" hidden="false" customHeight="true" outlineLevel="0" collapsed="false">
      <c r="C1172" s="17" t="str">
        <f aca="false">IF(TRIM(B1172)="","",IFERROR(INDEX('Code Aliases'!$B:$B,MATCH(TRIM(B1172),'Code Aliases'!$A:$A,0)),TRIM(B1172)))</f>
        <v/>
      </c>
      <c r="I1172" s="67" t="str">
        <f aca="false">IF(TRIM(D1172)="","",UPPER(TRIM(D1172)))</f>
        <v/>
      </c>
      <c r="J1172" s="67" t="str">
        <f aca="false">IF(TRIM(E1172)="","",UPPER(TRIM(E1172)))</f>
        <v/>
      </c>
    </row>
    <row r="1173" customFormat="false" ht="14.25" hidden="false" customHeight="true" outlineLevel="0" collapsed="false">
      <c r="C1173" s="17" t="str">
        <f aca="false">IF(TRIM(B1173)="","",IFERROR(INDEX('Code Aliases'!$B:$B,MATCH(TRIM(B1173),'Code Aliases'!$A:$A,0)),TRIM(B1173)))</f>
        <v/>
      </c>
      <c r="I1173" s="67" t="str">
        <f aca="false">IF(TRIM(D1173)="","",UPPER(TRIM(D1173)))</f>
        <v/>
      </c>
      <c r="J1173" s="67" t="str">
        <f aca="false">IF(TRIM(E1173)="","",UPPER(TRIM(E1173)))</f>
        <v/>
      </c>
    </row>
    <row r="1174" customFormat="false" ht="14.25" hidden="false" customHeight="true" outlineLevel="0" collapsed="false">
      <c r="C1174" s="17" t="str">
        <f aca="false">IF(TRIM(B1174)="","",IFERROR(INDEX('Code Aliases'!$B:$B,MATCH(TRIM(B1174),'Code Aliases'!$A:$A,0)),TRIM(B1174)))</f>
        <v/>
      </c>
      <c r="I1174" s="67" t="str">
        <f aca="false">IF(TRIM(D1174)="","",UPPER(TRIM(D1174)))</f>
        <v/>
      </c>
      <c r="J1174" s="67" t="str">
        <f aca="false">IF(TRIM(E1174)="","",UPPER(TRIM(E1174)))</f>
        <v/>
      </c>
    </row>
    <row r="1175" customFormat="false" ht="14.25" hidden="false" customHeight="true" outlineLevel="0" collapsed="false">
      <c r="C1175" s="17" t="str">
        <f aca="false">IF(TRIM(B1175)="","",IFERROR(INDEX('Code Aliases'!$B:$B,MATCH(TRIM(B1175),'Code Aliases'!$A:$A,0)),TRIM(B1175)))</f>
        <v/>
      </c>
      <c r="I1175" s="67" t="str">
        <f aca="false">IF(TRIM(D1175)="","",UPPER(TRIM(D1175)))</f>
        <v/>
      </c>
      <c r="J1175" s="67" t="str">
        <f aca="false">IF(TRIM(E1175)="","",UPPER(TRIM(E1175)))</f>
        <v/>
      </c>
    </row>
    <row r="1176" customFormat="false" ht="14.25" hidden="false" customHeight="true" outlineLevel="0" collapsed="false">
      <c r="C1176" s="17" t="str">
        <f aca="false">IF(TRIM(B1176)="","",IFERROR(INDEX('Code Aliases'!$B:$B,MATCH(TRIM(B1176),'Code Aliases'!$A:$A,0)),TRIM(B1176)))</f>
        <v/>
      </c>
      <c r="I1176" s="67" t="str">
        <f aca="false">IF(TRIM(D1176)="","",UPPER(TRIM(D1176)))</f>
        <v/>
      </c>
      <c r="J1176" s="67" t="str">
        <f aca="false">IF(TRIM(E1176)="","",UPPER(TRIM(E1176)))</f>
        <v/>
      </c>
    </row>
    <row r="1177" customFormat="false" ht="14.25" hidden="false" customHeight="true" outlineLevel="0" collapsed="false">
      <c r="C1177" s="17" t="str">
        <f aca="false">IF(TRIM(B1177)="","",IFERROR(INDEX('Code Aliases'!$B:$B,MATCH(TRIM(B1177),'Code Aliases'!$A:$A,0)),TRIM(B1177)))</f>
        <v/>
      </c>
      <c r="I1177" s="67" t="str">
        <f aca="false">IF(TRIM(D1177)="","",UPPER(TRIM(D1177)))</f>
        <v/>
      </c>
      <c r="J1177" s="67" t="str">
        <f aca="false">IF(TRIM(E1177)="","",UPPER(TRIM(E1177)))</f>
        <v/>
      </c>
    </row>
    <row r="1178" customFormat="false" ht="14.25" hidden="false" customHeight="true" outlineLevel="0" collapsed="false">
      <c r="C1178" s="17" t="str">
        <f aca="false">IF(TRIM(B1178)="","",IFERROR(INDEX('Code Aliases'!$B:$B,MATCH(TRIM(B1178),'Code Aliases'!$A:$A,0)),TRIM(B1178)))</f>
        <v/>
      </c>
      <c r="I1178" s="67" t="str">
        <f aca="false">IF(TRIM(D1178)="","",UPPER(TRIM(D1178)))</f>
        <v/>
      </c>
      <c r="J1178" s="67" t="str">
        <f aca="false">IF(TRIM(E1178)="","",UPPER(TRIM(E1178)))</f>
        <v/>
      </c>
    </row>
    <row r="1179" customFormat="false" ht="14.25" hidden="false" customHeight="true" outlineLevel="0" collapsed="false">
      <c r="C1179" s="17" t="str">
        <f aca="false">IF(TRIM(B1179)="","",IFERROR(INDEX('Code Aliases'!$B:$B,MATCH(TRIM(B1179),'Code Aliases'!$A:$A,0)),TRIM(B1179)))</f>
        <v/>
      </c>
      <c r="I1179" s="67" t="str">
        <f aca="false">IF(TRIM(D1179)="","",UPPER(TRIM(D1179)))</f>
        <v/>
      </c>
      <c r="J1179" s="67" t="str">
        <f aca="false">IF(TRIM(E1179)="","",UPPER(TRIM(E1179)))</f>
        <v/>
      </c>
    </row>
    <row r="1180" customFormat="false" ht="14.25" hidden="false" customHeight="true" outlineLevel="0" collapsed="false">
      <c r="C1180" s="17" t="str">
        <f aca="false">IF(TRIM(B1180)="","",IFERROR(INDEX('Code Aliases'!$B:$B,MATCH(TRIM(B1180),'Code Aliases'!$A:$A,0)),TRIM(B1180)))</f>
        <v/>
      </c>
      <c r="I1180" s="67" t="str">
        <f aca="false">IF(TRIM(D1180)="","",UPPER(TRIM(D1180)))</f>
        <v/>
      </c>
      <c r="J1180" s="67" t="str">
        <f aca="false">IF(TRIM(E1180)="","",UPPER(TRIM(E1180)))</f>
        <v/>
      </c>
    </row>
    <row r="1181" customFormat="false" ht="14.25" hidden="false" customHeight="true" outlineLevel="0" collapsed="false">
      <c r="C1181" s="17" t="str">
        <f aca="false">IF(TRIM(B1181)="","",IFERROR(INDEX('Code Aliases'!$B:$B,MATCH(TRIM(B1181),'Code Aliases'!$A:$A,0)),TRIM(B1181)))</f>
        <v/>
      </c>
      <c r="I1181" s="67" t="str">
        <f aca="false">IF(TRIM(D1181)="","",UPPER(TRIM(D1181)))</f>
        <v/>
      </c>
      <c r="J1181" s="67" t="str">
        <f aca="false">IF(TRIM(E1181)="","",UPPER(TRIM(E1181)))</f>
        <v/>
      </c>
    </row>
    <row r="1182" customFormat="false" ht="14.25" hidden="false" customHeight="true" outlineLevel="0" collapsed="false">
      <c r="C1182" s="17" t="str">
        <f aca="false">IF(TRIM(B1182)="","",IFERROR(INDEX('Code Aliases'!$B:$B,MATCH(TRIM(B1182),'Code Aliases'!$A:$A,0)),TRIM(B1182)))</f>
        <v/>
      </c>
      <c r="I1182" s="67" t="str">
        <f aca="false">IF(TRIM(D1182)="","",UPPER(TRIM(D1182)))</f>
        <v/>
      </c>
      <c r="J1182" s="67" t="str">
        <f aca="false">IF(TRIM(E1182)="","",UPPER(TRIM(E1182)))</f>
        <v/>
      </c>
    </row>
    <row r="1183" customFormat="false" ht="14.25" hidden="false" customHeight="true" outlineLevel="0" collapsed="false">
      <c r="C1183" s="17" t="str">
        <f aca="false">IF(TRIM(B1183)="","",IFERROR(INDEX('Code Aliases'!$B:$B,MATCH(TRIM(B1183),'Code Aliases'!$A:$A,0)),TRIM(B1183)))</f>
        <v/>
      </c>
      <c r="I1183" s="67" t="str">
        <f aca="false">IF(TRIM(D1183)="","",UPPER(TRIM(D1183)))</f>
        <v/>
      </c>
      <c r="J1183" s="67" t="str">
        <f aca="false">IF(TRIM(E1183)="","",UPPER(TRIM(E1183)))</f>
        <v/>
      </c>
    </row>
    <row r="1184" customFormat="false" ht="14.25" hidden="false" customHeight="true" outlineLevel="0" collapsed="false">
      <c r="C1184" s="17" t="str">
        <f aca="false">IF(TRIM(B1184)="","",IFERROR(INDEX('Code Aliases'!$B:$B,MATCH(TRIM(B1184),'Code Aliases'!$A:$A,0)),TRIM(B1184)))</f>
        <v/>
      </c>
      <c r="I1184" s="67" t="str">
        <f aca="false">IF(TRIM(D1184)="","",UPPER(TRIM(D1184)))</f>
        <v/>
      </c>
      <c r="J1184" s="67" t="str">
        <f aca="false">IF(TRIM(E1184)="","",UPPER(TRIM(E1184)))</f>
        <v/>
      </c>
    </row>
    <row r="1185" customFormat="false" ht="14.25" hidden="false" customHeight="true" outlineLevel="0" collapsed="false">
      <c r="C1185" s="17" t="str">
        <f aca="false">IF(TRIM(B1185)="","",IFERROR(INDEX('Code Aliases'!$B:$B,MATCH(TRIM(B1185),'Code Aliases'!$A:$A,0)),TRIM(B1185)))</f>
        <v/>
      </c>
      <c r="I1185" s="67" t="str">
        <f aca="false">IF(TRIM(D1185)="","",UPPER(TRIM(D1185)))</f>
        <v/>
      </c>
      <c r="J1185" s="67" t="str">
        <f aca="false">IF(TRIM(E1185)="","",UPPER(TRIM(E1185)))</f>
        <v/>
      </c>
    </row>
    <row r="1186" customFormat="false" ht="14.25" hidden="false" customHeight="true" outlineLevel="0" collapsed="false">
      <c r="C1186" s="17" t="str">
        <f aca="false">IF(TRIM(B1186)="","",IFERROR(INDEX('Code Aliases'!$B:$B,MATCH(TRIM(B1186),'Code Aliases'!$A:$A,0)),TRIM(B1186)))</f>
        <v/>
      </c>
      <c r="I1186" s="67" t="str">
        <f aca="false">IF(TRIM(D1186)="","",UPPER(TRIM(D1186)))</f>
        <v/>
      </c>
      <c r="J1186" s="67" t="str">
        <f aca="false">IF(TRIM(E1186)="","",UPPER(TRIM(E1186)))</f>
        <v/>
      </c>
    </row>
    <row r="1187" customFormat="false" ht="14.25" hidden="false" customHeight="true" outlineLevel="0" collapsed="false">
      <c r="C1187" s="17" t="str">
        <f aca="false">IF(TRIM(B1187)="","",IFERROR(INDEX('Code Aliases'!$B:$B,MATCH(TRIM(B1187),'Code Aliases'!$A:$A,0)),TRIM(B1187)))</f>
        <v/>
      </c>
      <c r="I1187" s="67" t="str">
        <f aca="false">IF(TRIM(D1187)="","",UPPER(TRIM(D1187)))</f>
        <v/>
      </c>
      <c r="J1187" s="67" t="str">
        <f aca="false">IF(TRIM(E1187)="","",UPPER(TRIM(E1187)))</f>
        <v/>
      </c>
    </row>
    <row r="1188" customFormat="false" ht="14.25" hidden="false" customHeight="true" outlineLevel="0" collapsed="false">
      <c r="C1188" s="17" t="str">
        <f aca="false">IF(TRIM(B1188)="","",IFERROR(INDEX('Code Aliases'!$B:$B,MATCH(TRIM(B1188),'Code Aliases'!$A:$A,0)),TRIM(B1188)))</f>
        <v/>
      </c>
      <c r="I1188" s="67" t="str">
        <f aca="false">IF(TRIM(D1188)="","",UPPER(TRIM(D1188)))</f>
        <v/>
      </c>
      <c r="J1188" s="67" t="str">
        <f aca="false">IF(TRIM(E1188)="","",UPPER(TRIM(E1188)))</f>
        <v/>
      </c>
    </row>
    <row r="1189" customFormat="false" ht="14.25" hidden="false" customHeight="true" outlineLevel="0" collapsed="false">
      <c r="C1189" s="17" t="str">
        <f aca="false">IF(TRIM(B1189)="","",IFERROR(INDEX('Code Aliases'!$B:$B,MATCH(TRIM(B1189),'Code Aliases'!$A:$A,0)),TRIM(B1189)))</f>
        <v/>
      </c>
      <c r="I1189" s="67" t="str">
        <f aca="false">IF(TRIM(D1189)="","",UPPER(TRIM(D1189)))</f>
        <v/>
      </c>
      <c r="J1189" s="67" t="str">
        <f aca="false">IF(TRIM(E1189)="","",UPPER(TRIM(E1189)))</f>
        <v/>
      </c>
    </row>
    <row r="1190" customFormat="false" ht="14.25" hidden="false" customHeight="true" outlineLevel="0" collapsed="false">
      <c r="C1190" s="17" t="str">
        <f aca="false">IF(TRIM(B1190)="","",IFERROR(INDEX('Code Aliases'!$B:$B,MATCH(TRIM(B1190),'Code Aliases'!$A:$A,0)),TRIM(B1190)))</f>
        <v/>
      </c>
      <c r="I1190" s="67" t="str">
        <f aca="false">IF(TRIM(D1190)="","",UPPER(TRIM(D1190)))</f>
        <v/>
      </c>
      <c r="J1190" s="67" t="str">
        <f aca="false">IF(TRIM(E1190)="","",UPPER(TRIM(E1190)))</f>
        <v/>
      </c>
    </row>
    <row r="1191" customFormat="false" ht="14.25" hidden="false" customHeight="true" outlineLevel="0" collapsed="false">
      <c r="C1191" s="17" t="str">
        <f aca="false">IF(TRIM(B1191)="","",IFERROR(INDEX('Code Aliases'!$B:$B,MATCH(TRIM(B1191),'Code Aliases'!$A:$A,0)),TRIM(B1191)))</f>
        <v/>
      </c>
      <c r="I1191" s="67" t="str">
        <f aca="false">IF(TRIM(D1191)="","",UPPER(TRIM(D1191)))</f>
        <v/>
      </c>
      <c r="J1191" s="67" t="str">
        <f aca="false">IF(TRIM(E1191)="","",UPPER(TRIM(E1191)))</f>
        <v/>
      </c>
    </row>
    <row r="1192" customFormat="false" ht="14.25" hidden="false" customHeight="true" outlineLevel="0" collapsed="false">
      <c r="C1192" s="17" t="str">
        <f aca="false">IF(TRIM(B1192)="","",IFERROR(INDEX('Code Aliases'!$B:$B,MATCH(TRIM(B1192),'Code Aliases'!$A:$A,0)),TRIM(B1192)))</f>
        <v/>
      </c>
      <c r="I1192" s="67" t="str">
        <f aca="false">IF(TRIM(D1192)="","",UPPER(TRIM(D1192)))</f>
        <v/>
      </c>
      <c r="J1192" s="67" t="str">
        <f aca="false">IF(TRIM(E1192)="","",UPPER(TRIM(E1192)))</f>
        <v/>
      </c>
    </row>
    <row r="1193" customFormat="false" ht="14.25" hidden="false" customHeight="true" outlineLevel="0" collapsed="false">
      <c r="C1193" s="17" t="str">
        <f aca="false">IF(TRIM(B1193)="","",IFERROR(INDEX('Code Aliases'!$B:$B,MATCH(TRIM(B1193),'Code Aliases'!$A:$A,0)),TRIM(B1193)))</f>
        <v/>
      </c>
      <c r="I1193" s="67" t="str">
        <f aca="false">IF(TRIM(D1193)="","",UPPER(TRIM(D1193)))</f>
        <v/>
      </c>
      <c r="J1193" s="67" t="str">
        <f aca="false">IF(TRIM(E1193)="","",UPPER(TRIM(E1193)))</f>
        <v/>
      </c>
    </row>
    <row r="1194" customFormat="false" ht="14.25" hidden="false" customHeight="true" outlineLevel="0" collapsed="false">
      <c r="C1194" s="17" t="str">
        <f aca="false">IF(TRIM(B1194)="","",IFERROR(INDEX('Code Aliases'!$B:$B,MATCH(TRIM(B1194),'Code Aliases'!$A:$A,0)),TRIM(B1194)))</f>
        <v/>
      </c>
      <c r="I1194" s="67" t="str">
        <f aca="false">IF(TRIM(D1194)="","",UPPER(TRIM(D1194)))</f>
        <v/>
      </c>
      <c r="J1194" s="67" t="str">
        <f aca="false">IF(TRIM(E1194)="","",UPPER(TRIM(E1194)))</f>
        <v/>
      </c>
    </row>
    <row r="1195" customFormat="false" ht="14.25" hidden="false" customHeight="true" outlineLevel="0" collapsed="false">
      <c r="C1195" s="17" t="str">
        <f aca="false">IF(TRIM(B1195)="","",IFERROR(INDEX('Code Aliases'!$B:$B,MATCH(TRIM(B1195),'Code Aliases'!$A:$A,0)),TRIM(B1195)))</f>
        <v/>
      </c>
      <c r="I1195" s="67" t="str">
        <f aca="false">IF(TRIM(D1195)="","",UPPER(TRIM(D1195)))</f>
        <v/>
      </c>
      <c r="J1195" s="67" t="str">
        <f aca="false">IF(TRIM(E1195)="","",UPPER(TRIM(E1195)))</f>
        <v/>
      </c>
    </row>
    <row r="1196" customFormat="false" ht="14.25" hidden="false" customHeight="true" outlineLevel="0" collapsed="false">
      <c r="C1196" s="17" t="str">
        <f aca="false">IF(TRIM(B1196)="","",IFERROR(INDEX('Code Aliases'!$B:$B,MATCH(TRIM(B1196),'Code Aliases'!$A:$A,0)),TRIM(B1196)))</f>
        <v/>
      </c>
      <c r="I1196" s="67" t="str">
        <f aca="false">IF(TRIM(D1196)="","",UPPER(TRIM(D1196)))</f>
        <v/>
      </c>
      <c r="J1196" s="67" t="str">
        <f aca="false">IF(TRIM(E1196)="","",UPPER(TRIM(E1196)))</f>
        <v/>
      </c>
    </row>
    <row r="1197" customFormat="false" ht="14.25" hidden="false" customHeight="true" outlineLevel="0" collapsed="false">
      <c r="C1197" s="17" t="str">
        <f aca="false">IF(TRIM(B1197)="","",IFERROR(INDEX('Code Aliases'!$B:$B,MATCH(TRIM(B1197),'Code Aliases'!$A:$A,0)),TRIM(B1197)))</f>
        <v/>
      </c>
      <c r="I1197" s="67" t="str">
        <f aca="false">IF(TRIM(D1197)="","",UPPER(TRIM(D1197)))</f>
        <v/>
      </c>
      <c r="J1197" s="67" t="str">
        <f aca="false">IF(TRIM(E1197)="","",UPPER(TRIM(E1197)))</f>
        <v/>
      </c>
    </row>
    <row r="1198" customFormat="false" ht="14.25" hidden="false" customHeight="true" outlineLevel="0" collapsed="false">
      <c r="C1198" s="17" t="str">
        <f aca="false">IF(TRIM(B1198)="","",IFERROR(INDEX('Code Aliases'!$B:$B,MATCH(TRIM(B1198),'Code Aliases'!$A:$A,0)),TRIM(B1198)))</f>
        <v/>
      </c>
      <c r="I1198" s="67" t="str">
        <f aca="false">IF(TRIM(D1198)="","",UPPER(TRIM(D1198)))</f>
        <v/>
      </c>
      <c r="J1198" s="67" t="str">
        <f aca="false">IF(TRIM(E1198)="","",UPPER(TRIM(E1198)))</f>
        <v/>
      </c>
    </row>
    <row r="1199" customFormat="false" ht="14.25" hidden="false" customHeight="true" outlineLevel="0" collapsed="false">
      <c r="C1199" s="17" t="str">
        <f aca="false">IF(TRIM(B1199)="","",IFERROR(INDEX('Code Aliases'!$B:$B,MATCH(TRIM(B1199),'Code Aliases'!$A:$A,0)),TRIM(B1199)))</f>
        <v/>
      </c>
      <c r="I1199" s="67" t="str">
        <f aca="false">IF(TRIM(D1199)="","",UPPER(TRIM(D1199)))</f>
        <v/>
      </c>
      <c r="J1199" s="67" t="str">
        <f aca="false">IF(TRIM(E1199)="","",UPPER(TRIM(E1199)))</f>
        <v/>
      </c>
    </row>
    <row r="1200" customFormat="false" ht="14.25" hidden="false" customHeight="true" outlineLevel="0" collapsed="false">
      <c r="C1200" s="17" t="str">
        <f aca="false">IF(TRIM(B1200)="","",IFERROR(INDEX('Code Aliases'!$B:$B,MATCH(TRIM(B1200),'Code Aliases'!$A:$A,0)),TRIM(B1200)))</f>
        <v/>
      </c>
      <c r="I1200" s="67" t="str">
        <f aca="false">IF(TRIM(D1200)="","",UPPER(TRIM(D1200)))</f>
        <v/>
      </c>
      <c r="J1200" s="67" t="str">
        <f aca="false">IF(TRIM(E1200)="","",UPPER(TRIM(E1200)))</f>
        <v/>
      </c>
    </row>
    <row r="1201" customFormat="false" ht="14.25" hidden="false" customHeight="true" outlineLevel="0" collapsed="false">
      <c r="C1201" s="17" t="str">
        <f aca="false">IF(TRIM(B1201)="","",IFERROR(INDEX('Code Aliases'!$B:$B,MATCH(TRIM(B1201),'Code Aliases'!$A:$A,0)),TRIM(B1201)))</f>
        <v/>
      </c>
      <c r="I1201" s="67" t="str">
        <f aca="false">IF(TRIM(D1201)="","",UPPER(TRIM(D1201)))</f>
        <v/>
      </c>
      <c r="J1201" s="67" t="str">
        <f aca="false">IF(TRIM(E1201)="","",UPPER(TRIM(E1201)))</f>
        <v/>
      </c>
    </row>
    <row r="1202" customFormat="false" ht="14.25" hidden="false" customHeight="true" outlineLevel="0" collapsed="false">
      <c r="C1202" s="17" t="str">
        <f aca="false">IF(TRIM(B1202)="","",IFERROR(INDEX('Code Aliases'!$B:$B,MATCH(TRIM(B1202),'Code Aliases'!$A:$A,0)),TRIM(B1202)))</f>
        <v/>
      </c>
      <c r="I1202" s="67" t="str">
        <f aca="false">IF(TRIM(D1202)="","",UPPER(TRIM(D1202)))</f>
        <v/>
      </c>
      <c r="J1202" s="67" t="str">
        <f aca="false">IF(TRIM(E1202)="","",UPPER(TRIM(E1202)))</f>
        <v/>
      </c>
    </row>
    <row r="1203" customFormat="false" ht="14.25" hidden="false" customHeight="true" outlineLevel="0" collapsed="false">
      <c r="C1203" s="17" t="str">
        <f aca="false">IF(TRIM(B1203)="","",IFERROR(INDEX('Code Aliases'!$B:$B,MATCH(TRIM(B1203),'Code Aliases'!$A:$A,0)),TRIM(B1203)))</f>
        <v/>
      </c>
      <c r="I1203" s="67" t="str">
        <f aca="false">IF(TRIM(D1203)="","",UPPER(TRIM(D1203)))</f>
        <v/>
      </c>
      <c r="J1203" s="67" t="str">
        <f aca="false">IF(TRIM(E1203)="","",UPPER(TRIM(E1203)))</f>
        <v/>
      </c>
    </row>
    <row r="1204" customFormat="false" ht="14.25" hidden="false" customHeight="true" outlineLevel="0" collapsed="false">
      <c r="C1204" s="17" t="str">
        <f aca="false">IF(TRIM(B1204)="","",IFERROR(INDEX('Code Aliases'!$B:$B,MATCH(TRIM(B1204),'Code Aliases'!$A:$A,0)),TRIM(B1204)))</f>
        <v/>
      </c>
      <c r="I1204" s="67" t="str">
        <f aca="false">IF(TRIM(D1204)="","",UPPER(TRIM(D1204)))</f>
        <v/>
      </c>
      <c r="J1204" s="67" t="str">
        <f aca="false">IF(TRIM(E1204)="","",UPPER(TRIM(E1204)))</f>
        <v/>
      </c>
    </row>
    <row r="1205" customFormat="false" ht="14.25" hidden="false" customHeight="true" outlineLevel="0" collapsed="false">
      <c r="C1205" s="17" t="str">
        <f aca="false">IF(TRIM(B1205)="","",IFERROR(INDEX('Code Aliases'!$B:$B,MATCH(TRIM(B1205),'Code Aliases'!$A:$A,0)),TRIM(B1205)))</f>
        <v/>
      </c>
      <c r="I1205" s="67" t="str">
        <f aca="false">IF(TRIM(D1205)="","",UPPER(TRIM(D1205)))</f>
        <v/>
      </c>
      <c r="J1205" s="67" t="str">
        <f aca="false">IF(TRIM(E1205)="","",UPPER(TRIM(E1205)))</f>
        <v/>
      </c>
    </row>
    <row r="1206" customFormat="false" ht="14.25" hidden="false" customHeight="true" outlineLevel="0" collapsed="false">
      <c r="C1206" s="17" t="str">
        <f aca="false">IF(TRIM(B1206)="","",IFERROR(INDEX('Code Aliases'!$B:$B,MATCH(TRIM(B1206),'Code Aliases'!$A:$A,0)),TRIM(B1206)))</f>
        <v/>
      </c>
      <c r="I1206" s="67" t="str">
        <f aca="false">IF(TRIM(D1206)="","",UPPER(TRIM(D1206)))</f>
        <v/>
      </c>
      <c r="J1206" s="67" t="str">
        <f aca="false">IF(TRIM(E1206)="","",UPPER(TRIM(E1206)))</f>
        <v/>
      </c>
    </row>
    <row r="1207" customFormat="false" ht="14.25" hidden="false" customHeight="true" outlineLevel="0" collapsed="false">
      <c r="C1207" s="17" t="str">
        <f aca="false">IF(TRIM(B1207)="","",IFERROR(INDEX('Code Aliases'!$B:$B,MATCH(TRIM(B1207),'Code Aliases'!$A:$A,0)),TRIM(B1207)))</f>
        <v/>
      </c>
      <c r="I1207" s="67" t="str">
        <f aca="false">IF(TRIM(D1207)="","",UPPER(TRIM(D1207)))</f>
        <v/>
      </c>
      <c r="J1207" s="67" t="str">
        <f aca="false">IF(TRIM(E1207)="","",UPPER(TRIM(E1207)))</f>
        <v/>
      </c>
    </row>
    <row r="1208" customFormat="false" ht="14.25" hidden="false" customHeight="true" outlineLevel="0" collapsed="false">
      <c r="C1208" s="17" t="str">
        <f aca="false">IF(TRIM(B1208)="","",IFERROR(INDEX('Code Aliases'!$B:$B,MATCH(TRIM(B1208),'Code Aliases'!$A:$A,0)),TRIM(B1208)))</f>
        <v/>
      </c>
      <c r="I1208" s="67" t="str">
        <f aca="false">IF(TRIM(D1208)="","",UPPER(TRIM(D1208)))</f>
        <v/>
      </c>
      <c r="J1208" s="67" t="str">
        <f aca="false">IF(TRIM(E1208)="","",UPPER(TRIM(E1208)))</f>
        <v/>
      </c>
    </row>
    <row r="1209" customFormat="false" ht="14.25" hidden="false" customHeight="true" outlineLevel="0" collapsed="false">
      <c r="C1209" s="17" t="str">
        <f aca="false">IF(TRIM(B1209)="","",IFERROR(INDEX('Code Aliases'!$B:$B,MATCH(TRIM(B1209),'Code Aliases'!$A:$A,0)),TRIM(B1209)))</f>
        <v/>
      </c>
      <c r="I1209" s="67" t="str">
        <f aca="false">IF(TRIM(D1209)="","",UPPER(TRIM(D1209)))</f>
        <v/>
      </c>
      <c r="J1209" s="67" t="str">
        <f aca="false">IF(TRIM(E1209)="","",UPPER(TRIM(E1209)))</f>
        <v/>
      </c>
    </row>
    <row r="1210" customFormat="false" ht="14.25" hidden="false" customHeight="true" outlineLevel="0" collapsed="false">
      <c r="C1210" s="17" t="str">
        <f aca="false">IF(TRIM(B1210)="","",IFERROR(INDEX('Code Aliases'!$B:$B,MATCH(TRIM(B1210),'Code Aliases'!$A:$A,0)),TRIM(B1210)))</f>
        <v/>
      </c>
      <c r="I1210" s="67" t="str">
        <f aca="false">IF(TRIM(D1210)="","",UPPER(TRIM(D1210)))</f>
        <v/>
      </c>
      <c r="J1210" s="67" t="str">
        <f aca="false">IF(TRIM(E1210)="","",UPPER(TRIM(E1210)))</f>
        <v/>
      </c>
    </row>
    <row r="1211" customFormat="false" ht="14.25" hidden="false" customHeight="true" outlineLevel="0" collapsed="false">
      <c r="C1211" s="17" t="str">
        <f aca="false">IF(TRIM(B1211)="","",IFERROR(INDEX('Code Aliases'!$B:$B,MATCH(TRIM(B1211),'Code Aliases'!$A:$A,0)),TRIM(B1211)))</f>
        <v/>
      </c>
      <c r="I1211" s="67" t="str">
        <f aca="false">IF(TRIM(D1211)="","",UPPER(TRIM(D1211)))</f>
        <v/>
      </c>
      <c r="J1211" s="67" t="str">
        <f aca="false">IF(TRIM(E1211)="","",UPPER(TRIM(E1211)))</f>
        <v/>
      </c>
    </row>
    <row r="1212" customFormat="false" ht="14.25" hidden="false" customHeight="true" outlineLevel="0" collapsed="false">
      <c r="C1212" s="17" t="str">
        <f aca="false">IF(TRIM(B1212)="","",IFERROR(INDEX('Code Aliases'!$B:$B,MATCH(TRIM(B1212),'Code Aliases'!$A:$A,0)),TRIM(B1212)))</f>
        <v/>
      </c>
      <c r="I1212" s="67" t="str">
        <f aca="false">IF(TRIM(D1212)="","",UPPER(TRIM(D1212)))</f>
        <v/>
      </c>
      <c r="J1212" s="67" t="str">
        <f aca="false">IF(TRIM(E1212)="","",UPPER(TRIM(E1212)))</f>
        <v/>
      </c>
    </row>
    <row r="1213" customFormat="false" ht="14.25" hidden="false" customHeight="true" outlineLevel="0" collapsed="false">
      <c r="C1213" s="17" t="str">
        <f aca="false">IF(TRIM(B1213)="","",IFERROR(INDEX('Code Aliases'!$B:$B,MATCH(TRIM(B1213),'Code Aliases'!$A:$A,0)),TRIM(B1213)))</f>
        <v/>
      </c>
      <c r="I1213" s="67" t="str">
        <f aca="false">IF(TRIM(D1213)="","",UPPER(TRIM(D1213)))</f>
        <v/>
      </c>
      <c r="J1213" s="67" t="str">
        <f aca="false">IF(TRIM(E1213)="","",UPPER(TRIM(E1213)))</f>
        <v/>
      </c>
    </row>
    <row r="1214" customFormat="false" ht="14.25" hidden="false" customHeight="true" outlineLevel="0" collapsed="false">
      <c r="C1214" s="17" t="str">
        <f aca="false">IF(TRIM(B1214)="","",IFERROR(INDEX('Code Aliases'!$B:$B,MATCH(TRIM(B1214),'Code Aliases'!$A:$A,0)),TRIM(B1214)))</f>
        <v/>
      </c>
      <c r="I1214" s="67" t="str">
        <f aca="false">IF(TRIM(D1214)="","",UPPER(TRIM(D1214)))</f>
        <v/>
      </c>
      <c r="J1214" s="67" t="str">
        <f aca="false">IF(TRIM(E1214)="","",UPPER(TRIM(E1214)))</f>
        <v/>
      </c>
    </row>
    <row r="1215" customFormat="false" ht="14.25" hidden="false" customHeight="true" outlineLevel="0" collapsed="false">
      <c r="C1215" s="17" t="str">
        <f aca="false">IF(TRIM(B1215)="","",IFERROR(INDEX('Code Aliases'!$B:$B,MATCH(TRIM(B1215),'Code Aliases'!$A:$A,0)),TRIM(B1215)))</f>
        <v/>
      </c>
      <c r="I1215" s="67" t="str">
        <f aca="false">IF(TRIM(D1215)="","",UPPER(TRIM(D1215)))</f>
        <v/>
      </c>
      <c r="J1215" s="67" t="str">
        <f aca="false">IF(TRIM(E1215)="","",UPPER(TRIM(E1215)))</f>
        <v/>
      </c>
    </row>
    <row r="1216" customFormat="false" ht="14.25" hidden="false" customHeight="true" outlineLevel="0" collapsed="false">
      <c r="C1216" s="17" t="str">
        <f aca="false">IF(TRIM(B1216)="","",IFERROR(INDEX('Code Aliases'!$B:$B,MATCH(TRIM(B1216),'Code Aliases'!$A:$A,0)),TRIM(B1216)))</f>
        <v/>
      </c>
      <c r="I1216" s="67" t="str">
        <f aca="false">IF(TRIM(D1216)="","",UPPER(TRIM(D1216)))</f>
        <v/>
      </c>
      <c r="J1216" s="67" t="str">
        <f aca="false">IF(TRIM(E1216)="","",UPPER(TRIM(E1216)))</f>
        <v/>
      </c>
    </row>
    <row r="1217" customFormat="false" ht="14.25" hidden="false" customHeight="true" outlineLevel="0" collapsed="false">
      <c r="C1217" s="17" t="str">
        <f aca="false">IF(TRIM(B1217)="","",IFERROR(INDEX('Code Aliases'!$B:$B,MATCH(TRIM(B1217),'Code Aliases'!$A:$A,0)),TRIM(B1217)))</f>
        <v/>
      </c>
      <c r="I1217" s="67" t="str">
        <f aca="false">IF(TRIM(D1217)="","",UPPER(TRIM(D1217)))</f>
        <v/>
      </c>
      <c r="J1217" s="67" t="str">
        <f aca="false">IF(TRIM(E1217)="","",UPPER(TRIM(E1217)))</f>
        <v/>
      </c>
    </row>
    <row r="1218" customFormat="false" ht="14.25" hidden="false" customHeight="true" outlineLevel="0" collapsed="false">
      <c r="C1218" s="17" t="str">
        <f aca="false">IF(TRIM(B1218)="","",IFERROR(INDEX('Code Aliases'!$B:$B,MATCH(TRIM(B1218),'Code Aliases'!$A:$A,0)),TRIM(B1218)))</f>
        <v/>
      </c>
      <c r="I1218" s="67" t="str">
        <f aca="false">IF(TRIM(D1218)="","",UPPER(TRIM(D1218)))</f>
        <v/>
      </c>
      <c r="J1218" s="67" t="str">
        <f aca="false">IF(TRIM(E1218)="","",UPPER(TRIM(E1218)))</f>
        <v/>
      </c>
    </row>
    <row r="1219" customFormat="false" ht="14.25" hidden="false" customHeight="true" outlineLevel="0" collapsed="false">
      <c r="C1219" s="17" t="str">
        <f aca="false">IF(TRIM(B1219)="","",IFERROR(INDEX('Code Aliases'!$B:$B,MATCH(TRIM(B1219),'Code Aliases'!$A:$A,0)),TRIM(B1219)))</f>
        <v/>
      </c>
      <c r="I1219" s="67" t="str">
        <f aca="false">IF(TRIM(D1219)="","",UPPER(TRIM(D1219)))</f>
        <v/>
      </c>
      <c r="J1219" s="67" t="str">
        <f aca="false">IF(TRIM(E1219)="","",UPPER(TRIM(E1219)))</f>
        <v/>
      </c>
    </row>
    <row r="1220" customFormat="false" ht="14.25" hidden="false" customHeight="true" outlineLevel="0" collapsed="false">
      <c r="C1220" s="17" t="str">
        <f aca="false">IF(TRIM(B1220)="","",IFERROR(INDEX('Code Aliases'!$B:$B,MATCH(TRIM(B1220),'Code Aliases'!$A:$A,0)),TRIM(B1220)))</f>
        <v/>
      </c>
      <c r="I1220" s="67" t="str">
        <f aca="false">IF(TRIM(D1220)="","",UPPER(TRIM(D1220)))</f>
        <v/>
      </c>
      <c r="J1220" s="67" t="str">
        <f aca="false">IF(TRIM(E1220)="","",UPPER(TRIM(E1220)))</f>
        <v/>
      </c>
    </row>
    <row r="1221" customFormat="false" ht="14.25" hidden="false" customHeight="true" outlineLevel="0" collapsed="false">
      <c r="C1221" s="17" t="str">
        <f aca="false">IF(TRIM(B1221)="","",IFERROR(INDEX('Code Aliases'!$B:$B,MATCH(TRIM(B1221),'Code Aliases'!$A:$A,0)),TRIM(B1221)))</f>
        <v/>
      </c>
      <c r="I1221" s="67" t="str">
        <f aca="false">IF(TRIM(D1221)="","",UPPER(TRIM(D1221)))</f>
        <v/>
      </c>
      <c r="J1221" s="67" t="str">
        <f aca="false">IF(TRIM(E1221)="","",UPPER(TRIM(E1221)))</f>
        <v/>
      </c>
    </row>
    <row r="1222" customFormat="false" ht="14.25" hidden="false" customHeight="true" outlineLevel="0" collapsed="false">
      <c r="C1222" s="17" t="str">
        <f aca="false">IF(TRIM(B1222)="","",IFERROR(INDEX('Code Aliases'!$B:$B,MATCH(TRIM(B1222),'Code Aliases'!$A:$A,0)),TRIM(B1222)))</f>
        <v/>
      </c>
      <c r="I1222" s="67" t="str">
        <f aca="false">IF(TRIM(D1222)="","",UPPER(TRIM(D1222)))</f>
        <v/>
      </c>
      <c r="J1222" s="67" t="str">
        <f aca="false">IF(TRIM(E1222)="","",UPPER(TRIM(E1222)))</f>
        <v/>
      </c>
    </row>
    <row r="1223" customFormat="false" ht="14.25" hidden="false" customHeight="true" outlineLevel="0" collapsed="false">
      <c r="C1223" s="17" t="str">
        <f aca="false">IF(TRIM(B1223)="","",IFERROR(INDEX('Code Aliases'!$B:$B,MATCH(TRIM(B1223),'Code Aliases'!$A:$A,0)),TRIM(B1223)))</f>
        <v/>
      </c>
      <c r="I1223" s="67" t="str">
        <f aca="false">IF(TRIM(D1223)="","",UPPER(TRIM(D1223)))</f>
        <v/>
      </c>
      <c r="J1223" s="67" t="str">
        <f aca="false">IF(TRIM(E1223)="","",UPPER(TRIM(E1223)))</f>
        <v/>
      </c>
    </row>
    <row r="1224" customFormat="false" ht="14.25" hidden="false" customHeight="true" outlineLevel="0" collapsed="false">
      <c r="C1224" s="17" t="str">
        <f aca="false">IF(TRIM(B1224)="","",IFERROR(INDEX('Code Aliases'!$B:$B,MATCH(TRIM(B1224),'Code Aliases'!$A:$A,0)),TRIM(B1224)))</f>
        <v/>
      </c>
      <c r="I1224" s="67" t="str">
        <f aca="false">IF(TRIM(D1224)="","",UPPER(TRIM(D1224)))</f>
        <v/>
      </c>
      <c r="J1224" s="67" t="str">
        <f aca="false">IF(TRIM(E1224)="","",UPPER(TRIM(E1224)))</f>
        <v/>
      </c>
    </row>
    <row r="1225" customFormat="false" ht="14.25" hidden="false" customHeight="true" outlineLevel="0" collapsed="false">
      <c r="C1225" s="17" t="str">
        <f aca="false">IF(TRIM(B1225)="","",IFERROR(INDEX('Code Aliases'!$B:$B,MATCH(TRIM(B1225),'Code Aliases'!$A:$A,0)),TRIM(B1225)))</f>
        <v/>
      </c>
      <c r="I1225" s="67" t="str">
        <f aca="false">IF(TRIM(D1225)="","",UPPER(TRIM(D1225)))</f>
        <v/>
      </c>
      <c r="J1225" s="67" t="str">
        <f aca="false">IF(TRIM(E1225)="","",UPPER(TRIM(E1225)))</f>
        <v/>
      </c>
    </row>
    <row r="1226" customFormat="false" ht="14.25" hidden="false" customHeight="true" outlineLevel="0" collapsed="false">
      <c r="C1226" s="17" t="str">
        <f aca="false">IF(TRIM(B1226)="","",IFERROR(INDEX('Code Aliases'!$B:$B,MATCH(TRIM(B1226),'Code Aliases'!$A:$A,0)),TRIM(B1226)))</f>
        <v/>
      </c>
      <c r="I1226" s="67" t="str">
        <f aca="false">IF(TRIM(D1226)="","",UPPER(TRIM(D1226)))</f>
        <v/>
      </c>
      <c r="J1226" s="67" t="str">
        <f aca="false">IF(TRIM(E1226)="","",UPPER(TRIM(E1226)))</f>
        <v/>
      </c>
    </row>
    <row r="1227" customFormat="false" ht="14.25" hidden="false" customHeight="true" outlineLevel="0" collapsed="false">
      <c r="C1227" s="17" t="str">
        <f aca="false">IF(TRIM(B1227)="","",IFERROR(INDEX('Code Aliases'!$B:$B,MATCH(TRIM(B1227),'Code Aliases'!$A:$A,0)),TRIM(B1227)))</f>
        <v/>
      </c>
      <c r="I1227" s="67" t="str">
        <f aca="false">IF(TRIM(D1227)="","",UPPER(TRIM(D1227)))</f>
        <v/>
      </c>
      <c r="J1227" s="67" t="str">
        <f aca="false">IF(TRIM(E1227)="","",UPPER(TRIM(E1227)))</f>
        <v/>
      </c>
    </row>
    <row r="1228" customFormat="false" ht="14.25" hidden="false" customHeight="true" outlineLevel="0" collapsed="false">
      <c r="C1228" s="17" t="str">
        <f aca="false">IF(TRIM(B1228)="","",IFERROR(INDEX('Code Aliases'!$B:$B,MATCH(TRIM(B1228),'Code Aliases'!$A:$A,0)),TRIM(B1228)))</f>
        <v/>
      </c>
      <c r="I1228" s="67" t="str">
        <f aca="false">IF(TRIM(D1228)="","",UPPER(TRIM(D1228)))</f>
        <v/>
      </c>
      <c r="J1228" s="67" t="str">
        <f aca="false">IF(TRIM(E1228)="","",UPPER(TRIM(E1228)))</f>
        <v/>
      </c>
    </row>
    <row r="1229" customFormat="false" ht="14.25" hidden="false" customHeight="true" outlineLevel="0" collapsed="false">
      <c r="C1229" s="17" t="str">
        <f aca="false">IF(TRIM(B1229)="","",IFERROR(INDEX('Code Aliases'!$B:$B,MATCH(TRIM(B1229),'Code Aliases'!$A:$A,0)),TRIM(B1229)))</f>
        <v/>
      </c>
      <c r="I1229" s="67" t="str">
        <f aca="false">IF(TRIM(D1229)="","",UPPER(TRIM(D1229)))</f>
        <v/>
      </c>
      <c r="J1229" s="67" t="str">
        <f aca="false">IF(TRIM(E1229)="","",UPPER(TRIM(E1229)))</f>
        <v/>
      </c>
    </row>
    <row r="1230" customFormat="false" ht="14.25" hidden="false" customHeight="true" outlineLevel="0" collapsed="false">
      <c r="C1230" s="17" t="str">
        <f aca="false">IF(TRIM(B1230)="","",IFERROR(INDEX('Code Aliases'!$B:$B,MATCH(TRIM(B1230),'Code Aliases'!$A:$A,0)),TRIM(B1230)))</f>
        <v/>
      </c>
      <c r="I1230" s="67" t="str">
        <f aca="false">IF(TRIM(D1230)="","",UPPER(TRIM(D1230)))</f>
        <v/>
      </c>
      <c r="J1230" s="67" t="str">
        <f aca="false">IF(TRIM(E1230)="","",UPPER(TRIM(E1230)))</f>
        <v/>
      </c>
    </row>
    <row r="1231" customFormat="false" ht="14.25" hidden="false" customHeight="true" outlineLevel="0" collapsed="false">
      <c r="C1231" s="17" t="str">
        <f aca="false">IF(TRIM(B1231)="","",IFERROR(INDEX('Code Aliases'!$B:$B,MATCH(TRIM(B1231),'Code Aliases'!$A:$A,0)),TRIM(B1231)))</f>
        <v/>
      </c>
      <c r="I1231" s="67" t="str">
        <f aca="false">IF(TRIM(D1231)="","",UPPER(TRIM(D1231)))</f>
        <v/>
      </c>
      <c r="J1231" s="67" t="str">
        <f aca="false">IF(TRIM(E1231)="","",UPPER(TRIM(E1231)))</f>
        <v/>
      </c>
    </row>
    <row r="1232" customFormat="false" ht="14.25" hidden="false" customHeight="true" outlineLevel="0" collapsed="false">
      <c r="C1232" s="17" t="str">
        <f aca="false">IF(TRIM(B1232)="","",IFERROR(INDEX('Code Aliases'!$B:$B,MATCH(TRIM(B1232),'Code Aliases'!$A:$A,0)),TRIM(B1232)))</f>
        <v/>
      </c>
      <c r="I1232" s="67" t="str">
        <f aca="false">IF(TRIM(D1232)="","",UPPER(TRIM(D1232)))</f>
        <v/>
      </c>
      <c r="J1232" s="67" t="str">
        <f aca="false">IF(TRIM(E1232)="","",UPPER(TRIM(E1232)))</f>
        <v/>
      </c>
    </row>
    <row r="1233" customFormat="false" ht="14.25" hidden="false" customHeight="true" outlineLevel="0" collapsed="false">
      <c r="C1233" s="17" t="str">
        <f aca="false">IF(TRIM(B1233)="","",IFERROR(INDEX('Code Aliases'!$B:$B,MATCH(TRIM(B1233),'Code Aliases'!$A:$A,0)),TRIM(B1233)))</f>
        <v/>
      </c>
      <c r="I1233" s="67" t="str">
        <f aca="false">IF(TRIM(D1233)="","",UPPER(TRIM(D1233)))</f>
        <v/>
      </c>
      <c r="J1233" s="67" t="str">
        <f aca="false">IF(TRIM(E1233)="","",UPPER(TRIM(E1233)))</f>
        <v/>
      </c>
    </row>
    <row r="1234" customFormat="false" ht="14.25" hidden="false" customHeight="true" outlineLevel="0" collapsed="false">
      <c r="C1234" s="17" t="str">
        <f aca="false">IF(TRIM(B1234)="","",IFERROR(INDEX('Code Aliases'!$B:$B,MATCH(TRIM(B1234),'Code Aliases'!$A:$A,0)),TRIM(B1234)))</f>
        <v/>
      </c>
      <c r="I1234" s="67" t="str">
        <f aca="false">IF(TRIM(D1234)="","",UPPER(TRIM(D1234)))</f>
        <v/>
      </c>
      <c r="J1234" s="67" t="str">
        <f aca="false">IF(TRIM(E1234)="","",UPPER(TRIM(E1234)))</f>
        <v/>
      </c>
    </row>
    <row r="1235" customFormat="false" ht="14.25" hidden="false" customHeight="true" outlineLevel="0" collapsed="false">
      <c r="C1235" s="17" t="str">
        <f aca="false">IF(TRIM(B1235)="","",IFERROR(INDEX('Code Aliases'!$B:$B,MATCH(TRIM(B1235),'Code Aliases'!$A:$A,0)),TRIM(B1235)))</f>
        <v/>
      </c>
      <c r="I1235" s="67" t="str">
        <f aca="false">IF(TRIM(D1235)="","",UPPER(TRIM(D1235)))</f>
        <v/>
      </c>
      <c r="J1235" s="67" t="str">
        <f aca="false">IF(TRIM(E1235)="","",UPPER(TRIM(E1235)))</f>
        <v/>
      </c>
    </row>
    <row r="1236" customFormat="false" ht="14.25" hidden="false" customHeight="true" outlineLevel="0" collapsed="false">
      <c r="C1236" s="17" t="str">
        <f aca="false">IF(TRIM(B1236)="","",IFERROR(INDEX('Code Aliases'!$B:$B,MATCH(TRIM(B1236),'Code Aliases'!$A:$A,0)),TRIM(B1236)))</f>
        <v/>
      </c>
      <c r="I1236" s="67" t="str">
        <f aca="false">IF(TRIM(D1236)="","",UPPER(TRIM(D1236)))</f>
        <v/>
      </c>
      <c r="J1236" s="67" t="str">
        <f aca="false">IF(TRIM(E1236)="","",UPPER(TRIM(E1236)))</f>
        <v/>
      </c>
    </row>
    <row r="1237" customFormat="false" ht="14.25" hidden="false" customHeight="true" outlineLevel="0" collapsed="false">
      <c r="C1237" s="17" t="str">
        <f aca="false">IF(TRIM(B1237)="","",IFERROR(INDEX('Code Aliases'!$B:$B,MATCH(TRIM(B1237),'Code Aliases'!$A:$A,0)),TRIM(B1237)))</f>
        <v/>
      </c>
      <c r="I1237" s="67" t="str">
        <f aca="false">IF(TRIM(D1237)="","",UPPER(TRIM(D1237)))</f>
        <v/>
      </c>
      <c r="J1237" s="67" t="str">
        <f aca="false">IF(TRIM(E1237)="","",UPPER(TRIM(E1237)))</f>
        <v/>
      </c>
    </row>
    <row r="1238" customFormat="false" ht="14.25" hidden="false" customHeight="true" outlineLevel="0" collapsed="false">
      <c r="C1238" s="17" t="str">
        <f aca="false">IF(TRIM(B1238)="","",IFERROR(INDEX('Code Aliases'!$B:$B,MATCH(TRIM(B1238),'Code Aliases'!$A:$A,0)),TRIM(B1238)))</f>
        <v/>
      </c>
      <c r="I1238" s="67" t="str">
        <f aca="false">IF(TRIM(D1238)="","",UPPER(TRIM(D1238)))</f>
        <v/>
      </c>
      <c r="J1238" s="67" t="str">
        <f aca="false">IF(TRIM(E1238)="","",UPPER(TRIM(E1238)))</f>
        <v/>
      </c>
    </row>
    <row r="1239" customFormat="false" ht="14.25" hidden="false" customHeight="true" outlineLevel="0" collapsed="false">
      <c r="C1239" s="17" t="str">
        <f aca="false">IF(TRIM(B1239)="","",IFERROR(INDEX('Code Aliases'!$B:$B,MATCH(TRIM(B1239),'Code Aliases'!$A:$A,0)),TRIM(B1239)))</f>
        <v/>
      </c>
      <c r="I1239" s="67" t="str">
        <f aca="false">IF(TRIM(D1239)="","",UPPER(TRIM(D1239)))</f>
        <v/>
      </c>
      <c r="J1239" s="67" t="str">
        <f aca="false">IF(TRIM(E1239)="","",UPPER(TRIM(E1239)))</f>
        <v/>
      </c>
    </row>
    <row r="1240" customFormat="false" ht="14.25" hidden="false" customHeight="true" outlineLevel="0" collapsed="false">
      <c r="C1240" s="17" t="str">
        <f aca="false">IF(TRIM(B1240)="","",IFERROR(INDEX('Code Aliases'!$B:$B,MATCH(TRIM(B1240),'Code Aliases'!$A:$A,0)),TRIM(B1240)))</f>
        <v/>
      </c>
      <c r="I1240" s="67" t="str">
        <f aca="false">IF(TRIM(D1240)="","",UPPER(TRIM(D1240)))</f>
        <v/>
      </c>
      <c r="J1240" s="67" t="str">
        <f aca="false">IF(TRIM(E1240)="","",UPPER(TRIM(E1240)))</f>
        <v/>
      </c>
    </row>
    <row r="1241" customFormat="false" ht="14.25" hidden="false" customHeight="true" outlineLevel="0" collapsed="false">
      <c r="C1241" s="17" t="str">
        <f aca="false">IF(TRIM(B1241)="","",IFERROR(INDEX('Code Aliases'!$B:$B,MATCH(TRIM(B1241),'Code Aliases'!$A:$A,0)),TRIM(B1241)))</f>
        <v/>
      </c>
      <c r="I1241" s="67" t="str">
        <f aca="false">IF(TRIM(D1241)="","",UPPER(TRIM(D1241)))</f>
        <v/>
      </c>
      <c r="J1241" s="67" t="str">
        <f aca="false">IF(TRIM(E1241)="","",UPPER(TRIM(E1241)))</f>
        <v/>
      </c>
    </row>
    <row r="1242" customFormat="false" ht="14.25" hidden="false" customHeight="true" outlineLevel="0" collapsed="false">
      <c r="C1242" s="17" t="str">
        <f aca="false">IF(TRIM(B1242)="","",IFERROR(INDEX('Code Aliases'!$B:$B,MATCH(TRIM(B1242),'Code Aliases'!$A:$A,0)),TRIM(B1242)))</f>
        <v/>
      </c>
      <c r="I1242" s="67" t="str">
        <f aca="false">IF(TRIM(D1242)="","",UPPER(TRIM(D1242)))</f>
        <v/>
      </c>
      <c r="J1242" s="67" t="str">
        <f aca="false">IF(TRIM(E1242)="","",UPPER(TRIM(E1242)))</f>
        <v/>
      </c>
    </row>
    <row r="1243" customFormat="false" ht="14.25" hidden="false" customHeight="true" outlineLevel="0" collapsed="false">
      <c r="C1243" s="17" t="str">
        <f aca="false">IF(TRIM(B1243)="","",IFERROR(INDEX('Code Aliases'!$B:$B,MATCH(TRIM(B1243),'Code Aliases'!$A:$A,0)),TRIM(B1243)))</f>
        <v/>
      </c>
      <c r="I1243" s="67" t="str">
        <f aca="false">IF(TRIM(D1243)="","",UPPER(TRIM(D1243)))</f>
        <v/>
      </c>
      <c r="J1243" s="67" t="str">
        <f aca="false">IF(TRIM(E1243)="","",UPPER(TRIM(E1243)))</f>
        <v/>
      </c>
    </row>
    <row r="1244" customFormat="false" ht="14.25" hidden="false" customHeight="true" outlineLevel="0" collapsed="false">
      <c r="C1244" s="17" t="str">
        <f aca="false">IF(TRIM(B1244)="","",IFERROR(INDEX('Code Aliases'!$B:$B,MATCH(TRIM(B1244),'Code Aliases'!$A:$A,0)),TRIM(B1244)))</f>
        <v/>
      </c>
      <c r="I1244" s="67" t="str">
        <f aca="false">IF(TRIM(D1244)="","",UPPER(TRIM(D1244)))</f>
        <v/>
      </c>
      <c r="J1244" s="67" t="str">
        <f aca="false">IF(TRIM(E1244)="","",UPPER(TRIM(E1244)))</f>
        <v/>
      </c>
    </row>
    <row r="1245" customFormat="false" ht="14.25" hidden="false" customHeight="true" outlineLevel="0" collapsed="false">
      <c r="C1245" s="17" t="str">
        <f aca="false">IF(TRIM(B1245)="","",IFERROR(INDEX('Code Aliases'!$B:$B,MATCH(TRIM(B1245),'Code Aliases'!$A:$A,0)),TRIM(B1245)))</f>
        <v/>
      </c>
      <c r="I1245" s="67" t="str">
        <f aca="false">IF(TRIM(D1245)="","",UPPER(TRIM(D1245)))</f>
        <v/>
      </c>
      <c r="J1245" s="67" t="str">
        <f aca="false">IF(TRIM(E1245)="","",UPPER(TRIM(E1245)))</f>
        <v/>
      </c>
    </row>
    <row r="1246" customFormat="false" ht="14.25" hidden="false" customHeight="true" outlineLevel="0" collapsed="false">
      <c r="C1246" s="17" t="str">
        <f aca="false">IF(TRIM(B1246)="","",IFERROR(INDEX('Code Aliases'!$B:$B,MATCH(TRIM(B1246),'Code Aliases'!$A:$A,0)),TRIM(B1246)))</f>
        <v/>
      </c>
      <c r="I1246" s="67" t="str">
        <f aca="false">IF(TRIM(D1246)="","",UPPER(TRIM(D1246)))</f>
        <v/>
      </c>
      <c r="J1246" s="67" t="str">
        <f aca="false">IF(TRIM(E1246)="","",UPPER(TRIM(E1246)))</f>
        <v/>
      </c>
    </row>
    <row r="1247" customFormat="false" ht="14.25" hidden="false" customHeight="true" outlineLevel="0" collapsed="false">
      <c r="C1247" s="17" t="str">
        <f aca="false">IF(TRIM(B1247)="","",IFERROR(INDEX('Code Aliases'!$B:$B,MATCH(TRIM(B1247),'Code Aliases'!$A:$A,0)),TRIM(B1247)))</f>
        <v/>
      </c>
      <c r="I1247" s="67" t="str">
        <f aca="false">IF(TRIM(D1247)="","",UPPER(TRIM(D1247)))</f>
        <v/>
      </c>
      <c r="J1247" s="67" t="str">
        <f aca="false">IF(TRIM(E1247)="","",UPPER(TRIM(E1247)))</f>
        <v/>
      </c>
    </row>
    <row r="1248" customFormat="false" ht="14.25" hidden="false" customHeight="true" outlineLevel="0" collapsed="false">
      <c r="C1248" s="17" t="str">
        <f aca="false">IF(TRIM(B1248)="","",IFERROR(INDEX('Code Aliases'!$B:$B,MATCH(TRIM(B1248),'Code Aliases'!$A:$A,0)),TRIM(B1248)))</f>
        <v/>
      </c>
      <c r="I1248" s="67" t="str">
        <f aca="false">IF(TRIM(D1248)="","",UPPER(TRIM(D1248)))</f>
        <v/>
      </c>
      <c r="J1248" s="67" t="str">
        <f aca="false">IF(TRIM(E1248)="","",UPPER(TRIM(E1248)))</f>
        <v/>
      </c>
    </row>
    <row r="1249" customFormat="false" ht="14.25" hidden="false" customHeight="true" outlineLevel="0" collapsed="false">
      <c r="C1249" s="17" t="str">
        <f aca="false">IF(TRIM(B1249)="","",IFERROR(INDEX('Code Aliases'!$B:$B,MATCH(TRIM(B1249),'Code Aliases'!$A:$A,0)),TRIM(B1249)))</f>
        <v/>
      </c>
      <c r="I1249" s="67" t="str">
        <f aca="false">IF(TRIM(D1249)="","",UPPER(TRIM(D1249)))</f>
        <v/>
      </c>
      <c r="J1249" s="67" t="str">
        <f aca="false">IF(TRIM(E1249)="","",UPPER(TRIM(E1249)))</f>
        <v/>
      </c>
    </row>
    <row r="1250" customFormat="false" ht="14.25" hidden="false" customHeight="true" outlineLevel="0" collapsed="false">
      <c r="C1250" s="17" t="str">
        <f aca="false">IF(TRIM(B1250)="","",IFERROR(INDEX('Code Aliases'!$B:$B,MATCH(TRIM(B1250),'Code Aliases'!$A:$A,0)),TRIM(B1250)))</f>
        <v/>
      </c>
      <c r="I1250" s="67" t="str">
        <f aca="false">IF(TRIM(D1250)="","",UPPER(TRIM(D1250)))</f>
        <v/>
      </c>
      <c r="J1250" s="67" t="str">
        <f aca="false">IF(TRIM(E1250)="","",UPPER(TRIM(E1250)))</f>
        <v/>
      </c>
    </row>
    <row r="1251" customFormat="false" ht="14.25" hidden="false" customHeight="true" outlineLevel="0" collapsed="false">
      <c r="C1251" s="17" t="str">
        <f aca="false">IF(TRIM(B1251)="","",IFERROR(INDEX('Code Aliases'!$B:$B,MATCH(TRIM(B1251),'Code Aliases'!$A:$A,0)),TRIM(B1251)))</f>
        <v/>
      </c>
      <c r="I1251" s="67" t="str">
        <f aca="false">IF(TRIM(D1251)="","",UPPER(TRIM(D1251)))</f>
        <v/>
      </c>
      <c r="J1251" s="67" t="str">
        <f aca="false">IF(TRIM(E1251)="","",UPPER(TRIM(E1251)))</f>
        <v/>
      </c>
    </row>
    <row r="1252" customFormat="false" ht="14.25" hidden="false" customHeight="true" outlineLevel="0" collapsed="false">
      <c r="C1252" s="17" t="str">
        <f aca="false">IF(TRIM(B1252)="","",IFERROR(INDEX('Code Aliases'!$B:$B,MATCH(TRIM(B1252),'Code Aliases'!$A:$A,0)),TRIM(B1252)))</f>
        <v/>
      </c>
      <c r="I1252" s="67" t="str">
        <f aca="false">IF(TRIM(D1252)="","",UPPER(TRIM(D1252)))</f>
        <v/>
      </c>
      <c r="J1252" s="67" t="str">
        <f aca="false">IF(TRIM(E1252)="","",UPPER(TRIM(E1252)))</f>
        <v/>
      </c>
    </row>
    <row r="1253" customFormat="false" ht="14.25" hidden="false" customHeight="true" outlineLevel="0" collapsed="false">
      <c r="C1253" s="17" t="str">
        <f aca="false">IF(TRIM(B1253)="","",IFERROR(INDEX('Code Aliases'!$B:$B,MATCH(TRIM(B1253),'Code Aliases'!$A:$A,0)),TRIM(B1253)))</f>
        <v/>
      </c>
      <c r="I1253" s="67" t="str">
        <f aca="false">IF(TRIM(D1253)="","",UPPER(TRIM(D1253)))</f>
        <v/>
      </c>
      <c r="J1253" s="67" t="str">
        <f aca="false">IF(TRIM(E1253)="","",UPPER(TRIM(E1253)))</f>
        <v/>
      </c>
    </row>
    <row r="1254" customFormat="false" ht="14.25" hidden="false" customHeight="true" outlineLevel="0" collapsed="false">
      <c r="C1254" s="17" t="str">
        <f aca="false">IF(TRIM(B1254)="","",IFERROR(INDEX('Code Aliases'!$B:$B,MATCH(TRIM(B1254),'Code Aliases'!$A:$A,0)),TRIM(B1254)))</f>
        <v/>
      </c>
      <c r="I1254" s="67" t="str">
        <f aca="false">IF(TRIM(D1254)="","",UPPER(TRIM(D1254)))</f>
        <v/>
      </c>
      <c r="J1254" s="67" t="str">
        <f aca="false">IF(TRIM(E1254)="","",UPPER(TRIM(E1254)))</f>
        <v/>
      </c>
    </row>
    <row r="1255" customFormat="false" ht="14.25" hidden="false" customHeight="true" outlineLevel="0" collapsed="false">
      <c r="C1255" s="17" t="str">
        <f aca="false">IF(TRIM(B1255)="","",IFERROR(INDEX('Code Aliases'!$B:$B,MATCH(TRIM(B1255),'Code Aliases'!$A:$A,0)),TRIM(B1255)))</f>
        <v/>
      </c>
      <c r="I1255" s="67" t="str">
        <f aca="false">IF(TRIM(D1255)="","",UPPER(TRIM(D1255)))</f>
        <v/>
      </c>
      <c r="J1255" s="67" t="str">
        <f aca="false">IF(TRIM(E1255)="","",UPPER(TRIM(E1255)))</f>
        <v/>
      </c>
    </row>
    <row r="1256" customFormat="false" ht="14.25" hidden="false" customHeight="true" outlineLevel="0" collapsed="false">
      <c r="C1256" s="17" t="str">
        <f aca="false">IF(TRIM(B1256)="","",IFERROR(INDEX('Code Aliases'!$B:$B,MATCH(TRIM(B1256),'Code Aliases'!$A:$A,0)),TRIM(B1256)))</f>
        <v/>
      </c>
      <c r="I1256" s="67" t="str">
        <f aca="false">IF(TRIM(D1256)="","",UPPER(TRIM(D1256)))</f>
        <v/>
      </c>
      <c r="J1256" s="67" t="str">
        <f aca="false">IF(TRIM(E1256)="","",UPPER(TRIM(E1256)))</f>
        <v/>
      </c>
    </row>
    <row r="1257" customFormat="false" ht="14.25" hidden="false" customHeight="true" outlineLevel="0" collapsed="false">
      <c r="C1257" s="17" t="str">
        <f aca="false">IF(TRIM(B1257)="","",IFERROR(INDEX('Code Aliases'!$B:$B,MATCH(TRIM(B1257),'Code Aliases'!$A:$A,0)),TRIM(B1257)))</f>
        <v/>
      </c>
      <c r="I1257" s="67" t="str">
        <f aca="false">IF(TRIM(D1257)="","",UPPER(TRIM(D1257)))</f>
        <v/>
      </c>
      <c r="J1257" s="67" t="str">
        <f aca="false">IF(TRIM(E1257)="","",UPPER(TRIM(E1257)))</f>
        <v/>
      </c>
    </row>
    <row r="1258" customFormat="false" ht="14.25" hidden="false" customHeight="true" outlineLevel="0" collapsed="false">
      <c r="C1258" s="17" t="str">
        <f aca="false">IF(TRIM(B1258)="","",IFERROR(INDEX('Code Aliases'!$B:$B,MATCH(TRIM(B1258),'Code Aliases'!$A:$A,0)),TRIM(B1258)))</f>
        <v/>
      </c>
      <c r="I1258" s="67" t="str">
        <f aca="false">IF(TRIM(D1258)="","",UPPER(TRIM(D1258)))</f>
        <v/>
      </c>
      <c r="J1258" s="67" t="str">
        <f aca="false">IF(TRIM(E1258)="","",UPPER(TRIM(E1258)))</f>
        <v/>
      </c>
    </row>
    <row r="1259" customFormat="false" ht="14.25" hidden="false" customHeight="true" outlineLevel="0" collapsed="false">
      <c r="C1259" s="17" t="str">
        <f aca="false">IF(TRIM(B1259)="","",IFERROR(INDEX('Code Aliases'!$B:$B,MATCH(TRIM(B1259),'Code Aliases'!$A:$A,0)),TRIM(B1259)))</f>
        <v/>
      </c>
      <c r="I1259" s="67" t="str">
        <f aca="false">IF(TRIM(D1259)="","",UPPER(TRIM(D1259)))</f>
        <v/>
      </c>
      <c r="J1259" s="67" t="str">
        <f aca="false">IF(TRIM(E1259)="","",UPPER(TRIM(E1259)))</f>
        <v/>
      </c>
    </row>
    <row r="1260" customFormat="false" ht="14.25" hidden="false" customHeight="true" outlineLevel="0" collapsed="false">
      <c r="C1260" s="17" t="str">
        <f aca="false">IF(TRIM(B1260)="","",IFERROR(INDEX('Code Aliases'!$B:$B,MATCH(TRIM(B1260),'Code Aliases'!$A:$A,0)),TRIM(B1260)))</f>
        <v/>
      </c>
      <c r="I1260" s="67" t="str">
        <f aca="false">IF(TRIM(D1260)="","",UPPER(TRIM(D1260)))</f>
        <v/>
      </c>
      <c r="J1260" s="67" t="str">
        <f aca="false">IF(TRIM(E1260)="","",UPPER(TRIM(E1260)))</f>
        <v/>
      </c>
    </row>
    <row r="1261" customFormat="false" ht="14.25" hidden="false" customHeight="true" outlineLevel="0" collapsed="false">
      <c r="C1261" s="17" t="str">
        <f aca="false">IF(TRIM(B1261)="","",IFERROR(INDEX('Code Aliases'!$B:$B,MATCH(TRIM(B1261),'Code Aliases'!$A:$A,0)),TRIM(B1261)))</f>
        <v/>
      </c>
      <c r="I1261" s="67" t="str">
        <f aca="false">IF(TRIM(D1261)="","",UPPER(TRIM(D1261)))</f>
        <v/>
      </c>
      <c r="J1261" s="67" t="str">
        <f aca="false">IF(TRIM(E1261)="","",UPPER(TRIM(E1261)))</f>
        <v/>
      </c>
    </row>
    <row r="1262" customFormat="false" ht="14.25" hidden="false" customHeight="true" outlineLevel="0" collapsed="false">
      <c r="C1262" s="17" t="str">
        <f aca="false">IF(TRIM(B1262)="","",IFERROR(INDEX('Code Aliases'!$B:$B,MATCH(TRIM(B1262),'Code Aliases'!$A:$A,0)),TRIM(B1262)))</f>
        <v/>
      </c>
      <c r="I1262" s="67" t="str">
        <f aca="false">IF(TRIM(D1262)="","",UPPER(TRIM(D1262)))</f>
        <v/>
      </c>
      <c r="J1262" s="67" t="str">
        <f aca="false">IF(TRIM(E1262)="","",UPPER(TRIM(E1262)))</f>
        <v/>
      </c>
    </row>
    <row r="1263" customFormat="false" ht="14.25" hidden="false" customHeight="true" outlineLevel="0" collapsed="false">
      <c r="C1263" s="17" t="str">
        <f aca="false">IF(TRIM(B1263)="","",IFERROR(INDEX('Code Aliases'!$B:$B,MATCH(TRIM(B1263),'Code Aliases'!$A:$A,0)),TRIM(B1263)))</f>
        <v/>
      </c>
      <c r="I1263" s="67" t="str">
        <f aca="false">IF(TRIM(D1263)="","",UPPER(TRIM(D1263)))</f>
        <v/>
      </c>
      <c r="J1263" s="67" t="str">
        <f aca="false">IF(TRIM(E1263)="","",UPPER(TRIM(E1263)))</f>
        <v/>
      </c>
    </row>
    <row r="1264" customFormat="false" ht="14.25" hidden="false" customHeight="true" outlineLevel="0" collapsed="false">
      <c r="C1264" s="17" t="str">
        <f aca="false">IF(TRIM(B1264)="","",IFERROR(INDEX('Code Aliases'!$B:$B,MATCH(TRIM(B1264),'Code Aliases'!$A:$A,0)),TRIM(B1264)))</f>
        <v/>
      </c>
      <c r="I1264" s="67" t="str">
        <f aca="false">IF(TRIM(D1264)="","",UPPER(TRIM(D1264)))</f>
        <v/>
      </c>
      <c r="J1264" s="67" t="str">
        <f aca="false">IF(TRIM(E1264)="","",UPPER(TRIM(E1264)))</f>
        <v/>
      </c>
    </row>
    <row r="1265" customFormat="false" ht="14.25" hidden="false" customHeight="true" outlineLevel="0" collapsed="false">
      <c r="C1265" s="17" t="str">
        <f aca="false">IF(TRIM(B1265)="","",IFERROR(INDEX('Code Aliases'!$B:$B,MATCH(TRIM(B1265),'Code Aliases'!$A:$A,0)),TRIM(B1265)))</f>
        <v/>
      </c>
      <c r="I1265" s="67" t="str">
        <f aca="false">IF(TRIM(D1265)="","",UPPER(TRIM(D1265)))</f>
        <v/>
      </c>
      <c r="J1265" s="67" t="str">
        <f aca="false">IF(TRIM(E1265)="","",UPPER(TRIM(E1265)))</f>
        <v/>
      </c>
    </row>
    <row r="1266" customFormat="false" ht="14.25" hidden="false" customHeight="true" outlineLevel="0" collapsed="false">
      <c r="C1266" s="17" t="str">
        <f aca="false">IF(TRIM(B1266)="","",IFERROR(INDEX('Code Aliases'!$B:$B,MATCH(TRIM(B1266),'Code Aliases'!$A:$A,0)),TRIM(B1266)))</f>
        <v/>
      </c>
      <c r="I1266" s="67" t="str">
        <f aca="false">IF(TRIM(D1266)="","",UPPER(TRIM(D1266)))</f>
        <v/>
      </c>
      <c r="J1266" s="67" t="str">
        <f aca="false">IF(TRIM(E1266)="","",UPPER(TRIM(E1266)))</f>
        <v/>
      </c>
    </row>
    <row r="1267" customFormat="false" ht="14.25" hidden="false" customHeight="true" outlineLevel="0" collapsed="false">
      <c r="C1267" s="17" t="str">
        <f aca="false">IF(TRIM(B1267)="","",IFERROR(INDEX('Code Aliases'!$B:$B,MATCH(TRIM(B1267),'Code Aliases'!$A:$A,0)),TRIM(B1267)))</f>
        <v/>
      </c>
      <c r="I1267" s="67" t="str">
        <f aca="false">IF(TRIM(D1267)="","",UPPER(TRIM(D1267)))</f>
        <v/>
      </c>
      <c r="J1267" s="67" t="str">
        <f aca="false">IF(TRIM(E1267)="","",UPPER(TRIM(E1267)))</f>
        <v/>
      </c>
    </row>
    <row r="1268" customFormat="false" ht="14.25" hidden="false" customHeight="true" outlineLevel="0" collapsed="false">
      <c r="C1268" s="17" t="str">
        <f aca="false">IF(TRIM(B1268)="","",IFERROR(INDEX('Code Aliases'!$B:$B,MATCH(TRIM(B1268),'Code Aliases'!$A:$A,0)),TRIM(B1268)))</f>
        <v/>
      </c>
      <c r="I1268" s="67" t="str">
        <f aca="false">IF(TRIM(D1268)="","",UPPER(TRIM(D1268)))</f>
        <v/>
      </c>
      <c r="J1268" s="67" t="str">
        <f aca="false">IF(TRIM(E1268)="","",UPPER(TRIM(E1268)))</f>
        <v/>
      </c>
    </row>
    <row r="1269" customFormat="false" ht="14.25" hidden="false" customHeight="true" outlineLevel="0" collapsed="false">
      <c r="C1269" s="17" t="str">
        <f aca="false">IF(TRIM(B1269)="","",IFERROR(INDEX('Code Aliases'!$B:$B,MATCH(TRIM(B1269),'Code Aliases'!$A:$A,0)),TRIM(B1269)))</f>
        <v/>
      </c>
      <c r="I1269" s="67" t="str">
        <f aca="false">IF(TRIM(D1269)="","",UPPER(TRIM(D1269)))</f>
        <v/>
      </c>
      <c r="J1269" s="67" t="str">
        <f aca="false">IF(TRIM(E1269)="","",UPPER(TRIM(E1269)))</f>
        <v/>
      </c>
    </row>
    <row r="1270" customFormat="false" ht="14.25" hidden="false" customHeight="true" outlineLevel="0" collapsed="false">
      <c r="C1270" s="17" t="str">
        <f aca="false">IF(TRIM(B1270)="","",IFERROR(INDEX('Code Aliases'!$B:$B,MATCH(TRIM(B1270),'Code Aliases'!$A:$A,0)),TRIM(B1270)))</f>
        <v/>
      </c>
      <c r="I1270" s="67" t="str">
        <f aca="false">IF(TRIM(D1270)="","",UPPER(TRIM(D1270)))</f>
        <v/>
      </c>
      <c r="J1270" s="67" t="str">
        <f aca="false">IF(TRIM(E1270)="","",UPPER(TRIM(E1270)))</f>
        <v/>
      </c>
    </row>
    <row r="1271" customFormat="false" ht="14.25" hidden="false" customHeight="true" outlineLevel="0" collapsed="false">
      <c r="C1271" s="17" t="str">
        <f aca="false">IF(TRIM(B1271)="","",IFERROR(INDEX('Code Aliases'!$B:$B,MATCH(TRIM(B1271),'Code Aliases'!$A:$A,0)),TRIM(B1271)))</f>
        <v/>
      </c>
      <c r="I1271" s="67" t="str">
        <f aca="false">IF(TRIM(D1271)="","",UPPER(TRIM(D1271)))</f>
        <v/>
      </c>
      <c r="J1271" s="67" t="str">
        <f aca="false">IF(TRIM(E1271)="","",UPPER(TRIM(E1271)))</f>
        <v/>
      </c>
    </row>
    <row r="1272" customFormat="false" ht="14.25" hidden="false" customHeight="true" outlineLevel="0" collapsed="false">
      <c r="C1272" s="17" t="str">
        <f aca="false">IF(TRIM(B1272)="","",IFERROR(INDEX('Code Aliases'!$B:$B,MATCH(TRIM(B1272),'Code Aliases'!$A:$A,0)),TRIM(B1272)))</f>
        <v/>
      </c>
      <c r="I1272" s="67" t="str">
        <f aca="false">IF(TRIM(D1272)="","",UPPER(TRIM(D1272)))</f>
        <v/>
      </c>
      <c r="J1272" s="67" t="str">
        <f aca="false">IF(TRIM(E1272)="","",UPPER(TRIM(E1272)))</f>
        <v/>
      </c>
    </row>
    <row r="1273" customFormat="false" ht="14.25" hidden="false" customHeight="true" outlineLevel="0" collapsed="false">
      <c r="C1273" s="17" t="str">
        <f aca="false">IF(TRIM(B1273)="","",IFERROR(INDEX('Code Aliases'!$B:$B,MATCH(TRIM(B1273),'Code Aliases'!$A:$A,0)),TRIM(B1273)))</f>
        <v/>
      </c>
      <c r="I1273" s="67" t="str">
        <f aca="false">IF(TRIM(D1273)="","",UPPER(TRIM(D1273)))</f>
        <v/>
      </c>
      <c r="J1273" s="67" t="str">
        <f aca="false">IF(TRIM(E1273)="","",UPPER(TRIM(E1273)))</f>
        <v/>
      </c>
    </row>
    <row r="1274" customFormat="false" ht="14.25" hidden="false" customHeight="true" outlineLevel="0" collapsed="false">
      <c r="C1274" s="17" t="str">
        <f aca="false">IF(TRIM(B1274)="","",IFERROR(INDEX('Code Aliases'!$B:$B,MATCH(TRIM(B1274),'Code Aliases'!$A:$A,0)),TRIM(B1274)))</f>
        <v/>
      </c>
      <c r="I1274" s="67" t="str">
        <f aca="false">IF(TRIM(D1274)="","",UPPER(TRIM(D1274)))</f>
        <v/>
      </c>
      <c r="J1274" s="67" t="str">
        <f aca="false">IF(TRIM(E1274)="","",UPPER(TRIM(E1274)))</f>
        <v/>
      </c>
    </row>
    <row r="1275" customFormat="false" ht="14.25" hidden="false" customHeight="true" outlineLevel="0" collapsed="false">
      <c r="C1275" s="17" t="str">
        <f aca="false">IF(TRIM(B1275)="","",IFERROR(INDEX('Code Aliases'!$B:$B,MATCH(TRIM(B1275),'Code Aliases'!$A:$A,0)),TRIM(B1275)))</f>
        <v/>
      </c>
      <c r="I1275" s="67" t="str">
        <f aca="false">IF(TRIM(D1275)="","",UPPER(TRIM(D1275)))</f>
        <v/>
      </c>
      <c r="J1275" s="67" t="str">
        <f aca="false">IF(TRIM(E1275)="","",UPPER(TRIM(E1275)))</f>
        <v/>
      </c>
    </row>
    <row r="1276" customFormat="false" ht="14.25" hidden="false" customHeight="true" outlineLevel="0" collapsed="false">
      <c r="C1276" s="17" t="str">
        <f aca="false">IF(TRIM(B1276)="","",IFERROR(INDEX('Code Aliases'!$B:$B,MATCH(TRIM(B1276),'Code Aliases'!$A:$A,0)),TRIM(B1276)))</f>
        <v/>
      </c>
      <c r="I1276" s="67" t="str">
        <f aca="false">IF(TRIM(D1276)="","",UPPER(TRIM(D1276)))</f>
        <v/>
      </c>
      <c r="J1276" s="67" t="str">
        <f aca="false">IF(TRIM(E1276)="","",UPPER(TRIM(E1276)))</f>
        <v/>
      </c>
    </row>
    <row r="1277" customFormat="false" ht="14.25" hidden="false" customHeight="true" outlineLevel="0" collapsed="false">
      <c r="C1277" s="17" t="str">
        <f aca="false">IF(TRIM(B1277)="","",IFERROR(INDEX('Code Aliases'!$B:$B,MATCH(TRIM(B1277),'Code Aliases'!$A:$A,0)),TRIM(B1277)))</f>
        <v/>
      </c>
      <c r="I1277" s="67" t="str">
        <f aca="false">IF(TRIM(D1277)="","",UPPER(TRIM(D1277)))</f>
        <v/>
      </c>
      <c r="J1277" s="67" t="str">
        <f aca="false">IF(TRIM(E1277)="","",UPPER(TRIM(E1277)))</f>
        <v/>
      </c>
    </row>
    <row r="1278" customFormat="false" ht="14.25" hidden="false" customHeight="true" outlineLevel="0" collapsed="false">
      <c r="C1278" s="17" t="str">
        <f aca="false">IF(TRIM(B1278)="","",IFERROR(INDEX('Code Aliases'!$B:$B,MATCH(TRIM(B1278),'Code Aliases'!$A:$A,0)),TRIM(B1278)))</f>
        <v/>
      </c>
      <c r="I1278" s="67" t="str">
        <f aca="false">IF(TRIM(D1278)="","",UPPER(TRIM(D1278)))</f>
        <v/>
      </c>
      <c r="J1278" s="67" t="str">
        <f aca="false">IF(TRIM(E1278)="","",UPPER(TRIM(E1278)))</f>
        <v/>
      </c>
    </row>
    <row r="1279" customFormat="false" ht="14.25" hidden="false" customHeight="true" outlineLevel="0" collapsed="false">
      <c r="C1279" s="17" t="str">
        <f aca="false">IF(TRIM(B1279)="","",IFERROR(INDEX('Code Aliases'!$B:$B,MATCH(TRIM(B1279),'Code Aliases'!$A:$A,0)),TRIM(B1279)))</f>
        <v/>
      </c>
      <c r="I1279" s="67" t="str">
        <f aca="false">IF(TRIM(D1279)="","",UPPER(TRIM(D1279)))</f>
        <v/>
      </c>
      <c r="J1279" s="67" t="str">
        <f aca="false">IF(TRIM(E1279)="","",UPPER(TRIM(E1279)))</f>
        <v/>
      </c>
    </row>
    <row r="1280" customFormat="false" ht="14.25" hidden="false" customHeight="true" outlineLevel="0" collapsed="false">
      <c r="C1280" s="17" t="str">
        <f aca="false">IF(TRIM(B1280)="","",IFERROR(INDEX('Code Aliases'!$B:$B,MATCH(TRIM(B1280),'Code Aliases'!$A:$A,0)),TRIM(B1280)))</f>
        <v/>
      </c>
      <c r="I1280" s="67" t="str">
        <f aca="false">IF(TRIM(D1280)="","",UPPER(TRIM(D1280)))</f>
        <v/>
      </c>
      <c r="J1280" s="67" t="str">
        <f aca="false">IF(TRIM(E1280)="","",UPPER(TRIM(E1280)))</f>
        <v/>
      </c>
    </row>
    <row r="1281" customFormat="false" ht="14.25" hidden="false" customHeight="true" outlineLevel="0" collapsed="false">
      <c r="C1281" s="17" t="str">
        <f aca="false">IF(TRIM(B1281)="","",IFERROR(INDEX('Code Aliases'!$B:$B,MATCH(TRIM(B1281),'Code Aliases'!$A:$A,0)),TRIM(B1281)))</f>
        <v/>
      </c>
      <c r="I1281" s="67" t="str">
        <f aca="false">IF(TRIM(D1281)="","",UPPER(TRIM(D1281)))</f>
        <v/>
      </c>
      <c r="J1281" s="67" t="str">
        <f aca="false">IF(TRIM(E1281)="","",UPPER(TRIM(E1281)))</f>
        <v/>
      </c>
    </row>
    <row r="1282" customFormat="false" ht="14.25" hidden="false" customHeight="true" outlineLevel="0" collapsed="false">
      <c r="C1282" s="17" t="str">
        <f aca="false">IF(TRIM(B1282)="","",IFERROR(INDEX('Code Aliases'!$B:$B,MATCH(TRIM(B1282),'Code Aliases'!$A:$A,0)),TRIM(B1282)))</f>
        <v/>
      </c>
      <c r="I1282" s="67" t="str">
        <f aca="false">IF(TRIM(D1282)="","",UPPER(TRIM(D1282)))</f>
        <v/>
      </c>
      <c r="J1282" s="67" t="str">
        <f aca="false">IF(TRIM(E1282)="","",UPPER(TRIM(E1282)))</f>
        <v/>
      </c>
    </row>
    <row r="1283" customFormat="false" ht="14.25" hidden="false" customHeight="true" outlineLevel="0" collapsed="false">
      <c r="C1283" s="17" t="str">
        <f aca="false">IF(TRIM(B1283)="","",IFERROR(INDEX('Code Aliases'!$B:$B,MATCH(TRIM(B1283),'Code Aliases'!$A:$A,0)),TRIM(B1283)))</f>
        <v/>
      </c>
      <c r="I1283" s="67" t="str">
        <f aca="false">IF(TRIM(D1283)="","",UPPER(TRIM(D1283)))</f>
        <v/>
      </c>
      <c r="J1283" s="67" t="str">
        <f aca="false">IF(TRIM(E1283)="","",UPPER(TRIM(E1283)))</f>
        <v/>
      </c>
    </row>
    <row r="1284" customFormat="false" ht="14.25" hidden="false" customHeight="true" outlineLevel="0" collapsed="false">
      <c r="C1284" s="17" t="str">
        <f aca="false">IF(TRIM(B1284)="","",IFERROR(INDEX('Code Aliases'!$B:$B,MATCH(TRIM(B1284),'Code Aliases'!$A:$A,0)),TRIM(B1284)))</f>
        <v/>
      </c>
      <c r="I1284" s="67" t="str">
        <f aca="false">IF(TRIM(D1284)="","",UPPER(TRIM(D1284)))</f>
        <v/>
      </c>
      <c r="J1284" s="67" t="str">
        <f aca="false">IF(TRIM(E1284)="","",UPPER(TRIM(E1284)))</f>
        <v/>
      </c>
    </row>
    <row r="1285" customFormat="false" ht="14.25" hidden="false" customHeight="true" outlineLevel="0" collapsed="false">
      <c r="C1285" s="17" t="str">
        <f aca="false">IF(TRIM(B1285)="","",IFERROR(INDEX('Code Aliases'!$B:$B,MATCH(TRIM(B1285),'Code Aliases'!$A:$A,0)),TRIM(B1285)))</f>
        <v/>
      </c>
      <c r="I1285" s="67" t="str">
        <f aca="false">IF(TRIM(D1285)="","",UPPER(TRIM(D1285)))</f>
        <v/>
      </c>
      <c r="J1285" s="67" t="str">
        <f aca="false">IF(TRIM(E1285)="","",UPPER(TRIM(E1285)))</f>
        <v/>
      </c>
    </row>
    <row r="1286" customFormat="false" ht="14.25" hidden="false" customHeight="true" outlineLevel="0" collapsed="false">
      <c r="C1286" s="17" t="str">
        <f aca="false">IF(TRIM(B1286)="","",IFERROR(INDEX('Code Aliases'!$B:$B,MATCH(TRIM(B1286),'Code Aliases'!$A:$A,0)),TRIM(B1286)))</f>
        <v/>
      </c>
      <c r="I1286" s="67" t="str">
        <f aca="false">IF(TRIM(D1286)="","",UPPER(TRIM(D1286)))</f>
        <v/>
      </c>
      <c r="J1286" s="67" t="str">
        <f aca="false">IF(TRIM(E1286)="","",UPPER(TRIM(E1286)))</f>
        <v/>
      </c>
    </row>
    <row r="1287" customFormat="false" ht="14.25" hidden="false" customHeight="true" outlineLevel="0" collapsed="false">
      <c r="C1287" s="17" t="str">
        <f aca="false">IF(TRIM(B1287)="","",IFERROR(INDEX('Code Aliases'!$B:$B,MATCH(TRIM(B1287),'Code Aliases'!$A:$A,0)),TRIM(B1287)))</f>
        <v/>
      </c>
      <c r="I1287" s="67" t="str">
        <f aca="false">IF(TRIM(D1287)="","",UPPER(TRIM(D1287)))</f>
        <v/>
      </c>
      <c r="J1287" s="67" t="str">
        <f aca="false">IF(TRIM(E1287)="","",UPPER(TRIM(E1287)))</f>
        <v/>
      </c>
    </row>
    <row r="1288" customFormat="false" ht="14.25" hidden="false" customHeight="true" outlineLevel="0" collapsed="false">
      <c r="C1288" s="17" t="str">
        <f aca="false">IF(TRIM(B1288)="","",IFERROR(INDEX('Code Aliases'!$B:$B,MATCH(TRIM(B1288),'Code Aliases'!$A:$A,0)),TRIM(B1288)))</f>
        <v/>
      </c>
      <c r="I1288" s="67" t="str">
        <f aca="false">IF(TRIM(D1288)="","",UPPER(TRIM(D1288)))</f>
        <v/>
      </c>
      <c r="J1288" s="67" t="str">
        <f aca="false">IF(TRIM(E1288)="","",UPPER(TRIM(E1288)))</f>
        <v/>
      </c>
    </row>
    <row r="1289" customFormat="false" ht="14.25" hidden="false" customHeight="true" outlineLevel="0" collapsed="false">
      <c r="C1289" s="17" t="str">
        <f aca="false">IF(TRIM(B1289)="","",IFERROR(INDEX('Code Aliases'!$B:$B,MATCH(TRIM(B1289),'Code Aliases'!$A:$A,0)),TRIM(B1289)))</f>
        <v/>
      </c>
      <c r="I1289" s="67" t="str">
        <f aca="false">IF(TRIM(D1289)="","",UPPER(TRIM(D1289)))</f>
        <v/>
      </c>
      <c r="J1289" s="67" t="str">
        <f aca="false">IF(TRIM(E1289)="","",UPPER(TRIM(E1289)))</f>
        <v/>
      </c>
    </row>
    <row r="1290" customFormat="false" ht="14.25" hidden="false" customHeight="true" outlineLevel="0" collapsed="false">
      <c r="C1290" s="17" t="str">
        <f aca="false">IF(TRIM(B1290)="","",IFERROR(INDEX('Code Aliases'!$B:$B,MATCH(TRIM(B1290),'Code Aliases'!$A:$A,0)),TRIM(B1290)))</f>
        <v/>
      </c>
      <c r="I1290" s="67" t="str">
        <f aca="false">IF(TRIM(D1290)="","",UPPER(TRIM(D1290)))</f>
        <v/>
      </c>
      <c r="J1290" s="67" t="str">
        <f aca="false">IF(TRIM(E1290)="","",UPPER(TRIM(E1290)))</f>
        <v/>
      </c>
    </row>
    <row r="1291" customFormat="false" ht="14.25" hidden="false" customHeight="true" outlineLevel="0" collapsed="false">
      <c r="C1291" s="17" t="str">
        <f aca="false">IF(TRIM(B1291)="","",IFERROR(INDEX('Code Aliases'!$B:$B,MATCH(TRIM(B1291),'Code Aliases'!$A:$A,0)),TRIM(B1291)))</f>
        <v/>
      </c>
      <c r="I1291" s="67" t="str">
        <f aca="false">IF(TRIM(D1291)="","",UPPER(TRIM(D1291)))</f>
        <v/>
      </c>
      <c r="J1291" s="67" t="str">
        <f aca="false">IF(TRIM(E1291)="","",UPPER(TRIM(E1291)))</f>
        <v/>
      </c>
    </row>
    <row r="1292" customFormat="false" ht="14.25" hidden="false" customHeight="true" outlineLevel="0" collapsed="false">
      <c r="C1292" s="17" t="str">
        <f aca="false">IF(TRIM(B1292)="","",IFERROR(INDEX('Code Aliases'!$B:$B,MATCH(TRIM(B1292),'Code Aliases'!$A:$A,0)),TRIM(B1292)))</f>
        <v/>
      </c>
      <c r="I1292" s="67" t="str">
        <f aca="false">IF(TRIM(D1292)="","",UPPER(TRIM(D1292)))</f>
        <v/>
      </c>
      <c r="J1292" s="67" t="str">
        <f aca="false">IF(TRIM(E1292)="","",UPPER(TRIM(E1292)))</f>
        <v/>
      </c>
    </row>
    <row r="1293" customFormat="false" ht="14.25" hidden="false" customHeight="true" outlineLevel="0" collapsed="false">
      <c r="C1293" s="17" t="str">
        <f aca="false">IF(TRIM(B1293)="","",IFERROR(INDEX('Code Aliases'!$B:$B,MATCH(TRIM(B1293),'Code Aliases'!$A:$A,0)),TRIM(B1293)))</f>
        <v/>
      </c>
      <c r="I1293" s="67" t="str">
        <f aca="false">IF(TRIM(D1293)="","",UPPER(TRIM(D1293)))</f>
        <v/>
      </c>
      <c r="J1293" s="67" t="str">
        <f aca="false">IF(TRIM(E1293)="","",UPPER(TRIM(E1293)))</f>
        <v/>
      </c>
    </row>
    <row r="1294" customFormat="false" ht="14.25" hidden="false" customHeight="true" outlineLevel="0" collapsed="false">
      <c r="C1294" s="17" t="str">
        <f aca="false">IF(TRIM(B1294)="","",IFERROR(INDEX('Code Aliases'!$B:$B,MATCH(TRIM(B1294),'Code Aliases'!$A:$A,0)),TRIM(B1294)))</f>
        <v/>
      </c>
      <c r="I1294" s="67" t="str">
        <f aca="false">IF(TRIM(D1294)="","",UPPER(TRIM(D1294)))</f>
        <v/>
      </c>
      <c r="J1294" s="67" t="str">
        <f aca="false">IF(TRIM(E1294)="","",UPPER(TRIM(E1294)))</f>
        <v/>
      </c>
    </row>
    <row r="1295" customFormat="false" ht="14.25" hidden="false" customHeight="true" outlineLevel="0" collapsed="false">
      <c r="C1295" s="17" t="str">
        <f aca="false">IF(TRIM(B1295)="","",IFERROR(INDEX('Code Aliases'!$B:$B,MATCH(TRIM(B1295),'Code Aliases'!$A:$A,0)),TRIM(B1295)))</f>
        <v/>
      </c>
      <c r="I1295" s="67" t="str">
        <f aca="false">IF(TRIM(D1295)="","",UPPER(TRIM(D1295)))</f>
        <v/>
      </c>
      <c r="J1295" s="67" t="str">
        <f aca="false">IF(TRIM(E1295)="","",UPPER(TRIM(E1295)))</f>
        <v/>
      </c>
    </row>
    <row r="1296" customFormat="false" ht="14.25" hidden="false" customHeight="true" outlineLevel="0" collapsed="false">
      <c r="C1296" s="17" t="str">
        <f aca="false">IF(TRIM(B1296)="","",IFERROR(INDEX('Code Aliases'!$B:$B,MATCH(TRIM(B1296),'Code Aliases'!$A:$A,0)),TRIM(B1296)))</f>
        <v/>
      </c>
      <c r="I1296" s="67" t="str">
        <f aca="false">IF(TRIM(D1296)="","",UPPER(TRIM(D1296)))</f>
        <v/>
      </c>
      <c r="J1296" s="67" t="str">
        <f aca="false">IF(TRIM(E1296)="","",UPPER(TRIM(E1296)))</f>
        <v/>
      </c>
    </row>
    <row r="1297" customFormat="false" ht="14.25" hidden="false" customHeight="true" outlineLevel="0" collapsed="false">
      <c r="C1297" s="17" t="str">
        <f aca="false">IF(TRIM(B1297)="","",IFERROR(INDEX('Code Aliases'!$B:$B,MATCH(TRIM(B1297),'Code Aliases'!$A:$A,0)),TRIM(B1297)))</f>
        <v/>
      </c>
      <c r="I1297" s="67" t="str">
        <f aca="false">IF(TRIM(D1297)="","",UPPER(TRIM(D1297)))</f>
        <v/>
      </c>
      <c r="J1297" s="67" t="str">
        <f aca="false">IF(TRIM(E1297)="","",UPPER(TRIM(E1297)))</f>
        <v/>
      </c>
    </row>
    <row r="1298" customFormat="false" ht="14.25" hidden="false" customHeight="true" outlineLevel="0" collapsed="false">
      <c r="C1298" s="17" t="str">
        <f aca="false">IF(TRIM(B1298)="","",IFERROR(INDEX('Code Aliases'!$B:$B,MATCH(TRIM(B1298),'Code Aliases'!$A:$A,0)),TRIM(B1298)))</f>
        <v/>
      </c>
      <c r="I1298" s="67" t="str">
        <f aca="false">IF(TRIM(D1298)="","",UPPER(TRIM(D1298)))</f>
        <v/>
      </c>
      <c r="J1298" s="67" t="str">
        <f aca="false">IF(TRIM(E1298)="","",UPPER(TRIM(E1298)))</f>
        <v/>
      </c>
    </row>
    <row r="1299" customFormat="false" ht="14.25" hidden="false" customHeight="true" outlineLevel="0" collapsed="false">
      <c r="C1299" s="17" t="str">
        <f aca="false">IF(TRIM(B1299)="","",IFERROR(INDEX('Code Aliases'!$B:$B,MATCH(TRIM(B1299),'Code Aliases'!$A:$A,0)),TRIM(B1299)))</f>
        <v/>
      </c>
      <c r="I1299" s="67" t="str">
        <f aca="false">IF(TRIM(D1299)="","",UPPER(TRIM(D1299)))</f>
        <v/>
      </c>
      <c r="J1299" s="67" t="str">
        <f aca="false">IF(TRIM(E1299)="","",UPPER(TRIM(E1299)))</f>
        <v/>
      </c>
    </row>
    <row r="1300" customFormat="false" ht="14.25" hidden="false" customHeight="true" outlineLevel="0" collapsed="false">
      <c r="C1300" s="17" t="str">
        <f aca="false">IF(TRIM(B1300)="","",IFERROR(INDEX('Code Aliases'!$B:$B,MATCH(TRIM(B1300),'Code Aliases'!$A:$A,0)),TRIM(B1300)))</f>
        <v/>
      </c>
      <c r="I1300" s="67" t="str">
        <f aca="false">IF(TRIM(D1300)="","",UPPER(TRIM(D1300)))</f>
        <v/>
      </c>
      <c r="J1300" s="67" t="str">
        <f aca="false">IF(TRIM(E1300)="","",UPPER(TRIM(E1300)))</f>
        <v/>
      </c>
    </row>
    <row r="1301" customFormat="false" ht="14.25" hidden="false" customHeight="true" outlineLevel="0" collapsed="false">
      <c r="C1301" s="17" t="str">
        <f aca="false">IF(TRIM(B1301)="","",IFERROR(INDEX('Code Aliases'!$B:$B,MATCH(TRIM(B1301),'Code Aliases'!$A:$A,0)),TRIM(B1301)))</f>
        <v/>
      </c>
      <c r="I1301" s="67" t="str">
        <f aca="false">IF(TRIM(D1301)="","",UPPER(TRIM(D1301)))</f>
        <v/>
      </c>
      <c r="J1301" s="67" t="str">
        <f aca="false">IF(TRIM(E1301)="","",UPPER(TRIM(E1301)))</f>
        <v/>
      </c>
    </row>
    <row r="1302" customFormat="false" ht="14.25" hidden="false" customHeight="true" outlineLevel="0" collapsed="false">
      <c r="C1302" s="17" t="str">
        <f aca="false">IF(TRIM(B1302)="","",IFERROR(INDEX('Code Aliases'!$B:$B,MATCH(TRIM(B1302),'Code Aliases'!$A:$A,0)),TRIM(B1302)))</f>
        <v/>
      </c>
      <c r="I1302" s="67" t="str">
        <f aca="false">IF(TRIM(D1302)="","",UPPER(TRIM(D1302)))</f>
        <v/>
      </c>
      <c r="J1302" s="67" t="str">
        <f aca="false">IF(TRIM(E1302)="","",UPPER(TRIM(E1302)))</f>
        <v/>
      </c>
    </row>
    <row r="1303" customFormat="false" ht="14.25" hidden="false" customHeight="true" outlineLevel="0" collapsed="false">
      <c r="C1303" s="17" t="str">
        <f aca="false">IF(TRIM(B1303)="","",IFERROR(INDEX('Code Aliases'!$B:$B,MATCH(TRIM(B1303),'Code Aliases'!$A:$A,0)),TRIM(B1303)))</f>
        <v/>
      </c>
      <c r="I1303" s="67" t="str">
        <f aca="false">IF(TRIM(D1303)="","",UPPER(TRIM(D1303)))</f>
        <v/>
      </c>
      <c r="J1303" s="67" t="str">
        <f aca="false">IF(TRIM(E1303)="","",UPPER(TRIM(E1303)))</f>
        <v/>
      </c>
    </row>
    <row r="1304" customFormat="false" ht="14.25" hidden="false" customHeight="true" outlineLevel="0" collapsed="false">
      <c r="C1304" s="17" t="str">
        <f aca="false">IF(TRIM(B1304)="","",IFERROR(INDEX('Code Aliases'!$B:$B,MATCH(TRIM(B1304),'Code Aliases'!$A:$A,0)),TRIM(B1304)))</f>
        <v/>
      </c>
      <c r="I1304" s="67" t="str">
        <f aca="false">IF(TRIM(D1304)="","",UPPER(TRIM(D1304)))</f>
        <v/>
      </c>
      <c r="J1304" s="67" t="str">
        <f aca="false">IF(TRIM(E1304)="","",UPPER(TRIM(E1304)))</f>
        <v/>
      </c>
    </row>
    <row r="1305" customFormat="false" ht="14.25" hidden="false" customHeight="true" outlineLevel="0" collapsed="false">
      <c r="C1305" s="17" t="str">
        <f aca="false">IF(TRIM(B1305)="","",IFERROR(INDEX('Code Aliases'!$B:$B,MATCH(TRIM(B1305),'Code Aliases'!$A:$A,0)),TRIM(B1305)))</f>
        <v/>
      </c>
      <c r="I1305" s="67" t="str">
        <f aca="false">IF(TRIM(D1305)="","",UPPER(TRIM(D1305)))</f>
        <v/>
      </c>
      <c r="J1305" s="67" t="str">
        <f aca="false">IF(TRIM(E1305)="","",UPPER(TRIM(E1305)))</f>
        <v/>
      </c>
    </row>
    <row r="1306" customFormat="false" ht="14.25" hidden="false" customHeight="true" outlineLevel="0" collapsed="false">
      <c r="C1306" s="17" t="str">
        <f aca="false">IF(TRIM(B1306)="","",IFERROR(INDEX('Code Aliases'!$B:$B,MATCH(TRIM(B1306),'Code Aliases'!$A:$A,0)),TRIM(B1306)))</f>
        <v/>
      </c>
      <c r="I1306" s="67" t="str">
        <f aca="false">IF(TRIM(D1306)="","",UPPER(TRIM(D1306)))</f>
        <v/>
      </c>
      <c r="J1306" s="67" t="str">
        <f aca="false">IF(TRIM(E1306)="","",UPPER(TRIM(E1306)))</f>
        <v/>
      </c>
    </row>
    <row r="1307" customFormat="false" ht="14.25" hidden="false" customHeight="true" outlineLevel="0" collapsed="false">
      <c r="C1307" s="17" t="str">
        <f aca="false">IF(TRIM(B1307)="","",IFERROR(INDEX('Code Aliases'!$B:$B,MATCH(TRIM(B1307),'Code Aliases'!$A:$A,0)),TRIM(B1307)))</f>
        <v/>
      </c>
      <c r="I1307" s="67" t="str">
        <f aca="false">IF(TRIM(D1307)="","",UPPER(TRIM(D1307)))</f>
        <v/>
      </c>
      <c r="J1307" s="67" t="str">
        <f aca="false">IF(TRIM(E1307)="","",UPPER(TRIM(E1307)))</f>
        <v/>
      </c>
    </row>
    <row r="1308" customFormat="false" ht="14.25" hidden="false" customHeight="true" outlineLevel="0" collapsed="false">
      <c r="C1308" s="17" t="str">
        <f aca="false">IF(TRIM(B1308)="","",IFERROR(INDEX('Code Aliases'!$B:$B,MATCH(TRIM(B1308),'Code Aliases'!$A:$A,0)),TRIM(B1308)))</f>
        <v/>
      </c>
      <c r="I1308" s="67" t="str">
        <f aca="false">IF(TRIM(D1308)="","",UPPER(TRIM(D1308)))</f>
        <v/>
      </c>
      <c r="J1308" s="67" t="str">
        <f aca="false">IF(TRIM(E1308)="","",UPPER(TRIM(E1308)))</f>
        <v/>
      </c>
    </row>
    <row r="1309" customFormat="false" ht="14.25" hidden="false" customHeight="true" outlineLevel="0" collapsed="false">
      <c r="C1309" s="17" t="str">
        <f aca="false">IF(TRIM(B1309)="","",IFERROR(INDEX('Code Aliases'!$B:$B,MATCH(TRIM(B1309),'Code Aliases'!$A:$A,0)),TRIM(B1309)))</f>
        <v/>
      </c>
      <c r="I1309" s="67" t="str">
        <f aca="false">IF(TRIM(D1309)="","",UPPER(TRIM(D1309)))</f>
        <v/>
      </c>
      <c r="J1309" s="67" t="str">
        <f aca="false">IF(TRIM(E1309)="","",UPPER(TRIM(E1309)))</f>
        <v/>
      </c>
    </row>
    <row r="1310" customFormat="false" ht="14.25" hidden="false" customHeight="true" outlineLevel="0" collapsed="false">
      <c r="C1310" s="17" t="str">
        <f aca="false">IF(TRIM(B1310)="","",IFERROR(INDEX('Code Aliases'!$B:$B,MATCH(TRIM(B1310),'Code Aliases'!$A:$A,0)),TRIM(B1310)))</f>
        <v/>
      </c>
      <c r="I1310" s="67" t="str">
        <f aca="false">IF(TRIM(D1310)="","",UPPER(TRIM(D1310)))</f>
        <v/>
      </c>
      <c r="J1310" s="67" t="str">
        <f aca="false">IF(TRIM(E1310)="","",UPPER(TRIM(E1310)))</f>
        <v/>
      </c>
    </row>
    <row r="1311" customFormat="false" ht="14.25" hidden="false" customHeight="true" outlineLevel="0" collapsed="false">
      <c r="C1311" s="17" t="str">
        <f aca="false">IF(TRIM(B1311)="","",IFERROR(INDEX('Code Aliases'!$B:$B,MATCH(TRIM(B1311),'Code Aliases'!$A:$A,0)),TRIM(B1311)))</f>
        <v/>
      </c>
      <c r="I1311" s="67" t="str">
        <f aca="false">IF(TRIM(D1311)="","",UPPER(TRIM(D1311)))</f>
        <v/>
      </c>
      <c r="J1311" s="67" t="str">
        <f aca="false">IF(TRIM(E1311)="","",UPPER(TRIM(E1311)))</f>
        <v/>
      </c>
    </row>
    <row r="1312" customFormat="false" ht="14.25" hidden="false" customHeight="true" outlineLevel="0" collapsed="false">
      <c r="C1312" s="17" t="str">
        <f aca="false">IF(TRIM(B1312)="","",IFERROR(INDEX('Code Aliases'!$B:$B,MATCH(TRIM(B1312),'Code Aliases'!$A:$A,0)),TRIM(B1312)))</f>
        <v/>
      </c>
      <c r="I1312" s="67" t="str">
        <f aca="false">IF(TRIM(D1312)="","",UPPER(TRIM(D1312)))</f>
        <v/>
      </c>
      <c r="J1312" s="67" t="str">
        <f aca="false">IF(TRIM(E1312)="","",UPPER(TRIM(E1312)))</f>
        <v/>
      </c>
    </row>
    <row r="1313" customFormat="false" ht="14.25" hidden="false" customHeight="true" outlineLevel="0" collapsed="false">
      <c r="C1313" s="17" t="str">
        <f aca="false">IF(TRIM(B1313)="","",IFERROR(INDEX('Code Aliases'!$B:$B,MATCH(TRIM(B1313),'Code Aliases'!$A:$A,0)),TRIM(B1313)))</f>
        <v/>
      </c>
      <c r="I1313" s="67" t="str">
        <f aca="false">IF(TRIM(D1313)="","",UPPER(TRIM(D1313)))</f>
        <v/>
      </c>
      <c r="J1313" s="67" t="str">
        <f aca="false">IF(TRIM(E1313)="","",UPPER(TRIM(E1313)))</f>
        <v/>
      </c>
    </row>
    <row r="1314" customFormat="false" ht="14.25" hidden="false" customHeight="true" outlineLevel="0" collapsed="false">
      <c r="C1314" s="17" t="str">
        <f aca="false">IF(TRIM(B1314)="","",IFERROR(INDEX('Code Aliases'!$B:$B,MATCH(TRIM(B1314),'Code Aliases'!$A:$A,0)),TRIM(B1314)))</f>
        <v/>
      </c>
      <c r="I1314" s="67" t="str">
        <f aca="false">IF(TRIM(D1314)="","",UPPER(TRIM(D1314)))</f>
        <v/>
      </c>
      <c r="J1314" s="67" t="str">
        <f aca="false">IF(TRIM(E1314)="","",UPPER(TRIM(E1314)))</f>
        <v/>
      </c>
    </row>
    <row r="1315" customFormat="false" ht="14.25" hidden="false" customHeight="true" outlineLevel="0" collapsed="false">
      <c r="C1315" s="17" t="str">
        <f aca="false">IF(TRIM(B1315)="","",IFERROR(INDEX('Code Aliases'!$B:$B,MATCH(TRIM(B1315),'Code Aliases'!$A:$A,0)),TRIM(B1315)))</f>
        <v/>
      </c>
      <c r="I1315" s="67" t="str">
        <f aca="false">IF(TRIM(D1315)="","",UPPER(TRIM(D1315)))</f>
        <v/>
      </c>
      <c r="J1315" s="67" t="str">
        <f aca="false">IF(TRIM(E1315)="","",UPPER(TRIM(E1315)))</f>
        <v/>
      </c>
    </row>
    <row r="1316" customFormat="false" ht="14.25" hidden="false" customHeight="true" outlineLevel="0" collapsed="false">
      <c r="C1316" s="17" t="str">
        <f aca="false">IF(TRIM(B1316)="","",IFERROR(INDEX('Code Aliases'!$B:$B,MATCH(TRIM(B1316),'Code Aliases'!$A:$A,0)),TRIM(B1316)))</f>
        <v/>
      </c>
      <c r="I1316" s="67" t="str">
        <f aca="false">IF(TRIM(D1316)="","",UPPER(TRIM(D1316)))</f>
        <v/>
      </c>
      <c r="J1316" s="67" t="str">
        <f aca="false">IF(TRIM(E1316)="","",UPPER(TRIM(E1316)))</f>
        <v/>
      </c>
    </row>
    <row r="1317" customFormat="false" ht="14.25" hidden="false" customHeight="true" outlineLevel="0" collapsed="false">
      <c r="C1317" s="17" t="str">
        <f aca="false">IF(TRIM(B1317)="","",IFERROR(INDEX('Code Aliases'!$B:$B,MATCH(TRIM(B1317),'Code Aliases'!$A:$A,0)),TRIM(B1317)))</f>
        <v/>
      </c>
      <c r="I1317" s="67" t="str">
        <f aca="false">IF(TRIM(D1317)="","",UPPER(TRIM(D1317)))</f>
        <v/>
      </c>
      <c r="J1317" s="67" t="str">
        <f aca="false">IF(TRIM(E1317)="","",UPPER(TRIM(E1317)))</f>
        <v/>
      </c>
    </row>
    <row r="1318" customFormat="false" ht="14.25" hidden="false" customHeight="true" outlineLevel="0" collapsed="false">
      <c r="C1318" s="17" t="str">
        <f aca="false">IF(TRIM(B1318)="","",IFERROR(INDEX('Code Aliases'!$B:$B,MATCH(TRIM(B1318),'Code Aliases'!$A:$A,0)),TRIM(B1318)))</f>
        <v/>
      </c>
      <c r="I1318" s="67" t="str">
        <f aca="false">IF(TRIM(D1318)="","",UPPER(TRIM(D1318)))</f>
        <v/>
      </c>
      <c r="J1318" s="67" t="str">
        <f aca="false">IF(TRIM(E1318)="","",UPPER(TRIM(E1318)))</f>
        <v/>
      </c>
    </row>
    <row r="1319" customFormat="false" ht="14.25" hidden="false" customHeight="true" outlineLevel="0" collapsed="false">
      <c r="C1319" s="17" t="str">
        <f aca="false">IF(TRIM(B1319)="","",IFERROR(INDEX('Code Aliases'!$B:$B,MATCH(TRIM(B1319),'Code Aliases'!$A:$A,0)),TRIM(B1319)))</f>
        <v/>
      </c>
      <c r="I1319" s="67" t="str">
        <f aca="false">IF(TRIM(D1319)="","",UPPER(TRIM(D1319)))</f>
        <v/>
      </c>
      <c r="J1319" s="67" t="str">
        <f aca="false">IF(TRIM(E1319)="","",UPPER(TRIM(E1319)))</f>
        <v/>
      </c>
    </row>
    <row r="1320" customFormat="false" ht="14.25" hidden="false" customHeight="true" outlineLevel="0" collapsed="false">
      <c r="C1320" s="17" t="str">
        <f aca="false">IF(TRIM(B1320)="","",IFERROR(INDEX('Code Aliases'!$B:$B,MATCH(TRIM(B1320),'Code Aliases'!$A:$A,0)),TRIM(B1320)))</f>
        <v/>
      </c>
      <c r="I1320" s="67" t="str">
        <f aca="false">IF(TRIM(D1320)="","",UPPER(TRIM(D1320)))</f>
        <v/>
      </c>
      <c r="J1320" s="67" t="str">
        <f aca="false">IF(TRIM(E1320)="","",UPPER(TRIM(E1320)))</f>
        <v/>
      </c>
    </row>
    <row r="1321" customFormat="false" ht="14.25" hidden="false" customHeight="true" outlineLevel="0" collapsed="false">
      <c r="C1321" s="17" t="str">
        <f aca="false">IF(TRIM(B1321)="","",IFERROR(INDEX('Code Aliases'!$B:$B,MATCH(TRIM(B1321),'Code Aliases'!$A:$A,0)),TRIM(B1321)))</f>
        <v/>
      </c>
      <c r="I1321" s="67" t="str">
        <f aca="false">IF(TRIM(D1321)="","",UPPER(TRIM(D1321)))</f>
        <v/>
      </c>
      <c r="J1321" s="67" t="str">
        <f aca="false">IF(TRIM(E1321)="","",UPPER(TRIM(E1321)))</f>
        <v/>
      </c>
    </row>
    <row r="1322" customFormat="false" ht="14.25" hidden="false" customHeight="true" outlineLevel="0" collapsed="false">
      <c r="C1322" s="17" t="str">
        <f aca="false">IF(TRIM(B1322)="","",IFERROR(INDEX('Code Aliases'!$B:$B,MATCH(TRIM(B1322),'Code Aliases'!$A:$A,0)),TRIM(B1322)))</f>
        <v/>
      </c>
      <c r="I1322" s="67" t="str">
        <f aca="false">IF(TRIM(D1322)="","",UPPER(TRIM(D1322)))</f>
        <v/>
      </c>
      <c r="J1322" s="67" t="str">
        <f aca="false">IF(TRIM(E1322)="","",UPPER(TRIM(E1322)))</f>
        <v/>
      </c>
    </row>
    <row r="1323" customFormat="false" ht="14.25" hidden="false" customHeight="true" outlineLevel="0" collapsed="false">
      <c r="C1323" s="17" t="str">
        <f aca="false">IF(TRIM(B1323)="","",IFERROR(INDEX('Code Aliases'!$B:$B,MATCH(TRIM(B1323),'Code Aliases'!$A:$A,0)),TRIM(B1323)))</f>
        <v/>
      </c>
      <c r="I1323" s="67" t="str">
        <f aca="false">IF(TRIM(D1323)="","",UPPER(TRIM(D1323)))</f>
        <v/>
      </c>
      <c r="J1323" s="67" t="str">
        <f aca="false">IF(TRIM(E1323)="","",UPPER(TRIM(E1323)))</f>
        <v/>
      </c>
    </row>
    <row r="1324" customFormat="false" ht="14.25" hidden="false" customHeight="true" outlineLevel="0" collapsed="false">
      <c r="C1324" s="17" t="str">
        <f aca="false">IF(TRIM(B1324)="","",IFERROR(INDEX('Code Aliases'!$B:$B,MATCH(TRIM(B1324),'Code Aliases'!$A:$A,0)),TRIM(B1324)))</f>
        <v/>
      </c>
      <c r="I1324" s="67" t="str">
        <f aca="false">IF(TRIM(D1324)="","",UPPER(TRIM(D1324)))</f>
        <v/>
      </c>
      <c r="J1324" s="67" t="str">
        <f aca="false">IF(TRIM(E1324)="","",UPPER(TRIM(E1324)))</f>
        <v/>
      </c>
    </row>
    <row r="1325" customFormat="false" ht="14.25" hidden="false" customHeight="true" outlineLevel="0" collapsed="false">
      <c r="C1325" s="17" t="str">
        <f aca="false">IF(TRIM(B1325)="","",IFERROR(INDEX('Code Aliases'!$B:$B,MATCH(TRIM(B1325),'Code Aliases'!$A:$A,0)),TRIM(B1325)))</f>
        <v/>
      </c>
      <c r="I1325" s="67" t="str">
        <f aca="false">IF(TRIM(D1325)="","",UPPER(TRIM(D1325)))</f>
        <v/>
      </c>
      <c r="J1325" s="67" t="str">
        <f aca="false">IF(TRIM(E1325)="","",UPPER(TRIM(E1325)))</f>
        <v/>
      </c>
    </row>
    <row r="1326" customFormat="false" ht="14.25" hidden="false" customHeight="true" outlineLevel="0" collapsed="false">
      <c r="C1326" s="17" t="str">
        <f aca="false">IF(TRIM(B1326)="","",IFERROR(INDEX('Code Aliases'!$B:$B,MATCH(TRIM(B1326),'Code Aliases'!$A:$A,0)),TRIM(B1326)))</f>
        <v/>
      </c>
      <c r="I1326" s="67" t="str">
        <f aca="false">IF(TRIM(D1326)="","",UPPER(TRIM(D1326)))</f>
        <v/>
      </c>
      <c r="J1326" s="67" t="str">
        <f aca="false">IF(TRIM(E1326)="","",UPPER(TRIM(E1326)))</f>
        <v/>
      </c>
    </row>
    <row r="1327" customFormat="false" ht="14.25" hidden="false" customHeight="true" outlineLevel="0" collapsed="false">
      <c r="C1327" s="17" t="str">
        <f aca="false">IF(TRIM(B1327)="","",IFERROR(INDEX('Code Aliases'!$B:$B,MATCH(TRIM(B1327),'Code Aliases'!$A:$A,0)),TRIM(B1327)))</f>
        <v/>
      </c>
      <c r="I1327" s="67" t="str">
        <f aca="false">IF(TRIM(D1327)="","",UPPER(TRIM(D1327)))</f>
        <v/>
      </c>
      <c r="J1327" s="67" t="str">
        <f aca="false">IF(TRIM(E1327)="","",UPPER(TRIM(E1327)))</f>
        <v/>
      </c>
    </row>
    <row r="1328" customFormat="false" ht="14.25" hidden="false" customHeight="true" outlineLevel="0" collapsed="false">
      <c r="C1328" s="17" t="str">
        <f aca="false">IF(TRIM(B1328)="","",IFERROR(INDEX('Code Aliases'!$B:$B,MATCH(TRIM(B1328),'Code Aliases'!$A:$A,0)),TRIM(B1328)))</f>
        <v/>
      </c>
      <c r="I1328" s="67" t="str">
        <f aca="false">IF(TRIM(D1328)="","",UPPER(TRIM(D1328)))</f>
        <v/>
      </c>
      <c r="J1328" s="67" t="str">
        <f aca="false">IF(TRIM(E1328)="","",UPPER(TRIM(E1328)))</f>
        <v/>
      </c>
    </row>
    <row r="1329" customFormat="false" ht="14.25" hidden="false" customHeight="true" outlineLevel="0" collapsed="false">
      <c r="C1329" s="17" t="str">
        <f aca="false">IF(TRIM(B1329)="","",IFERROR(INDEX('Code Aliases'!$B:$B,MATCH(TRIM(B1329),'Code Aliases'!$A:$A,0)),TRIM(B1329)))</f>
        <v/>
      </c>
      <c r="I1329" s="67" t="str">
        <f aca="false">IF(TRIM(D1329)="","",UPPER(TRIM(D1329)))</f>
        <v/>
      </c>
      <c r="J1329" s="67" t="str">
        <f aca="false">IF(TRIM(E1329)="","",UPPER(TRIM(E1329)))</f>
        <v/>
      </c>
    </row>
    <row r="1330" customFormat="false" ht="14.25" hidden="false" customHeight="true" outlineLevel="0" collapsed="false">
      <c r="C1330" s="17" t="str">
        <f aca="false">IF(TRIM(B1330)="","",IFERROR(INDEX('Code Aliases'!$B:$B,MATCH(TRIM(B1330),'Code Aliases'!$A:$A,0)),TRIM(B1330)))</f>
        <v/>
      </c>
      <c r="I1330" s="67" t="str">
        <f aca="false">IF(TRIM(D1330)="","",UPPER(TRIM(D1330)))</f>
        <v/>
      </c>
      <c r="J1330" s="67" t="str">
        <f aca="false">IF(TRIM(E1330)="","",UPPER(TRIM(E1330)))</f>
        <v/>
      </c>
    </row>
    <row r="1331" customFormat="false" ht="14.25" hidden="false" customHeight="true" outlineLevel="0" collapsed="false">
      <c r="C1331" s="17" t="str">
        <f aca="false">IF(TRIM(B1331)="","",IFERROR(INDEX('Code Aliases'!$B:$B,MATCH(TRIM(B1331),'Code Aliases'!$A:$A,0)),TRIM(B1331)))</f>
        <v/>
      </c>
      <c r="I1331" s="67" t="str">
        <f aca="false">IF(TRIM(D1331)="","",UPPER(TRIM(D1331)))</f>
        <v/>
      </c>
      <c r="J1331" s="67" t="str">
        <f aca="false">IF(TRIM(E1331)="","",UPPER(TRIM(E1331)))</f>
        <v/>
      </c>
    </row>
    <row r="1332" customFormat="false" ht="14.25" hidden="false" customHeight="true" outlineLevel="0" collapsed="false">
      <c r="C1332" s="17" t="str">
        <f aca="false">IF(TRIM(B1332)="","",IFERROR(INDEX('Code Aliases'!$B:$B,MATCH(TRIM(B1332),'Code Aliases'!$A:$A,0)),TRIM(B1332)))</f>
        <v/>
      </c>
      <c r="I1332" s="67" t="str">
        <f aca="false">IF(TRIM(D1332)="","",UPPER(TRIM(D1332)))</f>
        <v/>
      </c>
      <c r="J1332" s="67" t="str">
        <f aca="false">IF(TRIM(E1332)="","",UPPER(TRIM(E1332)))</f>
        <v/>
      </c>
    </row>
    <row r="1333" customFormat="false" ht="14.25" hidden="false" customHeight="true" outlineLevel="0" collapsed="false">
      <c r="C1333" s="17" t="str">
        <f aca="false">IF(TRIM(B1333)="","",IFERROR(INDEX('Code Aliases'!$B:$B,MATCH(TRIM(B1333),'Code Aliases'!$A:$A,0)),TRIM(B1333)))</f>
        <v/>
      </c>
      <c r="I1333" s="67" t="str">
        <f aca="false">IF(TRIM(D1333)="","",UPPER(TRIM(D1333)))</f>
        <v/>
      </c>
      <c r="J1333" s="67" t="str">
        <f aca="false">IF(TRIM(E1333)="","",UPPER(TRIM(E1333)))</f>
        <v/>
      </c>
    </row>
    <row r="1334" customFormat="false" ht="14.25" hidden="false" customHeight="true" outlineLevel="0" collapsed="false">
      <c r="C1334" s="17" t="str">
        <f aca="false">IF(TRIM(B1334)="","",IFERROR(INDEX('Code Aliases'!$B:$B,MATCH(TRIM(B1334),'Code Aliases'!$A:$A,0)),TRIM(B1334)))</f>
        <v/>
      </c>
      <c r="I1334" s="67" t="str">
        <f aca="false">IF(TRIM(D1334)="","",UPPER(TRIM(D1334)))</f>
        <v/>
      </c>
      <c r="J1334" s="67" t="str">
        <f aca="false">IF(TRIM(E1334)="","",UPPER(TRIM(E1334)))</f>
        <v/>
      </c>
    </row>
    <row r="1335" customFormat="false" ht="14.25" hidden="false" customHeight="true" outlineLevel="0" collapsed="false">
      <c r="C1335" s="17" t="str">
        <f aca="false">IF(TRIM(B1335)="","",IFERROR(INDEX('Code Aliases'!$B:$B,MATCH(TRIM(B1335),'Code Aliases'!$A:$A,0)),TRIM(B1335)))</f>
        <v/>
      </c>
      <c r="I1335" s="67" t="str">
        <f aca="false">IF(TRIM(D1335)="","",UPPER(TRIM(D1335)))</f>
        <v/>
      </c>
      <c r="J1335" s="67" t="str">
        <f aca="false">IF(TRIM(E1335)="","",UPPER(TRIM(E1335)))</f>
        <v/>
      </c>
    </row>
    <row r="1336" customFormat="false" ht="14.25" hidden="false" customHeight="true" outlineLevel="0" collapsed="false">
      <c r="C1336" s="17" t="str">
        <f aca="false">IF(TRIM(B1336)="","",IFERROR(INDEX('Code Aliases'!$B:$B,MATCH(TRIM(B1336),'Code Aliases'!$A:$A,0)),TRIM(B1336)))</f>
        <v/>
      </c>
      <c r="I1336" s="67" t="str">
        <f aca="false">IF(TRIM(D1336)="","",UPPER(TRIM(D1336)))</f>
        <v/>
      </c>
      <c r="J1336" s="67" t="str">
        <f aca="false">IF(TRIM(E1336)="","",UPPER(TRIM(E1336)))</f>
        <v/>
      </c>
    </row>
    <row r="1337" customFormat="false" ht="14.25" hidden="false" customHeight="true" outlineLevel="0" collapsed="false">
      <c r="C1337" s="17" t="str">
        <f aca="false">IF(TRIM(B1337)="","",IFERROR(INDEX('Code Aliases'!$B:$B,MATCH(TRIM(B1337),'Code Aliases'!$A:$A,0)),TRIM(B1337)))</f>
        <v/>
      </c>
      <c r="I1337" s="67" t="str">
        <f aca="false">IF(TRIM(D1337)="","",UPPER(TRIM(D1337)))</f>
        <v/>
      </c>
      <c r="J1337" s="67" t="str">
        <f aca="false">IF(TRIM(E1337)="","",UPPER(TRIM(E1337)))</f>
        <v/>
      </c>
    </row>
    <row r="1338" customFormat="false" ht="14.25" hidden="false" customHeight="true" outlineLevel="0" collapsed="false">
      <c r="C1338" s="17" t="str">
        <f aca="false">IF(TRIM(B1338)="","",IFERROR(INDEX('Code Aliases'!$B:$B,MATCH(TRIM(B1338),'Code Aliases'!$A:$A,0)),TRIM(B1338)))</f>
        <v/>
      </c>
      <c r="I1338" s="67" t="str">
        <f aca="false">IF(TRIM(D1338)="","",UPPER(TRIM(D1338)))</f>
        <v/>
      </c>
      <c r="J1338" s="67" t="str">
        <f aca="false">IF(TRIM(E1338)="","",UPPER(TRIM(E1338)))</f>
        <v/>
      </c>
    </row>
    <row r="1339" customFormat="false" ht="14.25" hidden="false" customHeight="true" outlineLevel="0" collapsed="false">
      <c r="C1339" s="17" t="str">
        <f aca="false">IF(TRIM(B1339)="","",IFERROR(INDEX('Code Aliases'!$B:$B,MATCH(TRIM(B1339),'Code Aliases'!$A:$A,0)),TRIM(B1339)))</f>
        <v/>
      </c>
      <c r="I1339" s="67" t="str">
        <f aca="false">IF(TRIM(D1339)="","",UPPER(TRIM(D1339)))</f>
        <v/>
      </c>
      <c r="J1339" s="67" t="str">
        <f aca="false">IF(TRIM(E1339)="","",UPPER(TRIM(E1339)))</f>
        <v/>
      </c>
    </row>
    <row r="1340" customFormat="false" ht="14.25" hidden="false" customHeight="true" outlineLevel="0" collapsed="false">
      <c r="C1340" s="17" t="str">
        <f aca="false">IF(TRIM(B1340)="","",IFERROR(INDEX('Code Aliases'!$B:$B,MATCH(TRIM(B1340),'Code Aliases'!$A:$A,0)),TRIM(B1340)))</f>
        <v/>
      </c>
      <c r="I1340" s="67" t="str">
        <f aca="false">IF(TRIM(D1340)="","",UPPER(TRIM(D1340)))</f>
        <v/>
      </c>
      <c r="J1340" s="67" t="str">
        <f aca="false">IF(TRIM(E1340)="","",UPPER(TRIM(E1340)))</f>
        <v/>
      </c>
    </row>
    <row r="1341" customFormat="false" ht="14.25" hidden="false" customHeight="true" outlineLevel="0" collapsed="false">
      <c r="C1341" s="17" t="str">
        <f aca="false">IF(TRIM(B1341)="","",IFERROR(INDEX('Code Aliases'!$B:$B,MATCH(TRIM(B1341),'Code Aliases'!$A:$A,0)),TRIM(B1341)))</f>
        <v/>
      </c>
      <c r="I1341" s="67" t="str">
        <f aca="false">IF(TRIM(D1341)="","",UPPER(TRIM(D1341)))</f>
        <v/>
      </c>
      <c r="J1341" s="67" t="str">
        <f aca="false">IF(TRIM(E1341)="","",UPPER(TRIM(E1341)))</f>
        <v/>
      </c>
    </row>
    <row r="1342" customFormat="false" ht="14.25" hidden="false" customHeight="true" outlineLevel="0" collapsed="false">
      <c r="C1342" s="17" t="str">
        <f aca="false">IF(TRIM(B1342)="","",IFERROR(INDEX('Code Aliases'!$B:$B,MATCH(TRIM(B1342),'Code Aliases'!$A:$A,0)),TRIM(B1342)))</f>
        <v/>
      </c>
      <c r="I1342" s="67" t="str">
        <f aca="false">IF(TRIM(D1342)="","",UPPER(TRIM(D1342)))</f>
        <v/>
      </c>
      <c r="J1342" s="67" t="str">
        <f aca="false">IF(TRIM(E1342)="","",UPPER(TRIM(E1342)))</f>
        <v/>
      </c>
    </row>
    <row r="1343" customFormat="false" ht="14.25" hidden="false" customHeight="true" outlineLevel="0" collapsed="false">
      <c r="C1343" s="17" t="str">
        <f aca="false">IF(TRIM(B1343)="","",IFERROR(INDEX('Code Aliases'!$B:$B,MATCH(TRIM(B1343),'Code Aliases'!$A:$A,0)),TRIM(B1343)))</f>
        <v/>
      </c>
      <c r="I1343" s="67" t="str">
        <f aca="false">IF(TRIM(D1343)="","",UPPER(TRIM(D1343)))</f>
        <v/>
      </c>
      <c r="J1343" s="67" t="str">
        <f aca="false">IF(TRIM(E1343)="","",UPPER(TRIM(E1343)))</f>
        <v/>
      </c>
    </row>
    <row r="1344" customFormat="false" ht="14.25" hidden="false" customHeight="true" outlineLevel="0" collapsed="false">
      <c r="C1344" s="17" t="str">
        <f aca="false">IF(TRIM(B1344)="","",IFERROR(INDEX('Code Aliases'!$B:$B,MATCH(TRIM(B1344),'Code Aliases'!$A:$A,0)),TRIM(B1344)))</f>
        <v/>
      </c>
      <c r="I1344" s="67" t="str">
        <f aca="false">IF(TRIM(D1344)="","",UPPER(TRIM(D1344)))</f>
        <v/>
      </c>
      <c r="J1344" s="67" t="str">
        <f aca="false">IF(TRIM(E1344)="","",UPPER(TRIM(E1344)))</f>
        <v/>
      </c>
    </row>
    <row r="1345" customFormat="false" ht="14.25" hidden="false" customHeight="true" outlineLevel="0" collapsed="false">
      <c r="C1345" s="17" t="str">
        <f aca="false">IF(TRIM(B1345)="","",IFERROR(INDEX('Code Aliases'!$B:$B,MATCH(TRIM(B1345),'Code Aliases'!$A:$A,0)),TRIM(B1345)))</f>
        <v/>
      </c>
      <c r="I1345" s="67" t="str">
        <f aca="false">IF(TRIM(D1345)="","",UPPER(TRIM(D1345)))</f>
        <v/>
      </c>
      <c r="J1345" s="67" t="str">
        <f aca="false">IF(TRIM(E1345)="","",UPPER(TRIM(E1345)))</f>
        <v/>
      </c>
    </row>
    <row r="1346" customFormat="false" ht="14.25" hidden="false" customHeight="true" outlineLevel="0" collapsed="false">
      <c r="C1346" s="17" t="str">
        <f aca="false">IF(TRIM(B1346)="","",IFERROR(INDEX('Code Aliases'!$B:$B,MATCH(TRIM(B1346),'Code Aliases'!$A:$A,0)),TRIM(B1346)))</f>
        <v/>
      </c>
      <c r="I1346" s="67" t="str">
        <f aca="false">IF(TRIM(D1346)="","",UPPER(TRIM(D1346)))</f>
        <v/>
      </c>
      <c r="J1346" s="67" t="str">
        <f aca="false">IF(TRIM(E1346)="","",UPPER(TRIM(E1346)))</f>
        <v/>
      </c>
    </row>
    <row r="1347" customFormat="false" ht="14.25" hidden="false" customHeight="true" outlineLevel="0" collapsed="false">
      <c r="C1347" s="17" t="str">
        <f aca="false">IF(TRIM(B1347)="","",IFERROR(INDEX('Code Aliases'!$B:$B,MATCH(TRIM(B1347),'Code Aliases'!$A:$A,0)),TRIM(B1347)))</f>
        <v/>
      </c>
      <c r="I1347" s="67" t="str">
        <f aca="false">IF(TRIM(D1347)="","",UPPER(TRIM(D1347)))</f>
        <v/>
      </c>
      <c r="J1347" s="67" t="str">
        <f aca="false">IF(TRIM(E1347)="","",UPPER(TRIM(E1347)))</f>
        <v/>
      </c>
    </row>
    <row r="1348" customFormat="false" ht="14.25" hidden="false" customHeight="true" outlineLevel="0" collapsed="false">
      <c r="C1348" s="17" t="str">
        <f aca="false">IF(TRIM(B1348)="","",IFERROR(INDEX('Code Aliases'!$B:$B,MATCH(TRIM(B1348),'Code Aliases'!$A:$A,0)),TRIM(B1348)))</f>
        <v/>
      </c>
      <c r="I1348" s="67" t="str">
        <f aca="false">IF(TRIM(D1348)="","",UPPER(TRIM(D1348)))</f>
        <v/>
      </c>
      <c r="J1348" s="67" t="str">
        <f aca="false">IF(TRIM(E1348)="","",UPPER(TRIM(E1348)))</f>
        <v/>
      </c>
    </row>
    <row r="1349" customFormat="false" ht="14.25" hidden="false" customHeight="true" outlineLevel="0" collapsed="false">
      <c r="C1349" s="17" t="str">
        <f aca="false">IF(TRIM(B1349)="","",IFERROR(INDEX('Code Aliases'!$B:$B,MATCH(TRIM(B1349),'Code Aliases'!$A:$A,0)),TRIM(B1349)))</f>
        <v/>
      </c>
      <c r="I1349" s="67" t="str">
        <f aca="false">IF(TRIM(D1349)="","",UPPER(TRIM(D1349)))</f>
        <v/>
      </c>
      <c r="J1349" s="67" t="str">
        <f aca="false">IF(TRIM(E1349)="","",UPPER(TRIM(E1349)))</f>
        <v/>
      </c>
    </row>
    <row r="1350" customFormat="false" ht="14.25" hidden="false" customHeight="true" outlineLevel="0" collapsed="false">
      <c r="C1350" s="17" t="str">
        <f aca="false">IF(TRIM(B1350)="","",IFERROR(INDEX('Code Aliases'!$B:$B,MATCH(TRIM(B1350),'Code Aliases'!$A:$A,0)),TRIM(B1350)))</f>
        <v/>
      </c>
      <c r="I1350" s="67" t="str">
        <f aca="false">IF(TRIM(D1350)="","",UPPER(TRIM(D1350)))</f>
        <v/>
      </c>
      <c r="J1350" s="67" t="str">
        <f aca="false">IF(TRIM(E1350)="","",UPPER(TRIM(E1350)))</f>
        <v/>
      </c>
    </row>
    <row r="1351" customFormat="false" ht="14.25" hidden="false" customHeight="true" outlineLevel="0" collapsed="false">
      <c r="C1351" s="17" t="str">
        <f aca="false">IF(TRIM(B1351)="","",IFERROR(INDEX('Code Aliases'!$B:$B,MATCH(TRIM(B1351),'Code Aliases'!$A:$A,0)),TRIM(B1351)))</f>
        <v/>
      </c>
      <c r="I1351" s="67" t="str">
        <f aca="false">IF(TRIM(D1351)="","",UPPER(TRIM(D1351)))</f>
        <v/>
      </c>
      <c r="J1351" s="67" t="str">
        <f aca="false">IF(TRIM(E1351)="","",UPPER(TRIM(E1351)))</f>
        <v/>
      </c>
    </row>
    <row r="1352" customFormat="false" ht="14.25" hidden="false" customHeight="true" outlineLevel="0" collapsed="false">
      <c r="C1352" s="17" t="str">
        <f aca="false">IF(TRIM(B1352)="","",IFERROR(INDEX('Code Aliases'!$B:$B,MATCH(TRIM(B1352),'Code Aliases'!$A:$A,0)),TRIM(B1352)))</f>
        <v/>
      </c>
      <c r="I1352" s="67" t="str">
        <f aca="false">IF(TRIM(D1352)="","",UPPER(TRIM(D1352)))</f>
        <v/>
      </c>
      <c r="J1352" s="67" t="str">
        <f aca="false">IF(TRIM(E1352)="","",UPPER(TRIM(E1352)))</f>
        <v/>
      </c>
    </row>
    <row r="1353" customFormat="false" ht="14.25" hidden="false" customHeight="true" outlineLevel="0" collapsed="false">
      <c r="C1353" s="17" t="str">
        <f aca="false">IF(TRIM(B1353)="","",IFERROR(INDEX('Code Aliases'!$B:$B,MATCH(TRIM(B1353),'Code Aliases'!$A:$A,0)),TRIM(B1353)))</f>
        <v/>
      </c>
      <c r="I1353" s="67" t="str">
        <f aca="false">IF(TRIM(D1353)="","",UPPER(TRIM(D1353)))</f>
        <v/>
      </c>
      <c r="J1353" s="67" t="str">
        <f aca="false">IF(TRIM(E1353)="","",UPPER(TRIM(E1353)))</f>
        <v/>
      </c>
    </row>
    <row r="1354" customFormat="false" ht="14.25" hidden="false" customHeight="true" outlineLevel="0" collapsed="false">
      <c r="C1354" s="17" t="str">
        <f aca="false">IF(TRIM(B1354)="","",IFERROR(INDEX('Code Aliases'!$B:$B,MATCH(TRIM(B1354),'Code Aliases'!$A:$A,0)),TRIM(B1354)))</f>
        <v/>
      </c>
      <c r="I1354" s="67" t="str">
        <f aca="false">IF(TRIM(D1354)="","",UPPER(TRIM(D1354)))</f>
        <v/>
      </c>
      <c r="J1354" s="67" t="str">
        <f aca="false">IF(TRIM(E1354)="","",UPPER(TRIM(E1354)))</f>
        <v/>
      </c>
    </row>
    <row r="1355" customFormat="false" ht="14.25" hidden="false" customHeight="true" outlineLevel="0" collapsed="false">
      <c r="C1355" s="17" t="str">
        <f aca="false">IF(TRIM(B1355)="","",IFERROR(INDEX('Code Aliases'!$B:$B,MATCH(TRIM(B1355),'Code Aliases'!$A:$A,0)),TRIM(B1355)))</f>
        <v/>
      </c>
      <c r="I1355" s="67" t="str">
        <f aca="false">IF(TRIM(D1355)="","",UPPER(TRIM(D1355)))</f>
        <v/>
      </c>
      <c r="J1355" s="67" t="str">
        <f aca="false">IF(TRIM(E1355)="","",UPPER(TRIM(E1355)))</f>
        <v/>
      </c>
    </row>
    <row r="1356" customFormat="false" ht="14.25" hidden="false" customHeight="true" outlineLevel="0" collapsed="false">
      <c r="C1356" s="17" t="str">
        <f aca="false">IF(TRIM(B1356)="","",IFERROR(INDEX('Code Aliases'!$B:$B,MATCH(TRIM(B1356),'Code Aliases'!$A:$A,0)),TRIM(B1356)))</f>
        <v/>
      </c>
      <c r="I1356" s="67" t="str">
        <f aca="false">IF(TRIM(D1356)="","",UPPER(TRIM(D1356)))</f>
        <v/>
      </c>
      <c r="J1356" s="67" t="str">
        <f aca="false">IF(TRIM(E1356)="","",UPPER(TRIM(E1356)))</f>
        <v/>
      </c>
    </row>
    <row r="1357" customFormat="false" ht="14.25" hidden="false" customHeight="true" outlineLevel="0" collapsed="false">
      <c r="C1357" s="17" t="str">
        <f aca="false">IF(TRIM(B1357)="","",IFERROR(INDEX('Code Aliases'!$B:$B,MATCH(TRIM(B1357),'Code Aliases'!$A:$A,0)),TRIM(B1357)))</f>
        <v/>
      </c>
      <c r="I1357" s="67" t="str">
        <f aca="false">IF(TRIM(D1357)="","",UPPER(TRIM(D1357)))</f>
        <v/>
      </c>
      <c r="J1357" s="67" t="str">
        <f aca="false">IF(TRIM(E1357)="","",UPPER(TRIM(E1357)))</f>
        <v/>
      </c>
    </row>
    <row r="1358" customFormat="false" ht="14.25" hidden="false" customHeight="true" outlineLevel="0" collapsed="false">
      <c r="C1358" s="17" t="str">
        <f aca="false">IF(TRIM(B1358)="","",IFERROR(INDEX('Code Aliases'!$B:$B,MATCH(TRIM(B1358),'Code Aliases'!$A:$A,0)),TRIM(B1358)))</f>
        <v/>
      </c>
      <c r="I1358" s="67" t="str">
        <f aca="false">IF(TRIM(D1358)="","",UPPER(TRIM(D1358)))</f>
        <v/>
      </c>
      <c r="J1358" s="67" t="str">
        <f aca="false">IF(TRIM(E1358)="","",UPPER(TRIM(E1358)))</f>
        <v/>
      </c>
    </row>
    <row r="1359" customFormat="false" ht="14.25" hidden="false" customHeight="true" outlineLevel="0" collapsed="false">
      <c r="C1359" s="17" t="str">
        <f aca="false">IF(TRIM(B1359)="","",IFERROR(INDEX('Code Aliases'!$B:$B,MATCH(TRIM(B1359),'Code Aliases'!$A:$A,0)),TRIM(B1359)))</f>
        <v/>
      </c>
      <c r="I1359" s="67" t="str">
        <f aca="false">IF(TRIM(D1359)="","",UPPER(TRIM(D1359)))</f>
        <v/>
      </c>
      <c r="J1359" s="67" t="str">
        <f aca="false">IF(TRIM(E1359)="","",UPPER(TRIM(E1359)))</f>
        <v/>
      </c>
    </row>
    <row r="1360" customFormat="false" ht="14.25" hidden="false" customHeight="true" outlineLevel="0" collapsed="false">
      <c r="C1360" s="17" t="str">
        <f aca="false">IF(TRIM(B1360)="","",IFERROR(INDEX('Code Aliases'!$B:$B,MATCH(TRIM(B1360),'Code Aliases'!$A:$A,0)),TRIM(B1360)))</f>
        <v/>
      </c>
      <c r="I1360" s="67" t="str">
        <f aca="false">IF(TRIM(D1360)="","",UPPER(TRIM(D1360)))</f>
        <v/>
      </c>
      <c r="J1360" s="67" t="str">
        <f aca="false">IF(TRIM(E1360)="","",UPPER(TRIM(E1360)))</f>
        <v/>
      </c>
    </row>
    <row r="1361" customFormat="false" ht="14.25" hidden="false" customHeight="true" outlineLevel="0" collapsed="false">
      <c r="C1361" s="17" t="str">
        <f aca="false">IF(TRIM(B1361)="","",IFERROR(INDEX('Code Aliases'!$B:$B,MATCH(TRIM(B1361),'Code Aliases'!$A:$A,0)),TRIM(B1361)))</f>
        <v/>
      </c>
      <c r="I1361" s="67" t="str">
        <f aca="false">IF(TRIM(D1361)="","",UPPER(TRIM(D1361)))</f>
        <v/>
      </c>
      <c r="J1361" s="67" t="str">
        <f aca="false">IF(TRIM(E1361)="","",UPPER(TRIM(E1361)))</f>
        <v/>
      </c>
    </row>
    <row r="1362" customFormat="false" ht="14.25" hidden="false" customHeight="true" outlineLevel="0" collapsed="false">
      <c r="C1362" s="17" t="str">
        <f aca="false">IF(TRIM(B1362)="","",IFERROR(INDEX('Code Aliases'!$B:$B,MATCH(TRIM(B1362),'Code Aliases'!$A:$A,0)),TRIM(B1362)))</f>
        <v/>
      </c>
      <c r="I1362" s="67" t="str">
        <f aca="false">IF(TRIM(D1362)="","",UPPER(TRIM(D1362)))</f>
        <v/>
      </c>
      <c r="J1362" s="67" t="str">
        <f aca="false">IF(TRIM(E1362)="","",UPPER(TRIM(E1362)))</f>
        <v/>
      </c>
    </row>
    <row r="1363" customFormat="false" ht="14.25" hidden="false" customHeight="true" outlineLevel="0" collapsed="false">
      <c r="C1363" s="17" t="str">
        <f aca="false">IF(TRIM(B1363)="","",IFERROR(INDEX('Code Aliases'!$B:$B,MATCH(TRIM(B1363),'Code Aliases'!$A:$A,0)),TRIM(B1363)))</f>
        <v/>
      </c>
      <c r="I1363" s="67" t="str">
        <f aca="false">IF(TRIM(D1363)="","",UPPER(TRIM(D1363)))</f>
        <v/>
      </c>
      <c r="J1363" s="67" t="str">
        <f aca="false">IF(TRIM(E1363)="","",UPPER(TRIM(E1363)))</f>
        <v/>
      </c>
    </row>
    <row r="1364" customFormat="false" ht="14.25" hidden="false" customHeight="true" outlineLevel="0" collapsed="false">
      <c r="C1364" s="17" t="str">
        <f aca="false">IF(TRIM(B1364)="","",IFERROR(INDEX('Code Aliases'!$B:$B,MATCH(TRIM(B1364),'Code Aliases'!$A:$A,0)),TRIM(B1364)))</f>
        <v/>
      </c>
      <c r="I1364" s="67" t="str">
        <f aca="false">IF(TRIM(D1364)="","",UPPER(TRIM(D1364)))</f>
        <v/>
      </c>
      <c r="J1364" s="67" t="str">
        <f aca="false">IF(TRIM(E1364)="","",UPPER(TRIM(E1364)))</f>
        <v/>
      </c>
    </row>
    <row r="1365" customFormat="false" ht="14.25" hidden="false" customHeight="true" outlineLevel="0" collapsed="false">
      <c r="C1365" s="17" t="str">
        <f aca="false">IF(TRIM(B1365)="","",IFERROR(INDEX('Code Aliases'!$B:$B,MATCH(TRIM(B1365),'Code Aliases'!$A:$A,0)),TRIM(B1365)))</f>
        <v/>
      </c>
      <c r="I1365" s="67" t="str">
        <f aca="false">IF(TRIM(D1365)="","",UPPER(TRIM(D1365)))</f>
        <v/>
      </c>
      <c r="J1365" s="67" t="str">
        <f aca="false">IF(TRIM(E1365)="","",UPPER(TRIM(E1365)))</f>
        <v/>
      </c>
    </row>
    <row r="1366" customFormat="false" ht="14.25" hidden="false" customHeight="true" outlineLevel="0" collapsed="false">
      <c r="C1366" s="17" t="str">
        <f aca="false">IF(TRIM(B1366)="","",IFERROR(INDEX('Code Aliases'!$B:$B,MATCH(TRIM(B1366),'Code Aliases'!$A:$A,0)),TRIM(B1366)))</f>
        <v/>
      </c>
      <c r="I1366" s="67" t="str">
        <f aca="false">IF(TRIM(D1366)="","",UPPER(TRIM(D1366)))</f>
        <v/>
      </c>
      <c r="J1366" s="67" t="str">
        <f aca="false">IF(TRIM(E1366)="","",UPPER(TRIM(E1366)))</f>
        <v/>
      </c>
    </row>
    <row r="1367" customFormat="false" ht="14.25" hidden="false" customHeight="true" outlineLevel="0" collapsed="false">
      <c r="C1367" s="17" t="str">
        <f aca="false">IF(TRIM(B1367)="","",IFERROR(INDEX('Code Aliases'!$B:$B,MATCH(TRIM(B1367),'Code Aliases'!$A:$A,0)),TRIM(B1367)))</f>
        <v/>
      </c>
      <c r="I1367" s="67" t="str">
        <f aca="false">IF(TRIM(D1367)="","",UPPER(TRIM(D1367)))</f>
        <v/>
      </c>
      <c r="J1367" s="67" t="str">
        <f aca="false">IF(TRIM(E1367)="","",UPPER(TRIM(E1367)))</f>
        <v/>
      </c>
    </row>
    <row r="1368" customFormat="false" ht="14.25" hidden="false" customHeight="true" outlineLevel="0" collapsed="false">
      <c r="C1368" s="17" t="str">
        <f aca="false">IF(TRIM(B1368)="","",IFERROR(INDEX('Code Aliases'!$B:$B,MATCH(TRIM(B1368),'Code Aliases'!$A:$A,0)),TRIM(B1368)))</f>
        <v/>
      </c>
      <c r="I1368" s="67" t="str">
        <f aca="false">IF(TRIM(D1368)="","",UPPER(TRIM(D1368)))</f>
        <v/>
      </c>
      <c r="J1368" s="67" t="str">
        <f aca="false">IF(TRIM(E1368)="","",UPPER(TRIM(E1368)))</f>
        <v/>
      </c>
    </row>
    <row r="1369" customFormat="false" ht="14.25" hidden="false" customHeight="true" outlineLevel="0" collapsed="false">
      <c r="C1369" s="17" t="str">
        <f aca="false">IF(TRIM(B1369)="","",IFERROR(INDEX('Code Aliases'!$B:$B,MATCH(TRIM(B1369),'Code Aliases'!$A:$A,0)),TRIM(B1369)))</f>
        <v/>
      </c>
      <c r="I1369" s="67" t="str">
        <f aca="false">IF(TRIM(D1369)="","",UPPER(TRIM(D1369)))</f>
        <v/>
      </c>
      <c r="J1369" s="67" t="str">
        <f aca="false">IF(TRIM(E1369)="","",UPPER(TRIM(E1369)))</f>
        <v/>
      </c>
    </row>
    <row r="1370" customFormat="false" ht="14.25" hidden="false" customHeight="true" outlineLevel="0" collapsed="false">
      <c r="C1370" s="17" t="str">
        <f aca="false">IF(TRIM(B1370)="","",IFERROR(INDEX('Code Aliases'!$B:$B,MATCH(TRIM(B1370),'Code Aliases'!$A:$A,0)),TRIM(B1370)))</f>
        <v/>
      </c>
      <c r="I1370" s="67" t="str">
        <f aca="false">IF(TRIM(D1370)="","",UPPER(TRIM(D1370)))</f>
        <v/>
      </c>
      <c r="J1370" s="67" t="str">
        <f aca="false">IF(TRIM(E1370)="","",UPPER(TRIM(E1370)))</f>
        <v/>
      </c>
    </row>
    <row r="1371" customFormat="false" ht="14.25" hidden="false" customHeight="true" outlineLevel="0" collapsed="false">
      <c r="C1371" s="17" t="str">
        <f aca="false">IF(TRIM(B1371)="","",IFERROR(INDEX('Code Aliases'!$B:$B,MATCH(TRIM(B1371),'Code Aliases'!$A:$A,0)),TRIM(B1371)))</f>
        <v/>
      </c>
      <c r="I1371" s="67" t="str">
        <f aca="false">IF(TRIM(D1371)="","",UPPER(TRIM(D1371)))</f>
        <v/>
      </c>
      <c r="J1371" s="67" t="str">
        <f aca="false">IF(TRIM(E1371)="","",UPPER(TRIM(E1371)))</f>
        <v/>
      </c>
    </row>
    <row r="1372" customFormat="false" ht="14.25" hidden="false" customHeight="true" outlineLevel="0" collapsed="false">
      <c r="C1372" s="17" t="str">
        <f aca="false">IF(TRIM(B1372)="","",IFERROR(INDEX('Code Aliases'!$B:$B,MATCH(TRIM(B1372),'Code Aliases'!$A:$A,0)),TRIM(B1372)))</f>
        <v/>
      </c>
      <c r="I1372" s="67" t="str">
        <f aca="false">IF(TRIM(D1372)="","",UPPER(TRIM(D1372)))</f>
        <v/>
      </c>
      <c r="J1372" s="67" t="str">
        <f aca="false">IF(TRIM(E1372)="","",UPPER(TRIM(E1372)))</f>
        <v/>
      </c>
    </row>
    <row r="1373" customFormat="false" ht="14.25" hidden="false" customHeight="true" outlineLevel="0" collapsed="false">
      <c r="C1373" s="17" t="str">
        <f aca="false">IF(TRIM(B1373)="","",IFERROR(INDEX('Code Aliases'!$B:$B,MATCH(TRIM(B1373),'Code Aliases'!$A:$A,0)),TRIM(B1373)))</f>
        <v/>
      </c>
      <c r="I1373" s="67" t="str">
        <f aca="false">IF(TRIM(D1373)="","",UPPER(TRIM(D1373)))</f>
        <v/>
      </c>
      <c r="J1373" s="67" t="str">
        <f aca="false">IF(TRIM(E1373)="","",UPPER(TRIM(E1373)))</f>
        <v/>
      </c>
    </row>
    <row r="1374" customFormat="false" ht="14.25" hidden="false" customHeight="true" outlineLevel="0" collapsed="false">
      <c r="C1374" s="17" t="str">
        <f aca="false">IF(TRIM(B1374)="","",IFERROR(INDEX('Code Aliases'!$B:$B,MATCH(TRIM(B1374),'Code Aliases'!$A:$A,0)),TRIM(B1374)))</f>
        <v/>
      </c>
      <c r="I1374" s="67" t="str">
        <f aca="false">IF(TRIM(D1374)="","",UPPER(TRIM(D1374)))</f>
        <v/>
      </c>
      <c r="J1374" s="67" t="str">
        <f aca="false">IF(TRIM(E1374)="","",UPPER(TRIM(E1374)))</f>
        <v/>
      </c>
    </row>
    <row r="1375" customFormat="false" ht="14.25" hidden="false" customHeight="true" outlineLevel="0" collapsed="false">
      <c r="C1375" s="17" t="str">
        <f aca="false">IF(TRIM(B1375)="","",IFERROR(INDEX('Code Aliases'!$B:$B,MATCH(TRIM(B1375),'Code Aliases'!$A:$A,0)),TRIM(B1375)))</f>
        <v/>
      </c>
      <c r="I1375" s="67" t="str">
        <f aca="false">IF(TRIM(D1375)="","",UPPER(TRIM(D1375)))</f>
        <v/>
      </c>
      <c r="J1375" s="67" t="str">
        <f aca="false">IF(TRIM(E1375)="","",UPPER(TRIM(E1375)))</f>
        <v/>
      </c>
    </row>
    <row r="1376" customFormat="false" ht="14.25" hidden="false" customHeight="true" outlineLevel="0" collapsed="false">
      <c r="C1376" s="17" t="str">
        <f aca="false">IF(TRIM(B1376)="","",IFERROR(INDEX('Code Aliases'!$B:$B,MATCH(TRIM(B1376),'Code Aliases'!$A:$A,0)),TRIM(B1376)))</f>
        <v/>
      </c>
      <c r="I1376" s="67" t="str">
        <f aca="false">IF(TRIM(D1376)="","",UPPER(TRIM(D1376)))</f>
        <v/>
      </c>
      <c r="J1376" s="67" t="str">
        <f aca="false">IF(TRIM(E1376)="","",UPPER(TRIM(E1376)))</f>
        <v/>
      </c>
    </row>
    <row r="1377" customFormat="false" ht="14.25" hidden="false" customHeight="true" outlineLevel="0" collapsed="false">
      <c r="C1377" s="17" t="str">
        <f aca="false">IF(TRIM(B1377)="","",IFERROR(INDEX('Code Aliases'!$B:$B,MATCH(TRIM(B1377),'Code Aliases'!$A:$A,0)),TRIM(B1377)))</f>
        <v/>
      </c>
      <c r="I1377" s="67" t="str">
        <f aca="false">IF(TRIM(D1377)="","",UPPER(TRIM(D1377)))</f>
        <v/>
      </c>
      <c r="J1377" s="67" t="str">
        <f aca="false">IF(TRIM(E1377)="","",UPPER(TRIM(E1377)))</f>
        <v/>
      </c>
    </row>
    <row r="1378" customFormat="false" ht="14.25" hidden="false" customHeight="true" outlineLevel="0" collapsed="false">
      <c r="C1378" s="17" t="str">
        <f aca="false">IF(TRIM(B1378)="","",IFERROR(INDEX('Code Aliases'!$B:$B,MATCH(TRIM(B1378),'Code Aliases'!$A:$A,0)),TRIM(B1378)))</f>
        <v/>
      </c>
      <c r="I1378" s="67" t="str">
        <f aca="false">IF(TRIM(D1378)="","",UPPER(TRIM(D1378)))</f>
        <v/>
      </c>
      <c r="J1378" s="67" t="str">
        <f aca="false">IF(TRIM(E1378)="","",UPPER(TRIM(E1378)))</f>
        <v/>
      </c>
    </row>
    <row r="1379" customFormat="false" ht="14.25" hidden="false" customHeight="true" outlineLevel="0" collapsed="false">
      <c r="C1379" s="17" t="str">
        <f aca="false">IF(TRIM(B1379)="","",IFERROR(INDEX('Code Aliases'!$B:$B,MATCH(TRIM(B1379),'Code Aliases'!$A:$A,0)),TRIM(B1379)))</f>
        <v/>
      </c>
      <c r="I1379" s="67" t="str">
        <f aca="false">IF(TRIM(D1379)="","",UPPER(TRIM(D1379)))</f>
        <v/>
      </c>
      <c r="J1379" s="67" t="str">
        <f aca="false">IF(TRIM(E1379)="","",UPPER(TRIM(E1379)))</f>
        <v/>
      </c>
    </row>
    <row r="1380" customFormat="false" ht="14.25" hidden="false" customHeight="true" outlineLevel="0" collapsed="false">
      <c r="C1380" s="17" t="str">
        <f aca="false">IF(TRIM(B1380)="","",IFERROR(INDEX('Code Aliases'!$B:$B,MATCH(TRIM(B1380),'Code Aliases'!$A:$A,0)),TRIM(B1380)))</f>
        <v/>
      </c>
      <c r="I1380" s="67" t="str">
        <f aca="false">IF(TRIM(D1380)="","",UPPER(TRIM(D1380)))</f>
        <v/>
      </c>
      <c r="J1380" s="67" t="str">
        <f aca="false">IF(TRIM(E1380)="","",UPPER(TRIM(E1380)))</f>
        <v/>
      </c>
    </row>
    <row r="1381" customFormat="false" ht="14.25" hidden="false" customHeight="true" outlineLevel="0" collapsed="false">
      <c r="C1381" s="17" t="str">
        <f aca="false">IF(TRIM(B1381)="","",IFERROR(INDEX('Code Aliases'!$B:$B,MATCH(TRIM(B1381),'Code Aliases'!$A:$A,0)),TRIM(B1381)))</f>
        <v/>
      </c>
      <c r="I1381" s="67" t="str">
        <f aca="false">IF(TRIM(D1381)="","",UPPER(TRIM(D1381)))</f>
        <v/>
      </c>
      <c r="J1381" s="67" t="str">
        <f aca="false">IF(TRIM(E1381)="","",UPPER(TRIM(E1381)))</f>
        <v/>
      </c>
    </row>
    <row r="1382" customFormat="false" ht="14.25" hidden="false" customHeight="true" outlineLevel="0" collapsed="false">
      <c r="C1382" s="17" t="str">
        <f aca="false">IF(TRIM(B1382)="","",IFERROR(INDEX('Code Aliases'!$B:$B,MATCH(TRIM(B1382),'Code Aliases'!$A:$A,0)),TRIM(B1382)))</f>
        <v/>
      </c>
      <c r="I1382" s="67" t="str">
        <f aca="false">IF(TRIM(D1382)="","",UPPER(TRIM(D1382)))</f>
        <v/>
      </c>
      <c r="J1382" s="67" t="str">
        <f aca="false">IF(TRIM(E1382)="","",UPPER(TRIM(E1382)))</f>
        <v/>
      </c>
    </row>
    <row r="1383" customFormat="false" ht="14.25" hidden="false" customHeight="true" outlineLevel="0" collapsed="false">
      <c r="C1383" s="17" t="str">
        <f aca="false">IF(TRIM(B1383)="","",IFERROR(INDEX('Code Aliases'!$B:$B,MATCH(TRIM(B1383),'Code Aliases'!$A:$A,0)),TRIM(B1383)))</f>
        <v/>
      </c>
      <c r="I1383" s="67" t="str">
        <f aca="false">IF(TRIM(D1383)="","",UPPER(TRIM(D1383)))</f>
        <v/>
      </c>
      <c r="J1383" s="67" t="str">
        <f aca="false">IF(TRIM(E1383)="","",UPPER(TRIM(E1383)))</f>
        <v/>
      </c>
    </row>
    <row r="1384" customFormat="false" ht="14.25" hidden="false" customHeight="true" outlineLevel="0" collapsed="false">
      <c r="C1384" s="17" t="str">
        <f aca="false">IF(TRIM(B1384)="","",IFERROR(INDEX('Code Aliases'!$B:$B,MATCH(TRIM(B1384),'Code Aliases'!$A:$A,0)),TRIM(B1384)))</f>
        <v/>
      </c>
      <c r="I1384" s="67" t="str">
        <f aca="false">IF(TRIM(D1384)="","",UPPER(TRIM(D1384)))</f>
        <v/>
      </c>
      <c r="J1384" s="67" t="str">
        <f aca="false">IF(TRIM(E1384)="","",UPPER(TRIM(E1384)))</f>
        <v/>
      </c>
    </row>
    <row r="1385" customFormat="false" ht="14.25" hidden="false" customHeight="true" outlineLevel="0" collapsed="false">
      <c r="C1385" s="17" t="str">
        <f aca="false">IF(TRIM(B1385)="","",IFERROR(INDEX('Code Aliases'!$B:$B,MATCH(TRIM(B1385),'Code Aliases'!$A:$A,0)),TRIM(B1385)))</f>
        <v/>
      </c>
      <c r="I1385" s="67" t="str">
        <f aca="false">IF(TRIM(D1385)="","",UPPER(TRIM(D1385)))</f>
        <v/>
      </c>
      <c r="J1385" s="67" t="str">
        <f aca="false">IF(TRIM(E1385)="","",UPPER(TRIM(E1385)))</f>
        <v/>
      </c>
    </row>
    <row r="1386" customFormat="false" ht="14.25" hidden="false" customHeight="true" outlineLevel="0" collapsed="false">
      <c r="C1386" s="17" t="str">
        <f aca="false">IF(TRIM(B1386)="","",IFERROR(INDEX('Code Aliases'!$B:$B,MATCH(TRIM(B1386),'Code Aliases'!$A:$A,0)),TRIM(B1386)))</f>
        <v/>
      </c>
      <c r="I1386" s="67" t="str">
        <f aca="false">IF(TRIM(D1386)="","",UPPER(TRIM(D1386)))</f>
        <v/>
      </c>
      <c r="J1386" s="67" t="str">
        <f aca="false">IF(TRIM(E1386)="","",UPPER(TRIM(E1386)))</f>
        <v/>
      </c>
    </row>
    <row r="1387" customFormat="false" ht="14.25" hidden="false" customHeight="true" outlineLevel="0" collapsed="false">
      <c r="C1387" s="17" t="str">
        <f aca="false">IF(TRIM(B1387)="","",IFERROR(INDEX('Code Aliases'!$B:$B,MATCH(TRIM(B1387),'Code Aliases'!$A:$A,0)),TRIM(B1387)))</f>
        <v/>
      </c>
      <c r="I1387" s="67" t="str">
        <f aca="false">IF(TRIM(D1387)="","",UPPER(TRIM(D1387)))</f>
        <v/>
      </c>
      <c r="J1387" s="67" t="str">
        <f aca="false">IF(TRIM(E1387)="","",UPPER(TRIM(E1387)))</f>
        <v/>
      </c>
    </row>
    <row r="1388" customFormat="false" ht="14.25" hidden="false" customHeight="true" outlineLevel="0" collapsed="false">
      <c r="C1388" s="17" t="str">
        <f aca="false">IF(TRIM(B1388)="","",IFERROR(INDEX('Code Aliases'!$B:$B,MATCH(TRIM(B1388),'Code Aliases'!$A:$A,0)),TRIM(B1388)))</f>
        <v/>
      </c>
      <c r="I1388" s="67" t="str">
        <f aca="false">IF(TRIM(D1388)="","",UPPER(TRIM(D1388)))</f>
        <v/>
      </c>
      <c r="J1388" s="67" t="str">
        <f aca="false">IF(TRIM(E1388)="","",UPPER(TRIM(E1388)))</f>
        <v/>
      </c>
    </row>
    <row r="1389" customFormat="false" ht="14.25" hidden="false" customHeight="true" outlineLevel="0" collapsed="false">
      <c r="C1389" s="17" t="str">
        <f aca="false">IF(TRIM(B1389)="","",IFERROR(INDEX('Code Aliases'!$B:$B,MATCH(TRIM(B1389),'Code Aliases'!$A:$A,0)),TRIM(B1389)))</f>
        <v/>
      </c>
      <c r="I1389" s="67" t="str">
        <f aca="false">IF(TRIM(D1389)="","",UPPER(TRIM(D1389)))</f>
        <v/>
      </c>
      <c r="J1389" s="67" t="str">
        <f aca="false">IF(TRIM(E1389)="","",UPPER(TRIM(E1389)))</f>
        <v/>
      </c>
    </row>
    <row r="1390" customFormat="false" ht="14.25" hidden="false" customHeight="true" outlineLevel="0" collapsed="false">
      <c r="C1390" s="17" t="str">
        <f aca="false">IF(TRIM(B1390)="","",IFERROR(INDEX('Code Aliases'!$B:$B,MATCH(TRIM(B1390),'Code Aliases'!$A:$A,0)),TRIM(B1390)))</f>
        <v/>
      </c>
      <c r="I1390" s="67" t="str">
        <f aca="false">IF(TRIM(D1390)="","",UPPER(TRIM(D1390)))</f>
        <v/>
      </c>
      <c r="J1390" s="67" t="str">
        <f aca="false">IF(TRIM(E1390)="","",UPPER(TRIM(E1390)))</f>
        <v/>
      </c>
    </row>
    <row r="1391" customFormat="false" ht="14.25" hidden="false" customHeight="true" outlineLevel="0" collapsed="false">
      <c r="C1391" s="17" t="str">
        <f aca="false">IF(TRIM(B1391)="","",IFERROR(INDEX('Code Aliases'!$B:$B,MATCH(TRIM(B1391),'Code Aliases'!$A:$A,0)),TRIM(B1391)))</f>
        <v/>
      </c>
      <c r="I1391" s="67" t="str">
        <f aca="false">IF(TRIM(D1391)="","",UPPER(TRIM(D1391)))</f>
        <v/>
      </c>
      <c r="J1391" s="67" t="str">
        <f aca="false">IF(TRIM(E1391)="","",UPPER(TRIM(E1391)))</f>
        <v/>
      </c>
    </row>
    <row r="1392" customFormat="false" ht="14.25" hidden="false" customHeight="true" outlineLevel="0" collapsed="false">
      <c r="C1392" s="17" t="str">
        <f aca="false">IF(TRIM(B1392)="","",IFERROR(INDEX('Code Aliases'!$B:$B,MATCH(TRIM(B1392),'Code Aliases'!$A:$A,0)),TRIM(B1392)))</f>
        <v/>
      </c>
      <c r="I1392" s="67" t="str">
        <f aca="false">IF(TRIM(D1392)="","",UPPER(TRIM(D1392)))</f>
        <v/>
      </c>
      <c r="J1392" s="67" t="str">
        <f aca="false">IF(TRIM(E1392)="","",UPPER(TRIM(E1392)))</f>
        <v/>
      </c>
    </row>
    <row r="1393" customFormat="false" ht="14.25" hidden="false" customHeight="true" outlineLevel="0" collapsed="false">
      <c r="C1393" s="17" t="str">
        <f aca="false">IF(TRIM(B1393)="","",IFERROR(INDEX('Code Aliases'!$B:$B,MATCH(TRIM(B1393),'Code Aliases'!$A:$A,0)),TRIM(B1393)))</f>
        <v/>
      </c>
      <c r="I1393" s="67" t="str">
        <f aca="false">IF(TRIM(D1393)="","",UPPER(TRIM(D1393)))</f>
        <v/>
      </c>
      <c r="J1393" s="67" t="str">
        <f aca="false">IF(TRIM(E1393)="","",UPPER(TRIM(E1393)))</f>
        <v/>
      </c>
    </row>
    <row r="1394" customFormat="false" ht="14.25" hidden="false" customHeight="true" outlineLevel="0" collapsed="false">
      <c r="C1394" s="17" t="str">
        <f aca="false">IF(TRIM(B1394)="","",IFERROR(INDEX('Code Aliases'!$B:$B,MATCH(TRIM(B1394),'Code Aliases'!$A:$A,0)),TRIM(B1394)))</f>
        <v/>
      </c>
      <c r="I1394" s="67" t="str">
        <f aca="false">IF(TRIM(D1394)="","",UPPER(TRIM(D1394)))</f>
        <v/>
      </c>
      <c r="J1394" s="67" t="str">
        <f aca="false">IF(TRIM(E1394)="","",UPPER(TRIM(E1394)))</f>
        <v/>
      </c>
    </row>
    <row r="1395" customFormat="false" ht="14.25" hidden="false" customHeight="true" outlineLevel="0" collapsed="false">
      <c r="C1395" s="17" t="str">
        <f aca="false">IF(TRIM(B1395)="","",IFERROR(INDEX('Code Aliases'!$B:$B,MATCH(TRIM(B1395),'Code Aliases'!$A:$A,0)),TRIM(B1395)))</f>
        <v/>
      </c>
      <c r="I1395" s="67" t="str">
        <f aca="false">IF(TRIM(D1395)="","",UPPER(TRIM(D1395)))</f>
        <v/>
      </c>
      <c r="J1395" s="67" t="str">
        <f aca="false">IF(TRIM(E1395)="","",UPPER(TRIM(E1395)))</f>
        <v/>
      </c>
    </row>
    <row r="1396" customFormat="false" ht="14.25" hidden="false" customHeight="true" outlineLevel="0" collapsed="false">
      <c r="C1396" s="17" t="str">
        <f aca="false">IF(TRIM(B1396)="","",IFERROR(INDEX('Code Aliases'!$B:$B,MATCH(TRIM(B1396),'Code Aliases'!$A:$A,0)),TRIM(B1396)))</f>
        <v/>
      </c>
      <c r="I1396" s="67" t="str">
        <f aca="false">IF(TRIM(D1396)="","",UPPER(TRIM(D1396)))</f>
        <v/>
      </c>
      <c r="J1396" s="67" t="str">
        <f aca="false">IF(TRIM(E1396)="","",UPPER(TRIM(E1396)))</f>
        <v/>
      </c>
    </row>
    <row r="1397" customFormat="false" ht="14.25" hidden="false" customHeight="true" outlineLevel="0" collapsed="false">
      <c r="C1397" s="17" t="str">
        <f aca="false">IF(TRIM(B1397)="","",IFERROR(INDEX('Code Aliases'!$B:$B,MATCH(TRIM(B1397),'Code Aliases'!$A:$A,0)),TRIM(B1397)))</f>
        <v/>
      </c>
      <c r="I1397" s="67" t="str">
        <f aca="false">IF(TRIM(D1397)="","",UPPER(TRIM(D1397)))</f>
        <v/>
      </c>
      <c r="J1397" s="67" t="str">
        <f aca="false">IF(TRIM(E1397)="","",UPPER(TRIM(E1397)))</f>
        <v/>
      </c>
    </row>
    <row r="1398" customFormat="false" ht="14.25" hidden="false" customHeight="true" outlineLevel="0" collapsed="false">
      <c r="C1398" s="17" t="str">
        <f aca="false">IF(TRIM(B1398)="","",IFERROR(INDEX('Code Aliases'!$B:$B,MATCH(TRIM(B1398),'Code Aliases'!$A:$A,0)),TRIM(B1398)))</f>
        <v/>
      </c>
      <c r="I1398" s="67" t="str">
        <f aca="false">IF(TRIM(D1398)="","",UPPER(TRIM(D1398)))</f>
        <v/>
      </c>
      <c r="J1398" s="67" t="str">
        <f aca="false">IF(TRIM(E1398)="","",UPPER(TRIM(E1398)))</f>
        <v/>
      </c>
    </row>
    <row r="1399" customFormat="false" ht="14.25" hidden="false" customHeight="true" outlineLevel="0" collapsed="false">
      <c r="C1399" s="17" t="str">
        <f aca="false">IF(TRIM(B1399)="","",IFERROR(INDEX('Code Aliases'!$B:$B,MATCH(TRIM(B1399),'Code Aliases'!$A:$A,0)),TRIM(B1399)))</f>
        <v/>
      </c>
      <c r="I1399" s="67" t="str">
        <f aca="false">IF(TRIM(D1399)="","",UPPER(TRIM(D1399)))</f>
        <v/>
      </c>
      <c r="J1399" s="67" t="str">
        <f aca="false">IF(TRIM(E1399)="","",UPPER(TRIM(E1399)))</f>
        <v/>
      </c>
    </row>
    <row r="1400" customFormat="false" ht="14.25" hidden="false" customHeight="true" outlineLevel="0" collapsed="false">
      <c r="C1400" s="17" t="str">
        <f aca="false">IF(TRIM(B1400)="","",IFERROR(INDEX('Code Aliases'!$B:$B,MATCH(TRIM(B1400),'Code Aliases'!$A:$A,0)),TRIM(B1400)))</f>
        <v/>
      </c>
      <c r="I1400" s="67" t="str">
        <f aca="false">IF(TRIM(D1400)="","",UPPER(TRIM(D1400)))</f>
        <v/>
      </c>
      <c r="J1400" s="67" t="str">
        <f aca="false">IF(TRIM(E1400)="","",UPPER(TRIM(E1400)))</f>
        <v/>
      </c>
    </row>
    <row r="1401" customFormat="false" ht="14.25" hidden="false" customHeight="true" outlineLevel="0" collapsed="false">
      <c r="C1401" s="17" t="str">
        <f aca="false">IF(TRIM(B1401)="","",IFERROR(INDEX('Code Aliases'!$B:$B,MATCH(TRIM(B1401),'Code Aliases'!$A:$A,0)),TRIM(B1401)))</f>
        <v/>
      </c>
      <c r="I1401" s="67" t="str">
        <f aca="false">IF(TRIM(D1401)="","",UPPER(TRIM(D1401)))</f>
        <v/>
      </c>
      <c r="J1401" s="67" t="str">
        <f aca="false">IF(TRIM(E1401)="","",UPPER(TRIM(E1401)))</f>
        <v/>
      </c>
    </row>
    <row r="1402" customFormat="false" ht="14.25" hidden="false" customHeight="true" outlineLevel="0" collapsed="false">
      <c r="C1402" s="17" t="str">
        <f aca="false">IF(TRIM(B1402)="","",IFERROR(INDEX('Code Aliases'!$B:$B,MATCH(TRIM(B1402),'Code Aliases'!$A:$A,0)),TRIM(B1402)))</f>
        <v/>
      </c>
      <c r="I1402" s="67" t="str">
        <f aca="false">IF(TRIM(D1402)="","",UPPER(TRIM(D1402)))</f>
        <v/>
      </c>
      <c r="J1402" s="67" t="str">
        <f aca="false">IF(TRIM(E1402)="","",UPPER(TRIM(E1402)))</f>
        <v/>
      </c>
    </row>
    <row r="1403" customFormat="false" ht="14.25" hidden="false" customHeight="true" outlineLevel="0" collapsed="false">
      <c r="C1403" s="17" t="str">
        <f aca="false">IF(TRIM(B1403)="","",IFERROR(INDEX('Code Aliases'!$B:$B,MATCH(TRIM(B1403),'Code Aliases'!$A:$A,0)),TRIM(B1403)))</f>
        <v/>
      </c>
      <c r="I1403" s="67" t="str">
        <f aca="false">IF(TRIM(D1403)="","",UPPER(TRIM(D1403)))</f>
        <v/>
      </c>
      <c r="J1403" s="67" t="str">
        <f aca="false">IF(TRIM(E1403)="","",UPPER(TRIM(E1403)))</f>
        <v/>
      </c>
    </row>
    <row r="1404" customFormat="false" ht="14.25" hidden="false" customHeight="true" outlineLevel="0" collapsed="false">
      <c r="C1404" s="17" t="str">
        <f aca="false">IF(TRIM(B1404)="","",IFERROR(INDEX('Code Aliases'!$B:$B,MATCH(TRIM(B1404),'Code Aliases'!$A:$A,0)),TRIM(B1404)))</f>
        <v/>
      </c>
      <c r="I1404" s="67" t="str">
        <f aca="false">IF(TRIM(D1404)="","",UPPER(TRIM(D1404)))</f>
        <v/>
      </c>
      <c r="J1404" s="67" t="str">
        <f aca="false">IF(TRIM(E1404)="","",UPPER(TRIM(E1404)))</f>
        <v/>
      </c>
    </row>
    <row r="1405" customFormat="false" ht="14.25" hidden="false" customHeight="true" outlineLevel="0" collapsed="false">
      <c r="C1405" s="17" t="str">
        <f aca="false">IF(TRIM(B1405)="","",IFERROR(INDEX('Code Aliases'!$B:$B,MATCH(TRIM(B1405),'Code Aliases'!$A:$A,0)),TRIM(B1405)))</f>
        <v/>
      </c>
      <c r="I1405" s="67" t="str">
        <f aca="false">IF(TRIM(D1405)="","",UPPER(TRIM(D1405)))</f>
        <v/>
      </c>
      <c r="J1405" s="67" t="str">
        <f aca="false">IF(TRIM(E1405)="","",UPPER(TRIM(E1405)))</f>
        <v/>
      </c>
    </row>
    <row r="1406" customFormat="false" ht="14.25" hidden="false" customHeight="true" outlineLevel="0" collapsed="false">
      <c r="C1406" s="17" t="str">
        <f aca="false">IF(TRIM(B1406)="","",IFERROR(INDEX('Code Aliases'!$B:$B,MATCH(TRIM(B1406),'Code Aliases'!$A:$A,0)),TRIM(B1406)))</f>
        <v/>
      </c>
      <c r="I1406" s="67" t="str">
        <f aca="false">IF(TRIM(D1406)="","",UPPER(TRIM(D1406)))</f>
        <v/>
      </c>
      <c r="J1406" s="67" t="str">
        <f aca="false">IF(TRIM(E1406)="","",UPPER(TRIM(E1406)))</f>
        <v/>
      </c>
    </row>
    <row r="1407" customFormat="false" ht="14.25" hidden="false" customHeight="true" outlineLevel="0" collapsed="false">
      <c r="C1407" s="17" t="str">
        <f aca="false">IF(TRIM(B1407)="","",IFERROR(INDEX('Code Aliases'!$B:$B,MATCH(TRIM(B1407),'Code Aliases'!$A:$A,0)),TRIM(B1407)))</f>
        <v/>
      </c>
      <c r="I1407" s="67" t="str">
        <f aca="false">IF(TRIM(D1407)="","",UPPER(TRIM(D1407)))</f>
        <v/>
      </c>
      <c r="J1407" s="67" t="str">
        <f aca="false">IF(TRIM(E1407)="","",UPPER(TRIM(E1407)))</f>
        <v/>
      </c>
    </row>
    <row r="1408" customFormat="false" ht="14.25" hidden="false" customHeight="true" outlineLevel="0" collapsed="false">
      <c r="C1408" s="17" t="str">
        <f aca="false">IF(TRIM(B1408)="","",IFERROR(INDEX('Code Aliases'!$B:$B,MATCH(TRIM(B1408),'Code Aliases'!$A:$A,0)),TRIM(B1408)))</f>
        <v/>
      </c>
      <c r="I1408" s="67" t="str">
        <f aca="false">IF(TRIM(D1408)="","",UPPER(TRIM(D1408)))</f>
        <v/>
      </c>
      <c r="J1408" s="67" t="str">
        <f aca="false">IF(TRIM(E1408)="","",UPPER(TRIM(E1408)))</f>
        <v/>
      </c>
    </row>
    <row r="1409" customFormat="false" ht="14.25" hidden="false" customHeight="true" outlineLevel="0" collapsed="false">
      <c r="C1409" s="17" t="str">
        <f aca="false">IF(TRIM(B1409)="","",IFERROR(INDEX('Code Aliases'!$B:$B,MATCH(TRIM(B1409),'Code Aliases'!$A:$A,0)),TRIM(B1409)))</f>
        <v/>
      </c>
      <c r="I1409" s="67" t="str">
        <f aca="false">IF(TRIM(D1409)="","",UPPER(TRIM(D1409)))</f>
        <v/>
      </c>
      <c r="J1409" s="67" t="str">
        <f aca="false">IF(TRIM(E1409)="","",UPPER(TRIM(E1409)))</f>
        <v/>
      </c>
    </row>
    <row r="1410" customFormat="false" ht="14.25" hidden="false" customHeight="true" outlineLevel="0" collapsed="false">
      <c r="C1410" s="17" t="str">
        <f aca="false">IF(TRIM(B1410)="","",IFERROR(INDEX('Code Aliases'!$B:$B,MATCH(TRIM(B1410),'Code Aliases'!$A:$A,0)),TRIM(B1410)))</f>
        <v/>
      </c>
      <c r="I1410" s="67" t="str">
        <f aca="false">IF(TRIM(D1410)="","",UPPER(TRIM(D1410)))</f>
        <v/>
      </c>
      <c r="J1410" s="67" t="str">
        <f aca="false">IF(TRIM(E1410)="","",UPPER(TRIM(E1410)))</f>
        <v/>
      </c>
    </row>
    <row r="1411" customFormat="false" ht="14.25" hidden="false" customHeight="true" outlineLevel="0" collapsed="false">
      <c r="C1411" s="17" t="str">
        <f aca="false">IF(TRIM(B1411)="","",IFERROR(INDEX('Code Aliases'!$B:$B,MATCH(TRIM(B1411),'Code Aliases'!$A:$A,0)),TRIM(B1411)))</f>
        <v/>
      </c>
      <c r="I1411" s="67" t="str">
        <f aca="false">IF(TRIM(D1411)="","",UPPER(TRIM(D1411)))</f>
        <v/>
      </c>
      <c r="J1411" s="67" t="str">
        <f aca="false">IF(TRIM(E1411)="","",UPPER(TRIM(E1411)))</f>
        <v/>
      </c>
    </row>
    <row r="1412" customFormat="false" ht="14.25" hidden="false" customHeight="true" outlineLevel="0" collapsed="false">
      <c r="C1412" s="17" t="str">
        <f aca="false">IF(TRIM(B1412)="","",IFERROR(INDEX('Code Aliases'!$B:$B,MATCH(TRIM(B1412),'Code Aliases'!$A:$A,0)),TRIM(B1412)))</f>
        <v/>
      </c>
      <c r="I1412" s="67" t="str">
        <f aca="false">IF(TRIM(D1412)="","",UPPER(TRIM(D1412)))</f>
        <v/>
      </c>
      <c r="J1412" s="67" t="str">
        <f aca="false">IF(TRIM(E1412)="","",UPPER(TRIM(E1412)))</f>
        <v/>
      </c>
    </row>
    <row r="1413" customFormat="false" ht="14.25" hidden="false" customHeight="true" outlineLevel="0" collapsed="false">
      <c r="C1413" s="17" t="str">
        <f aca="false">IF(TRIM(B1413)="","",IFERROR(INDEX('Code Aliases'!$B:$B,MATCH(TRIM(B1413),'Code Aliases'!$A:$A,0)),TRIM(B1413)))</f>
        <v/>
      </c>
      <c r="I1413" s="67" t="str">
        <f aca="false">IF(TRIM(D1413)="","",UPPER(TRIM(D1413)))</f>
        <v/>
      </c>
      <c r="J1413" s="67" t="str">
        <f aca="false">IF(TRIM(E1413)="","",UPPER(TRIM(E1413)))</f>
        <v/>
      </c>
    </row>
    <row r="1414" customFormat="false" ht="14.25" hidden="false" customHeight="true" outlineLevel="0" collapsed="false">
      <c r="C1414" s="17" t="str">
        <f aca="false">IF(TRIM(B1414)="","",IFERROR(INDEX('Code Aliases'!$B:$B,MATCH(TRIM(B1414),'Code Aliases'!$A:$A,0)),TRIM(B1414)))</f>
        <v/>
      </c>
      <c r="I1414" s="67" t="str">
        <f aca="false">IF(TRIM(D1414)="","",UPPER(TRIM(D1414)))</f>
        <v/>
      </c>
      <c r="J1414" s="67" t="str">
        <f aca="false">IF(TRIM(E1414)="","",UPPER(TRIM(E1414)))</f>
        <v/>
      </c>
    </row>
    <row r="1415" customFormat="false" ht="14.25" hidden="false" customHeight="true" outlineLevel="0" collapsed="false">
      <c r="C1415" s="17" t="str">
        <f aca="false">IF(TRIM(B1415)="","",IFERROR(INDEX('Code Aliases'!$B:$B,MATCH(TRIM(B1415),'Code Aliases'!$A:$A,0)),TRIM(B1415)))</f>
        <v/>
      </c>
      <c r="I1415" s="67" t="str">
        <f aca="false">IF(TRIM(D1415)="","",UPPER(TRIM(D1415)))</f>
        <v/>
      </c>
      <c r="J1415" s="67" t="str">
        <f aca="false">IF(TRIM(E1415)="","",UPPER(TRIM(E1415)))</f>
        <v/>
      </c>
    </row>
    <row r="1416" customFormat="false" ht="14.25" hidden="false" customHeight="true" outlineLevel="0" collapsed="false">
      <c r="C1416" s="17" t="str">
        <f aca="false">IF(TRIM(B1416)="","",IFERROR(INDEX('Code Aliases'!$B:$B,MATCH(TRIM(B1416),'Code Aliases'!$A:$A,0)),TRIM(B1416)))</f>
        <v/>
      </c>
      <c r="I1416" s="67" t="str">
        <f aca="false">IF(TRIM(D1416)="","",UPPER(TRIM(D1416)))</f>
        <v/>
      </c>
      <c r="J1416" s="67" t="str">
        <f aca="false">IF(TRIM(E1416)="","",UPPER(TRIM(E1416)))</f>
        <v/>
      </c>
    </row>
    <row r="1417" customFormat="false" ht="14.25" hidden="false" customHeight="true" outlineLevel="0" collapsed="false">
      <c r="C1417" s="17" t="str">
        <f aca="false">IF(TRIM(B1417)="","",IFERROR(INDEX('Code Aliases'!$B:$B,MATCH(TRIM(B1417),'Code Aliases'!$A:$A,0)),TRIM(B1417)))</f>
        <v/>
      </c>
      <c r="I1417" s="67" t="str">
        <f aca="false">IF(TRIM(D1417)="","",UPPER(TRIM(D1417)))</f>
        <v/>
      </c>
      <c r="J1417" s="67" t="str">
        <f aca="false">IF(TRIM(E1417)="","",UPPER(TRIM(E1417)))</f>
        <v/>
      </c>
    </row>
    <row r="1418" customFormat="false" ht="14.25" hidden="false" customHeight="true" outlineLevel="0" collapsed="false">
      <c r="C1418" s="17" t="str">
        <f aca="false">IF(TRIM(B1418)="","",IFERROR(INDEX('Code Aliases'!$B:$B,MATCH(TRIM(B1418),'Code Aliases'!$A:$A,0)),TRIM(B1418)))</f>
        <v/>
      </c>
      <c r="I1418" s="67" t="str">
        <f aca="false">IF(TRIM(D1418)="","",UPPER(TRIM(D1418)))</f>
        <v/>
      </c>
      <c r="J1418" s="67" t="str">
        <f aca="false">IF(TRIM(E1418)="","",UPPER(TRIM(E1418)))</f>
        <v/>
      </c>
    </row>
    <row r="1419" customFormat="false" ht="14.25" hidden="false" customHeight="true" outlineLevel="0" collapsed="false">
      <c r="C1419" s="17" t="str">
        <f aca="false">IF(TRIM(B1419)="","",IFERROR(INDEX('Code Aliases'!$B:$B,MATCH(TRIM(B1419),'Code Aliases'!$A:$A,0)),TRIM(B1419)))</f>
        <v/>
      </c>
      <c r="I1419" s="67" t="str">
        <f aca="false">IF(TRIM(D1419)="","",UPPER(TRIM(D1419)))</f>
        <v/>
      </c>
      <c r="J1419" s="67" t="str">
        <f aca="false">IF(TRIM(E1419)="","",UPPER(TRIM(E1419)))</f>
        <v/>
      </c>
    </row>
    <row r="1420" customFormat="false" ht="14.25" hidden="false" customHeight="true" outlineLevel="0" collapsed="false">
      <c r="C1420" s="17" t="str">
        <f aca="false">IF(TRIM(B1420)="","",IFERROR(INDEX('Code Aliases'!$B:$B,MATCH(TRIM(B1420),'Code Aliases'!$A:$A,0)),TRIM(B1420)))</f>
        <v/>
      </c>
      <c r="I1420" s="67" t="str">
        <f aca="false">IF(TRIM(D1420)="","",UPPER(TRIM(D1420)))</f>
        <v/>
      </c>
      <c r="J1420" s="67" t="str">
        <f aca="false">IF(TRIM(E1420)="","",UPPER(TRIM(E1420)))</f>
        <v/>
      </c>
    </row>
    <row r="1421" customFormat="false" ht="14.25" hidden="false" customHeight="true" outlineLevel="0" collapsed="false">
      <c r="C1421" s="17" t="str">
        <f aca="false">IF(TRIM(B1421)="","",IFERROR(INDEX('Code Aliases'!$B:$B,MATCH(TRIM(B1421),'Code Aliases'!$A:$A,0)),TRIM(B1421)))</f>
        <v/>
      </c>
      <c r="I1421" s="67" t="str">
        <f aca="false">IF(TRIM(D1421)="","",UPPER(TRIM(D1421)))</f>
        <v/>
      </c>
      <c r="J1421" s="67" t="str">
        <f aca="false">IF(TRIM(E1421)="","",UPPER(TRIM(E1421)))</f>
        <v/>
      </c>
    </row>
    <row r="1422" customFormat="false" ht="14.25" hidden="false" customHeight="true" outlineLevel="0" collapsed="false">
      <c r="C1422" s="17" t="str">
        <f aca="false">IF(TRIM(B1422)="","",IFERROR(INDEX('Code Aliases'!$B:$B,MATCH(TRIM(B1422),'Code Aliases'!$A:$A,0)),TRIM(B1422)))</f>
        <v/>
      </c>
      <c r="I1422" s="67" t="str">
        <f aca="false">IF(TRIM(D1422)="","",UPPER(TRIM(D1422)))</f>
        <v/>
      </c>
      <c r="J1422" s="67" t="str">
        <f aca="false">IF(TRIM(E1422)="","",UPPER(TRIM(E1422)))</f>
        <v/>
      </c>
    </row>
    <row r="1423" customFormat="false" ht="14.25" hidden="false" customHeight="true" outlineLevel="0" collapsed="false">
      <c r="C1423" s="17" t="str">
        <f aca="false">IF(TRIM(B1423)="","",IFERROR(INDEX('Code Aliases'!$B:$B,MATCH(TRIM(B1423),'Code Aliases'!$A:$A,0)),TRIM(B1423)))</f>
        <v/>
      </c>
      <c r="I1423" s="67" t="str">
        <f aca="false">IF(TRIM(D1423)="","",UPPER(TRIM(D1423)))</f>
        <v/>
      </c>
      <c r="J1423" s="67" t="str">
        <f aca="false">IF(TRIM(E1423)="","",UPPER(TRIM(E1423)))</f>
        <v/>
      </c>
    </row>
    <row r="1424" customFormat="false" ht="14.25" hidden="false" customHeight="true" outlineLevel="0" collapsed="false">
      <c r="C1424" s="17" t="str">
        <f aca="false">IF(TRIM(B1424)="","",IFERROR(INDEX('Code Aliases'!$B:$B,MATCH(TRIM(B1424),'Code Aliases'!$A:$A,0)),TRIM(B1424)))</f>
        <v/>
      </c>
      <c r="I1424" s="67" t="str">
        <f aca="false">IF(TRIM(D1424)="","",UPPER(TRIM(D1424)))</f>
        <v/>
      </c>
      <c r="J1424" s="67" t="str">
        <f aca="false">IF(TRIM(E1424)="","",UPPER(TRIM(E1424)))</f>
        <v/>
      </c>
    </row>
    <row r="1425" customFormat="false" ht="14.25" hidden="false" customHeight="true" outlineLevel="0" collapsed="false">
      <c r="C1425" s="17" t="str">
        <f aca="false">IF(TRIM(B1425)="","",IFERROR(INDEX('Code Aliases'!$B:$B,MATCH(TRIM(B1425),'Code Aliases'!$A:$A,0)),TRIM(B1425)))</f>
        <v/>
      </c>
      <c r="I1425" s="67" t="str">
        <f aca="false">IF(TRIM(D1425)="","",UPPER(TRIM(D1425)))</f>
        <v/>
      </c>
      <c r="J1425" s="67" t="str">
        <f aca="false">IF(TRIM(E1425)="","",UPPER(TRIM(E1425)))</f>
        <v/>
      </c>
    </row>
    <row r="1426" customFormat="false" ht="14.25" hidden="false" customHeight="true" outlineLevel="0" collapsed="false">
      <c r="C1426" s="17" t="str">
        <f aca="false">IF(TRIM(B1426)="","",IFERROR(INDEX('Code Aliases'!$B:$B,MATCH(TRIM(B1426),'Code Aliases'!$A:$A,0)),TRIM(B1426)))</f>
        <v/>
      </c>
      <c r="I1426" s="67" t="str">
        <f aca="false">IF(TRIM(D1426)="","",UPPER(TRIM(D1426)))</f>
        <v/>
      </c>
      <c r="J1426" s="67" t="str">
        <f aca="false">IF(TRIM(E1426)="","",UPPER(TRIM(E1426)))</f>
        <v/>
      </c>
    </row>
    <row r="1427" customFormat="false" ht="14.25" hidden="false" customHeight="true" outlineLevel="0" collapsed="false">
      <c r="C1427" s="17" t="str">
        <f aca="false">IF(TRIM(B1427)="","",IFERROR(INDEX('Code Aliases'!$B:$B,MATCH(TRIM(B1427),'Code Aliases'!$A:$A,0)),TRIM(B1427)))</f>
        <v/>
      </c>
      <c r="I1427" s="67" t="str">
        <f aca="false">IF(TRIM(D1427)="","",UPPER(TRIM(D1427)))</f>
        <v/>
      </c>
      <c r="J1427" s="67" t="str">
        <f aca="false">IF(TRIM(E1427)="","",UPPER(TRIM(E1427)))</f>
        <v/>
      </c>
    </row>
    <row r="1428" customFormat="false" ht="14.25" hidden="false" customHeight="true" outlineLevel="0" collapsed="false">
      <c r="C1428" s="17" t="str">
        <f aca="false">IF(TRIM(B1428)="","",IFERROR(INDEX('Code Aliases'!$B:$B,MATCH(TRIM(B1428),'Code Aliases'!$A:$A,0)),TRIM(B1428)))</f>
        <v/>
      </c>
      <c r="I1428" s="67" t="str">
        <f aca="false">IF(TRIM(D1428)="","",UPPER(TRIM(D1428)))</f>
        <v/>
      </c>
      <c r="J1428" s="67" t="str">
        <f aca="false">IF(TRIM(E1428)="","",UPPER(TRIM(E1428)))</f>
        <v/>
      </c>
    </row>
    <row r="1429" customFormat="false" ht="14.25" hidden="false" customHeight="true" outlineLevel="0" collapsed="false">
      <c r="C1429" s="17" t="str">
        <f aca="false">IF(TRIM(B1429)="","",IFERROR(INDEX('Code Aliases'!$B:$B,MATCH(TRIM(B1429),'Code Aliases'!$A:$A,0)),TRIM(B1429)))</f>
        <v/>
      </c>
      <c r="I1429" s="67" t="str">
        <f aca="false">IF(TRIM(D1429)="","",UPPER(TRIM(D1429)))</f>
        <v/>
      </c>
      <c r="J1429" s="67" t="str">
        <f aca="false">IF(TRIM(E1429)="","",UPPER(TRIM(E1429)))</f>
        <v/>
      </c>
    </row>
    <row r="1430" customFormat="false" ht="14.25" hidden="false" customHeight="true" outlineLevel="0" collapsed="false">
      <c r="C1430" s="17" t="str">
        <f aca="false">IF(TRIM(B1430)="","",IFERROR(INDEX('Code Aliases'!$B:$B,MATCH(TRIM(B1430),'Code Aliases'!$A:$A,0)),TRIM(B1430)))</f>
        <v/>
      </c>
      <c r="I1430" s="67" t="str">
        <f aca="false">IF(TRIM(D1430)="","",UPPER(TRIM(D1430)))</f>
        <v/>
      </c>
      <c r="J1430" s="67" t="str">
        <f aca="false">IF(TRIM(E1430)="","",UPPER(TRIM(E1430)))</f>
        <v/>
      </c>
    </row>
    <row r="1431" customFormat="false" ht="14.25" hidden="false" customHeight="true" outlineLevel="0" collapsed="false">
      <c r="C1431" s="17" t="str">
        <f aca="false">IF(TRIM(B1431)="","",IFERROR(INDEX('Code Aliases'!$B:$B,MATCH(TRIM(B1431),'Code Aliases'!$A:$A,0)),TRIM(B1431)))</f>
        <v/>
      </c>
      <c r="I1431" s="67" t="str">
        <f aca="false">IF(TRIM(D1431)="","",UPPER(TRIM(D1431)))</f>
        <v/>
      </c>
      <c r="J1431" s="67" t="str">
        <f aca="false">IF(TRIM(E1431)="","",UPPER(TRIM(E1431)))</f>
        <v/>
      </c>
    </row>
    <row r="1432" customFormat="false" ht="14.25" hidden="false" customHeight="true" outlineLevel="0" collapsed="false">
      <c r="C1432" s="17" t="str">
        <f aca="false">IF(TRIM(B1432)="","",IFERROR(INDEX('Code Aliases'!$B:$B,MATCH(TRIM(B1432),'Code Aliases'!$A:$A,0)),TRIM(B1432)))</f>
        <v/>
      </c>
      <c r="I1432" s="67" t="str">
        <f aca="false">IF(TRIM(D1432)="","",UPPER(TRIM(D1432)))</f>
        <v/>
      </c>
      <c r="J1432" s="67" t="str">
        <f aca="false">IF(TRIM(E1432)="","",UPPER(TRIM(E1432)))</f>
        <v/>
      </c>
    </row>
    <row r="1433" customFormat="false" ht="14.25" hidden="false" customHeight="true" outlineLevel="0" collapsed="false">
      <c r="C1433" s="17" t="str">
        <f aca="false">IF(TRIM(B1433)="","",IFERROR(INDEX('Code Aliases'!$B:$B,MATCH(TRIM(B1433),'Code Aliases'!$A:$A,0)),TRIM(B1433)))</f>
        <v/>
      </c>
      <c r="I1433" s="67" t="str">
        <f aca="false">IF(TRIM(D1433)="","",UPPER(TRIM(D1433)))</f>
        <v/>
      </c>
      <c r="J1433" s="67" t="str">
        <f aca="false">IF(TRIM(E1433)="","",UPPER(TRIM(E1433)))</f>
        <v/>
      </c>
    </row>
    <row r="1434" customFormat="false" ht="14.25" hidden="false" customHeight="true" outlineLevel="0" collapsed="false">
      <c r="C1434" s="17" t="str">
        <f aca="false">IF(TRIM(B1434)="","",IFERROR(INDEX('Code Aliases'!$B:$B,MATCH(TRIM(B1434),'Code Aliases'!$A:$A,0)),TRIM(B1434)))</f>
        <v/>
      </c>
      <c r="I1434" s="67" t="str">
        <f aca="false">IF(TRIM(D1434)="","",UPPER(TRIM(D1434)))</f>
        <v/>
      </c>
      <c r="J1434" s="67" t="str">
        <f aca="false">IF(TRIM(E1434)="","",UPPER(TRIM(E1434)))</f>
        <v/>
      </c>
    </row>
    <row r="1435" customFormat="false" ht="14.25" hidden="false" customHeight="true" outlineLevel="0" collapsed="false">
      <c r="C1435" s="17" t="str">
        <f aca="false">IF(TRIM(B1435)="","",IFERROR(INDEX('Code Aliases'!$B:$B,MATCH(TRIM(B1435),'Code Aliases'!$A:$A,0)),TRIM(B1435)))</f>
        <v/>
      </c>
      <c r="I1435" s="67" t="str">
        <f aca="false">IF(TRIM(D1435)="","",UPPER(TRIM(D1435)))</f>
        <v/>
      </c>
      <c r="J1435" s="67" t="str">
        <f aca="false">IF(TRIM(E1435)="","",UPPER(TRIM(E1435)))</f>
        <v/>
      </c>
    </row>
    <row r="1436" customFormat="false" ht="14.25" hidden="false" customHeight="true" outlineLevel="0" collapsed="false">
      <c r="C1436" s="17" t="str">
        <f aca="false">IF(TRIM(B1436)="","",IFERROR(INDEX('Code Aliases'!$B:$B,MATCH(TRIM(B1436),'Code Aliases'!$A:$A,0)),TRIM(B1436)))</f>
        <v/>
      </c>
      <c r="I1436" s="67" t="str">
        <f aca="false">IF(TRIM(D1436)="","",UPPER(TRIM(D1436)))</f>
        <v/>
      </c>
      <c r="J1436" s="67" t="str">
        <f aca="false">IF(TRIM(E1436)="","",UPPER(TRIM(E1436)))</f>
        <v/>
      </c>
    </row>
    <row r="1437" customFormat="false" ht="14.25" hidden="false" customHeight="true" outlineLevel="0" collapsed="false">
      <c r="C1437" s="17" t="str">
        <f aca="false">IF(TRIM(B1437)="","",IFERROR(INDEX('Code Aliases'!$B:$B,MATCH(TRIM(B1437),'Code Aliases'!$A:$A,0)),TRIM(B1437)))</f>
        <v/>
      </c>
      <c r="I1437" s="67" t="str">
        <f aca="false">IF(TRIM(D1437)="","",UPPER(TRIM(D1437)))</f>
        <v/>
      </c>
      <c r="J1437" s="67" t="str">
        <f aca="false">IF(TRIM(E1437)="","",UPPER(TRIM(E1437)))</f>
        <v/>
      </c>
    </row>
    <row r="1438" customFormat="false" ht="14.25" hidden="false" customHeight="true" outlineLevel="0" collapsed="false">
      <c r="C1438" s="17" t="str">
        <f aca="false">IF(TRIM(B1438)="","",IFERROR(INDEX('Code Aliases'!$B:$B,MATCH(TRIM(B1438),'Code Aliases'!$A:$A,0)),TRIM(B1438)))</f>
        <v/>
      </c>
      <c r="I1438" s="67" t="str">
        <f aca="false">IF(TRIM(D1438)="","",UPPER(TRIM(D1438)))</f>
        <v/>
      </c>
      <c r="J1438" s="67" t="str">
        <f aca="false">IF(TRIM(E1438)="","",UPPER(TRIM(E1438)))</f>
        <v/>
      </c>
    </row>
    <row r="1439" customFormat="false" ht="14.25" hidden="false" customHeight="true" outlineLevel="0" collapsed="false">
      <c r="C1439" s="17" t="str">
        <f aca="false">IF(TRIM(B1439)="","",IFERROR(INDEX('Code Aliases'!$B:$B,MATCH(TRIM(B1439),'Code Aliases'!$A:$A,0)),TRIM(B1439)))</f>
        <v/>
      </c>
      <c r="I1439" s="67" t="str">
        <f aca="false">IF(TRIM(D1439)="","",UPPER(TRIM(D1439)))</f>
        <v/>
      </c>
      <c r="J1439" s="67" t="str">
        <f aca="false">IF(TRIM(E1439)="","",UPPER(TRIM(E1439)))</f>
        <v/>
      </c>
    </row>
    <row r="1440" customFormat="false" ht="14.25" hidden="false" customHeight="true" outlineLevel="0" collapsed="false">
      <c r="C1440" s="17" t="str">
        <f aca="false">IF(TRIM(B1440)="","",IFERROR(INDEX('Code Aliases'!$B:$B,MATCH(TRIM(B1440),'Code Aliases'!$A:$A,0)),TRIM(B1440)))</f>
        <v/>
      </c>
      <c r="I1440" s="67" t="str">
        <f aca="false">IF(TRIM(D1440)="","",UPPER(TRIM(D1440)))</f>
        <v/>
      </c>
      <c r="J1440" s="67" t="str">
        <f aca="false">IF(TRIM(E1440)="","",UPPER(TRIM(E1440)))</f>
        <v/>
      </c>
    </row>
    <row r="1441" customFormat="false" ht="14.25" hidden="false" customHeight="true" outlineLevel="0" collapsed="false">
      <c r="C1441" s="17" t="str">
        <f aca="false">IF(TRIM(B1441)="","",IFERROR(INDEX('Code Aliases'!$B:$B,MATCH(TRIM(B1441),'Code Aliases'!$A:$A,0)),TRIM(B1441)))</f>
        <v/>
      </c>
      <c r="I1441" s="67" t="str">
        <f aca="false">IF(TRIM(D1441)="","",UPPER(TRIM(D1441)))</f>
        <v/>
      </c>
      <c r="J1441" s="67" t="str">
        <f aca="false">IF(TRIM(E1441)="","",UPPER(TRIM(E1441)))</f>
        <v/>
      </c>
    </row>
    <row r="1442" customFormat="false" ht="14.25" hidden="false" customHeight="true" outlineLevel="0" collapsed="false">
      <c r="C1442" s="17" t="str">
        <f aca="false">IF(TRIM(B1442)="","",IFERROR(INDEX('Code Aliases'!$B:$B,MATCH(TRIM(B1442),'Code Aliases'!$A:$A,0)),TRIM(B1442)))</f>
        <v/>
      </c>
      <c r="I1442" s="67" t="str">
        <f aca="false">IF(TRIM(D1442)="","",UPPER(TRIM(D1442)))</f>
        <v/>
      </c>
      <c r="J1442" s="67" t="str">
        <f aca="false">IF(TRIM(E1442)="","",UPPER(TRIM(E1442)))</f>
        <v/>
      </c>
    </row>
    <row r="1443" customFormat="false" ht="14.25" hidden="false" customHeight="true" outlineLevel="0" collapsed="false">
      <c r="C1443" s="17" t="str">
        <f aca="false">IF(TRIM(B1443)="","",IFERROR(INDEX('Code Aliases'!$B:$B,MATCH(TRIM(B1443),'Code Aliases'!$A:$A,0)),TRIM(B1443)))</f>
        <v/>
      </c>
      <c r="I1443" s="67" t="str">
        <f aca="false">IF(TRIM(D1443)="","",UPPER(TRIM(D1443)))</f>
        <v/>
      </c>
      <c r="J1443" s="67" t="str">
        <f aca="false">IF(TRIM(E1443)="","",UPPER(TRIM(E1443)))</f>
        <v/>
      </c>
    </row>
    <row r="1444" customFormat="false" ht="14.25" hidden="false" customHeight="true" outlineLevel="0" collapsed="false">
      <c r="C1444" s="17" t="str">
        <f aca="false">IF(TRIM(B1444)="","",IFERROR(INDEX('Code Aliases'!$B:$B,MATCH(TRIM(B1444),'Code Aliases'!$A:$A,0)),TRIM(B1444)))</f>
        <v/>
      </c>
      <c r="I1444" s="67" t="str">
        <f aca="false">IF(TRIM(D1444)="","",UPPER(TRIM(D1444)))</f>
        <v/>
      </c>
      <c r="J1444" s="67" t="str">
        <f aca="false">IF(TRIM(E1444)="","",UPPER(TRIM(E1444)))</f>
        <v/>
      </c>
    </row>
    <row r="1445" customFormat="false" ht="14.25" hidden="false" customHeight="true" outlineLevel="0" collapsed="false">
      <c r="C1445" s="17" t="str">
        <f aca="false">IF(TRIM(B1445)="","",IFERROR(INDEX('Code Aliases'!$B:$B,MATCH(TRIM(B1445),'Code Aliases'!$A:$A,0)),TRIM(B1445)))</f>
        <v/>
      </c>
      <c r="I1445" s="67" t="str">
        <f aca="false">IF(TRIM(D1445)="","",UPPER(TRIM(D1445)))</f>
        <v/>
      </c>
      <c r="J1445" s="67" t="str">
        <f aca="false">IF(TRIM(E1445)="","",UPPER(TRIM(E1445)))</f>
        <v/>
      </c>
    </row>
    <row r="1446" customFormat="false" ht="14.25" hidden="false" customHeight="true" outlineLevel="0" collapsed="false">
      <c r="C1446" s="17" t="str">
        <f aca="false">IF(TRIM(B1446)="","",IFERROR(INDEX('Code Aliases'!$B:$B,MATCH(TRIM(B1446),'Code Aliases'!$A:$A,0)),TRIM(B1446)))</f>
        <v/>
      </c>
      <c r="I1446" s="67" t="str">
        <f aca="false">IF(TRIM(D1446)="","",UPPER(TRIM(D1446)))</f>
        <v/>
      </c>
      <c r="J1446" s="67" t="str">
        <f aca="false">IF(TRIM(E1446)="","",UPPER(TRIM(E1446)))</f>
        <v/>
      </c>
    </row>
    <row r="1447" customFormat="false" ht="14.25" hidden="false" customHeight="true" outlineLevel="0" collapsed="false">
      <c r="C1447" s="17" t="str">
        <f aca="false">IF(TRIM(B1447)="","",IFERROR(INDEX('Code Aliases'!$B:$B,MATCH(TRIM(B1447),'Code Aliases'!$A:$A,0)),TRIM(B1447)))</f>
        <v/>
      </c>
      <c r="I1447" s="67" t="str">
        <f aca="false">IF(TRIM(D1447)="","",UPPER(TRIM(D1447)))</f>
        <v/>
      </c>
      <c r="J1447" s="67" t="str">
        <f aca="false">IF(TRIM(E1447)="","",UPPER(TRIM(E1447)))</f>
        <v/>
      </c>
    </row>
    <row r="1448" customFormat="false" ht="14.25" hidden="false" customHeight="true" outlineLevel="0" collapsed="false">
      <c r="C1448" s="17" t="str">
        <f aca="false">IF(TRIM(B1448)="","",IFERROR(INDEX('Code Aliases'!$B:$B,MATCH(TRIM(B1448),'Code Aliases'!$A:$A,0)),TRIM(B1448)))</f>
        <v/>
      </c>
      <c r="I1448" s="67" t="str">
        <f aca="false">IF(TRIM(D1448)="","",UPPER(TRIM(D1448)))</f>
        <v/>
      </c>
      <c r="J1448" s="67" t="str">
        <f aca="false">IF(TRIM(E1448)="","",UPPER(TRIM(E1448)))</f>
        <v/>
      </c>
    </row>
    <row r="1449" customFormat="false" ht="14.25" hidden="false" customHeight="true" outlineLevel="0" collapsed="false">
      <c r="C1449" s="17" t="str">
        <f aca="false">IF(TRIM(B1449)="","",IFERROR(INDEX('Code Aliases'!$B:$B,MATCH(TRIM(B1449),'Code Aliases'!$A:$A,0)),TRIM(B1449)))</f>
        <v/>
      </c>
      <c r="I1449" s="67" t="str">
        <f aca="false">IF(TRIM(D1449)="","",UPPER(TRIM(D1449)))</f>
        <v/>
      </c>
      <c r="J1449" s="67" t="str">
        <f aca="false">IF(TRIM(E1449)="","",UPPER(TRIM(E1449)))</f>
        <v/>
      </c>
    </row>
    <row r="1450" customFormat="false" ht="14.25" hidden="false" customHeight="true" outlineLevel="0" collapsed="false">
      <c r="C1450" s="17" t="str">
        <f aca="false">IF(TRIM(B1450)="","",IFERROR(INDEX('Code Aliases'!$B:$B,MATCH(TRIM(B1450),'Code Aliases'!$A:$A,0)),TRIM(B1450)))</f>
        <v/>
      </c>
      <c r="I1450" s="67" t="str">
        <f aca="false">IF(TRIM(D1450)="","",UPPER(TRIM(D1450)))</f>
        <v/>
      </c>
      <c r="J1450" s="67" t="str">
        <f aca="false">IF(TRIM(E1450)="","",UPPER(TRIM(E1450)))</f>
        <v/>
      </c>
    </row>
    <row r="1451" customFormat="false" ht="14.25" hidden="false" customHeight="true" outlineLevel="0" collapsed="false">
      <c r="C1451" s="17" t="str">
        <f aca="false">IF(TRIM(B1451)="","",IFERROR(INDEX('Code Aliases'!$B:$B,MATCH(TRIM(B1451),'Code Aliases'!$A:$A,0)),TRIM(B1451)))</f>
        <v/>
      </c>
      <c r="I1451" s="67" t="str">
        <f aca="false">IF(TRIM(D1451)="","",UPPER(TRIM(D1451)))</f>
        <v/>
      </c>
      <c r="J1451" s="67" t="str">
        <f aca="false">IF(TRIM(E1451)="","",UPPER(TRIM(E1451)))</f>
        <v/>
      </c>
    </row>
    <row r="1452" customFormat="false" ht="14.25" hidden="false" customHeight="true" outlineLevel="0" collapsed="false">
      <c r="C1452" s="17" t="str">
        <f aca="false">IF(TRIM(B1452)="","",IFERROR(INDEX('Code Aliases'!$B:$B,MATCH(TRIM(B1452),'Code Aliases'!$A:$A,0)),TRIM(B1452)))</f>
        <v/>
      </c>
      <c r="I1452" s="67" t="str">
        <f aca="false">IF(TRIM(D1452)="","",UPPER(TRIM(D1452)))</f>
        <v/>
      </c>
      <c r="J1452" s="67" t="str">
        <f aca="false">IF(TRIM(E1452)="","",UPPER(TRIM(E1452)))</f>
        <v/>
      </c>
    </row>
    <row r="1453" customFormat="false" ht="14.25" hidden="false" customHeight="true" outlineLevel="0" collapsed="false">
      <c r="C1453" s="17" t="str">
        <f aca="false">IF(TRIM(B1453)="","",IFERROR(INDEX('Code Aliases'!$B:$B,MATCH(TRIM(B1453),'Code Aliases'!$A:$A,0)),TRIM(B1453)))</f>
        <v/>
      </c>
      <c r="I1453" s="67" t="str">
        <f aca="false">IF(TRIM(D1453)="","",UPPER(TRIM(D1453)))</f>
        <v/>
      </c>
      <c r="J1453" s="67" t="str">
        <f aca="false">IF(TRIM(E1453)="","",UPPER(TRIM(E1453)))</f>
        <v/>
      </c>
    </row>
    <row r="1454" customFormat="false" ht="14.25" hidden="false" customHeight="true" outlineLevel="0" collapsed="false">
      <c r="C1454" s="17" t="str">
        <f aca="false">IF(TRIM(B1454)="","",IFERROR(INDEX('Code Aliases'!$B:$B,MATCH(TRIM(B1454),'Code Aliases'!$A:$A,0)),TRIM(B1454)))</f>
        <v/>
      </c>
      <c r="I1454" s="67" t="str">
        <f aca="false">IF(TRIM(D1454)="","",UPPER(TRIM(D1454)))</f>
        <v/>
      </c>
      <c r="J1454" s="67" t="str">
        <f aca="false">IF(TRIM(E1454)="","",UPPER(TRIM(E1454)))</f>
        <v/>
      </c>
    </row>
    <row r="1455" customFormat="false" ht="14.25" hidden="false" customHeight="true" outlineLevel="0" collapsed="false">
      <c r="C1455" s="17" t="str">
        <f aca="false">IF(TRIM(B1455)="","",IFERROR(INDEX('Code Aliases'!$B:$B,MATCH(TRIM(B1455),'Code Aliases'!$A:$A,0)),TRIM(B1455)))</f>
        <v/>
      </c>
      <c r="I1455" s="67" t="str">
        <f aca="false">IF(TRIM(D1455)="","",UPPER(TRIM(D1455)))</f>
        <v/>
      </c>
      <c r="J1455" s="67" t="str">
        <f aca="false">IF(TRIM(E1455)="","",UPPER(TRIM(E1455)))</f>
        <v/>
      </c>
    </row>
    <row r="1456" customFormat="false" ht="14.25" hidden="false" customHeight="true" outlineLevel="0" collapsed="false">
      <c r="C1456" s="17" t="str">
        <f aca="false">IF(TRIM(B1456)="","",IFERROR(INDEX('Code Aliases'!$B:$B,MATCH(TRIM(B1456),'Code Aliases'!$A:$A,0)),TRIM(B1456)))</f>
        <v/>
      </c>
      <c r="I1456" s="67" t="str">
        <f aca="false">IF(TRIM(D1456)="","",UPPER(TRIM(D1456)))</f>
        <v/>
      </c>
      <c r="J1456" s="67" t="str">
        <f aca="false">IF(TRIM(E1456)="","",UPPER(TRIM(E1456)))</f>
        <v/>
      </c>
    </row>
    <row r="1457" customFormat="false" ht="14.25" hidden="false" customHeight="true" outlineLevel="0" collapsed="false">
      <c r="C1457" s="17" t="str">
        <f aca="false">IF(TRIM(B1457)="","",IFERROR(INDEX('Code Aliases'!$B:$B,MATCH(TRIM(B1457),'Code Aliases'!$A:$A,0)),TRIM(B1457)))</f>
        <v/>
      </c>
      <c r="I1457" s="67" t="str">
        <f aca="false">IF(TRIM(D1457)="","",UPPER(TRIM(D1457)))</f>
        <v/>
      </c>
      <c r="J1457" s="67" t="str">
        <f aca="false">IF(TRIM(E1457)="","",UPPER(TRIM(E1457)))</f>
        <v/>
      </c>
    </row>
    <row r="1458" customFormat="false" ht="14.25" hidden="false" customHeight="true" outlineLevel="0" collapsed="false">
      <c r="C1458" s="17" t="str">
        <f aca="false">IF(TRIM(B1458)="","",IFERROR(INDEX('Code Aliases'!$B:$B,MATCH(TRIM(B1458),'Code Aliases'!$A:$A,0)),TRIM(B1458)))</f>
        <v/>
      </c>
      <c r="I1458" s="67" t="str">
        <f aca="false">IF(TRIM(D1458)="","",UPPER(TRIM(D1458)))</f>
        <v/>
      </c>
      <c r="J1458" s="67" t="str">
        <f aca="false">IF(TRIM(E1458)="","",UPPER(TRIM(E1458)))</f>
        <v/>
      </c>
    </row>
    <row r="1459" customFormat="false" ht="14.25" hidden="false" customHeight="true" outlineLevel="0" collapsed="false">
      <c r="C1459" s="17" t="str">
        <f aca="false">IF(TRIM(B1459)="","",IFERROR(INDEX('Code Aliases'!$B:$B,MATCH(TRIM(B1459),'Code Aliases'!$A:$A,0)),TRIM(B1459)))</f>
        <v/>
      </c>
      <c r="I1459" s="67" t="str">
        <f aca="false">IF(TRIM(D1459)="","",UPPER(TRIM(D1459)))</f>
        <v/>
      </c>
      <c r="J1459" s="67" t="str">
        <f aca="false">IF(TRIM(E1459)="","",UPPER(TRIM(E1459)))</f>
        <v/>
      </c>
    </row>
    <row r="1460" customFormat="false" ht="14.25" hidden="false" customHeight="true" outlineLevel="0" collapsed="false">
      <c r="C1460" s="17" t="str">
        <f aca="false">IF(TRIM(B1460)="","",IFERROR(INDEX('Code Aliases'!$B:$B,MATCH(TRIM(B1460),'Code Aliases'!$A:$A,0)),TRIM(B1460)))</f>
        <v/>
      </c>
      <c r="I1460" s="67" t="str">
        <f aca="false">IF(TRIM(D1460)="","",UPPER(TRIM(D1460)))</f>
        <v/>
      </c>
      <c r="J1460" s="67" t="str">
        <f aca="false">IF(TRIM(E1460)="","",UPPER(TRIM(E1460)))</f>
        <v/>
      </c>
    </row>
    <row r="1461" customFormat="false" ht="14.25" hidden="false" customHeight="true" outlineLevel="0" collapsed="false">
      <c r="C1461" s="17" t="str">
        <f aca="false">IF(TRIM(B1461)="","",IFERROR(INDEX('Code Aliases'!$B:$B,MATCH(TRIM(B1461),'Code Aliases'!$A:$A,0)),TRIM(B1461)))</f>
        <v/>
      </c>
      <c r="I1461" s="67" t="str">
        <f aca="false">IF(TRIM(D1461)="","",UPPER(TRIM(D1461)))</f>
        <v/>
      </c>
      <c r="J1461" s="67" t="str">
        <f aca="false">IF(TRIM(E1461)="","",UPPER(TRIM(E1461)))</f>
        <v/>
      </c>
    </row>
    <row r="1462" customFormat="false" ht="14.25" hidden="false" customHeight="true" outlineLevel="0" collapsed="false">
      <c r="C1462" s="17" t="str">
        <f aca="false">IF(TRIM(B1462)="","",IFERROR(INDEX('Code Aliases'!$B:$B,MATCH(TRIM(B1462),'Code Aliases'!$A:$A,0)),TRIM(B1462)))</f>
        <v/>
      </c>
      <c r="I1462" s="67" t="str">
        <f aca="false">IF(TRIM(D1462)="","",UPPER(TRIM(D1462)))</f>
        <v/>
      </c>
      <c r="J1462" s="67" t="str">
        <f aca="false">IF(TRIM(E1462)="","",UPPER(TRIM(E1462)))</f>
        <v/>
      </c>
    </row>
    <row r="1463" customFormat="false" ht="14.25" hidden="false" customHeight="true" outlineLevel="0" collapsed="false">
      <c r="C1463" s="17" t="str">
        <f aca="false">IF(TRIM(B1463)="","",IFERROR(INDEX('Code Aliases'!$B:$B,MATCH(TRIM(B1463),'Code Aliases'!$A:$A,0)),TRIM(B1463)))</f>
        <v/>
      </c>
      <c r="I1463" s="67" t="str">
        <f aca="false">IF(TRIM(D1463)="","",UPPER(TRIM(D1463)))</f>
        <v/>
      </c>
      <c r="J1463" s="67" t="str">
        <f aca="false">IF(TRIM(E1463)="","",UPPER(TRIM(E1463)))</f>
        <v/>
      </c>
    </row>
    <row r="1464" customFormat="false" ht="14.25" hidden="false" customHeight="true" outlineLevel="0" collapsed="false">
      <c r="C1464" s="17" t="str">
        <f aca="false">IF(TRIM(B1464)="","",IFERROR(INDEX('Code Aliases'!$B:$B,MATCH(TRIM(B1464),'Code Aliases'!$A:$A,0)),TRIM(B1464)))</f>
        <v/>
      </c>
      <c r="I1464" s="67" t="str">
        <f aca="false">IF(TRIM(D1464)="","",UPPER(TRIM(D1464)))</f>
        <v/>
      </c>
      <c r="J1464" s="67" t="str">
        <f aca="false">IF(TRIM(E1464)="","",UPPER(TRIM(E1464)))</f>
        <v/>
      </c>
    </row>
    <row r="1465" customFormat="false" ht="14.25" hidden="false" customHeight="true" outlineLevel="0" collapsed="false">
      <c r="C1465" s="17" t="str">
        <f aca="false">IF(TRIM(B1465)="","",IFERROR(INDEX('Code Aliases'!$B:$B,MATCH(TRIM(B1465),'Code Aliases'!$A:$A,0)),TRIM(B1465)))</f>
        <v/>
      </c>
      <c r="I1465" s="67" t="str">
        <f aca="false">IF(TRIM(D1465)="","",UPPER(TRIM(D1465)))</f>
        <v/>
      </c>
      <c r="J1465" s="67" t="str">
        <f aca="false">IF(TRIM(E1465)="","",UPPER(TRIM(E1465)))</f>
        <v/>
      </c>
    </row>
    <row r="1466" customFormat="false" ht="14.25" hidden="false" customHeight="true" outlineLevel="0" collapsed="false">
      <c r="C1466" s="17" t="str">
        <f aca="false">IF(TRIM(B1466)="","",IFERROR(INDEX('Code Aliases'!$B:$B,MATCH(TRIM(B1466),'Code Aliases'!$A:$A,0)),TRIM(B1466)))</f>
        <v/>
      </c>
      <c r="I1466" s="67" t="str">
        <f aca="false">IF(TRIM(D1466)="","",UPPER(TRIM(D1466)))</f>
        <v/>
      </c>
      <c r="J1466" s="67" t="str">
        <f aca="false">IF(TRIM(E1466)="","",UPPER(TRIM(E1466)))</f>
        <v/>
      </c>
    </row>
    <row r="1467" customFormat="false" ht="14.25" hidden="false" customHeight="true" outlineLevel="0" collapsed="false">
      <c r="C1467" s="17" t="str">
        <f aca="false">IF(TRIM(B1467)="","",IFERROR(INDEX('Code Aliases'!$B:$B,MATCH(TRIM(B1467),'Code Aliases'!$A:$A,0)),TRIM(B1467)))</f>
        <v/>
      </c>
      <c r="I1467" s="67" t="str">
        <f aca="false">IF(TRIM(D1467)="","",UPPER(TRIM(D1467)))</f>
        <v/>
      </c>
      <c r="J1467" s="67" t="str">
        <f aca="false">IF(TRIM(E1467)="","",UPPER(TRIM(E1467)))</f>
        <v/>
      </c>
    </row>
    <row r="1468" customFormat="false" ht="14.25" hidden="false" customHeight="true" outlineLevel="0" collapsed="false">
      <c r="C1468" s="17" t="str">
        <f aca="false">IF(TRIM(B1468)="","",IFERROR(INDEX('Code Aliases'!$B:$B,MATCH(TRIM(B1468),'Code Aliases'!$A:$A,0)),TRIM(B1468)))</f>
        <v/>
      </c>
      <c r="I1468" s="67" t="str">
        <f aca="false">IF(TRIM(D1468)="","",UPPER(TRIM(D1468)))</f>
        <v/>
      </c>
      <c r="J1468" s="67" t="str">
        <f aca="false">IF(TRIM(E1468)="","",UPPER(TRIM(E1468)))</f>
        <v/>
      </c>
    </row>
    <row r="1469" customFormat="false" ht="14.25" hidden="false" customHeight="true" outlineLevel="0" collapsed="false">
      <c r="C1469" s="17" t="str">
        <f aca="false">IF(TRIM(B1469)="","",IFERROR(INDEX('Code Aliases'!$B:$B,MATCH(TRIM(B1469),'Code Aliases'!$A:$A,0)),TRIM(B1469)))</f>
        <v/>
      </c>
      <c r="I1469" s="67" t="str">
        <f aca="false">IF(TRIM(D1469)="","",UPPER(TRIM(D1469)))</f>
        <v/>
      </c>
      <c r="J1469" s="67" t="str">
        <f aca="false">IF(TRIM(E1469)="","",UPPER(TRIM(E1469)))</f>
        <v/>
      </c>
    </row>
    <row r="1470" customFormat="false" ht="14.25" hidden="false" customHeight="true" outlineLevel="0" collapsed="false">
      <c r="C1470" s="17" t="str">
        <f aca="false">IF(TRIM(B1470)="","",IFERROR(INDEX('Code Aliases'!$B:$B,MATCH(TRIM(B1470),'Code Aliases'!$A:$A,0)),TRIM(B1470)))</f>
        <v/>
      </c>
      <c r="I1470" s="67" t="str">
        <f aca="false">IF(TRIM(D1470)="","",UPPER(TRIM(D1470)))</f>
        <v/>
      </c>
      <c r="J1470" s="67" t="str">
        <f aca="false">IF(TRIM(E1470)="","",UPPER(TRIM(E1470)))</f>
        <v/>
      </c>
    </row>
    <row r="1471" customFormat="false" ht="14.25" hidden="false" customHeight="true" outlineLevel="0" collapsed="false">
      <c r="C1471" s="17" t="str">
        <f aca="false">IF(TRIM(B1471)="","",IFERROR(INDEX('Code Aliases'!$B:$B,MATCH(TRIM(B1471),'Code Aliases'!$A:$A,0)),TRIM(B1471)))</f>
        <v/>
      </c>
      <c r="I1471" s="67" t="str">
        <f aca="false">IF(TRIM(D1471)="","",UPPER(TRIM(D1471)))</f>
        <v/>
      </c>
      <c r="J1471" s="67" t="str">
        <f aca="false">IF(TRIM(E1471)="","",UPPER(TRIM(E1471)))</f>
        <v/>
      </c>
    </row>
    <row r="1472" customFormat="false" ht="14.25" hidden="false" customHeight="true" outlineLevel="0" collapsed="false">
      <c r="C1472" s="17" t="str">
        <f aca="false">IF(TRIM(B1472)="","",IFERROR(INDEX('Code Aliases'!$B:$B,MATCH(TRIM(B1472),'Code Aliases'!$A:$A,0)),TRIM(B1472)))</f>
        <v/>
      </c>
      <c r="I1472" s="67" t="str">
        <f aca="false">IF(TRIM(D1472)="","",UPPER(TRIM(D1472)))</f>
        <v/>
      </c>
      <c r="J1472" s="67" t="str">
        <f aca="false">IF(TRIM(E1472)="","",UPPER(TRIM(E1472)))</f>
        <v/>
      </c>
    </row>
    <row r="1473" customFormat="false" ht="14.25" hidden="false" customHeight="true" outlineLevel="0" collapsed="false">
      <c r="C1473" s="17" t="str">
        <f aca="false">IF(TRIM(B1473)="","",IFERROR(INDEX('Code Aliases'!$B:$B,MATCH(TRIM(B1473),'Code Aliases'!$A:$A,0)),TRIM(B1473)))</f>
        <v/>
      </c>
      <c r="I1473" s="67" t="str">
        <f aca="false">IF(TRIM(D1473)="","",UPPER(TRIM(D1473)))</f>
        <v/>
      </c>
      <c r="J1473" s="67" t="str">
        <f aca="false">IF(TRIM(E1473)="","",UPPER(TRIM(E1473)))</f>
        <v/>
      </c>
    </row>
    <row r="1474" customFormat="false" ht="14.25" hidden="false" customHeight="true" outlineLevel="0" collapsed="false">
      <c r="C1474" s="17" t="str">
        <f aca="false">IF(TRIM(B1474)="","",IFERROR(INDEX('Code Aliases'!$B:$B,MATCH(TRIM(B1474),'Code Aliases'!$A:$A,0)),TRIM(B1474)))</f>
        <v/>
      </c>
      <c r="I1474" s="67" t="str">
        <f aca="false">IF(TRIM(D1474)="","",UPPER(TRIM(D1474)))</f>
        <v/>
      </c>
      <c r="J1474" s="67" t="str">
        <f aca="false">IF(TRIM(E1474)="","",UPPER(TRIM(E1474)))</f>
        <v/>
      </c>
    </row>
    <row r="1475" customFormat="false" ht="14.25" hidden="false" customHeight="true" outlineLevel="0" collapsed="false">
      <c r="C1475" s="17" t="str">
        <f aca="false">IF(TRIM(B1475)="","",IFERROR(INDEX('Code Aliases'!$B:$B,MATCH(TRIM(B1475),'Code Aliases'!$A:$A,0)),TRIM(B1475)))</f>
        <v/>
      </c>
      <c r="I1475" s="67" t="str">
        <f aca="false">IF(TRIM(D1475)="","",UPPER(TRIM(D1475)))</f>
        <v/>
      </c>
      <c r="J1475" s="67" t="str">
        <f aca="false">IF(TRIM(E1475)="","",UPPER(TRIM(E1475)))</f>
        <v/>
      </c>
    </row>
    <row r="1476" customFormat="false" ht="14.25" hidden="false" customHeight="true" outlineLevel="0" collapsed="false">
      <c r="C1476" s="17" t="str">
        <f aca="false">IF(TRIM(B1476)="","",IFERROR(INDEX('Code Aliases'!$B:$B,MATCH(TRIM(B1476),'Code Aliases'!$A:$A,0)),TRIM(B1476)))</f>
        <v/>
      </c>
      <c r="I1476" s="67" t="str">
        <f aca="false">IF(TRIM(D1476)="","",UPPER(TRIM(D1476)))</f>
        <v/>
      </c>
      <c r="J1476" s="67" t="str">
        <f aca="false">IF(TRIM(E1476)="","",UPPER(TRIM(E1476)))</f>
        <v/>
      </c>
    </row>
    <row r="1477" customFormat="false" ht="14.25" hidden="false" customHeight="true" outlineLevel="0" collapsed="false">
      <c r="C1477" s="17" t="str">
        <f aca="false">IF(TRIM(B1477)="","",IFERROR(INDEX('Code Aliases'!$B:$B,MATCH(TRIM(B1477),'Code Aliases'!$A:$A,0)),TRIM(B1477)))</f>
        <v/>
      </c>
      <c r="I1477" s="67" t="str">
        <f aca="false">IF(TRIM(D1477)="","",UPPER(TRIM(D1477)))</f>
        <v/>
      </c>
      <c r="J1477" s="67" t="str">
        <f aca="false">IF(TRIM(E1477)="","",UPPER(TRIM(E1477)))</f>
        <v/>
      </c>
    </row>
    <row r="1478" customFormat="false" ht="14.25" hidden="false" customHeight="true" outlineLevel="0" collapsed="false">
      <c r="C1478" s="17" t="str">
        <f aca="false">IF(TRIM(B1478)="","",IFERROR(INDEX('Code Aliases'!$B:$B,MATCH(TRIM(B1478),'Code Aliases'!$A:$A,0)),TRIM(B1478)))</f>
        <v/>
      </c>
      <c r="I1478" s="67" t="str">
        <f aca="false">IF(TRIM(D1478)="","",UPPER(TRIM(D1478)))</f>
        <v/>
      </c>
      <c r="J1478" s="67" t="str">
        <f aca="false">IF(TRIM(E1478)="","",UPPER(TRIM(E1478)))</f>
        <v/>
      </c>
    </row>
    <row r="1479" customFormat="false" ht="14.25" hidden="false" customHeight="true" outlineLevel="0" collapsed="false">
      <c r="C1479" s="17" t="str">
        <f aca="false">IF(TRIM(B1479)="","",IFERROR(INDEX('Code Aliases'!$B:$B,MATCH(TRIM(B1479),'Code Aliases'!$A:$A,0)),TRIM(B1479)))</f>
        <v/>
      </c>
      <c r="I1479" s="67" t="str">
        <f aca="false">IF(TRIM(D1479)="","",UPPER(TRIM(D1479)))</f>
        <v/>
      </c>
      <c r="J1479" s="67" t="str">
        <f aca="false">IF(TRIM(E1479)="","",UPPER(TRIM(E1479)))</f>
        <v/>
      </c>
    </row>
    <row r="1480" customFormat="false" ht="14.25" hidden="false" customHeight="true" outlineLevel="0" collapsed="false">
      <c r="C1480" s="17" t="str">
        <f aca="false">IF(TRIM(B1480)="","",IFERROR(INDEX('Code Aliases'!$B:$B,MATCH(TRIM(B1480),'Code Aliases'!$A:$A,0)),TRIM(B1480)))</f>
        <v/>
      </c>
      <c r="I1480" s="67" t="str">
        <f aca="false">IF(TRIM(D1480)="","",UPPER(TRIM(D1480)))</f>
        <v/>
      </c>
      <c r="J1480" s="67" t="str">
        <f aca="false">IF(TRIM(E1480)="","",UPPER(TRIM(E1480)))</f>
        <v/>
      </c>
    </row>
    <row r="1481" customFormat="false" ht="14.25" hidden="false" customHeight="true" outlineLevel="0" collapsed="false">
      <c r="C1481" s="17" t="str">
        <f aca="false">IF(TRIM(B1481)="","",IFERROR(INDEX('Code Aliases'!$B:$B,MATCH(TRIM(B1481),'Code Aliases'!$A:$A,0)),TRIM(B1481)))</f>
        <v/>
      </c>
      <c r="I1481" s="67" t="str">
        <f aca="false">IF(TRIM(D1481)="","",UPPER(TRIM(D1481)))</f>
        <v/>
      </c>
      <c r="J1481" s="67" t="str">
        <f aca="false">IF(TRIM(E1481)="","",UPPER(TRIM(E1481)))</f>
        <v/>
      </c>
    </row>
    <row r="1482" customFormat="false" ht="14.25" hidden="false" customHeight="true" outlineLevel="0" collapsed="false">
      <c r="C1482" s="17" t="str">
        <f aca="false">IF(TRIM(B1482)="","",IFERROR(INDEX('Code Aliases'!$B:$B,MATCH(TRIM(B1482),'Code Aliases'!$A:$A,0)),TRIM(B1482)))</f>
        <v/>
      </c>
      <c r="I1482" s="67" t="str">
        <f aca="false">IF(TRIM(D1482)="","",UPPER(TRIM(D1482)))</f>
        <v/>
      </c>
      <c r="J1482" s="67" t="str">
        <f aca="false">IF(TRIM(E1482)="","",UPPER(TRIM(E1482)))</f>
        <v/>
      </c>
    </row>
    <row r="1483" customFormat="false" ht="14.25" hidden="false" customHeight="true" outlineLevel="0" collapsed="false">
      <c r="C1483" s="17" t="str">
        <f aca="false">IF(TRIM(B1483)="","",IFERROR(INDEX('Code Aliases'!$B:$B,MATCH(TRIM(B1483),'Code Aliases'!$A:$A,0)),TRIM(B1483)))</f>
        <v/>
      </c>
      <c r="I1483" s="67" t="str">
        <f aca="false">IF(TRIM(D1483)="","",UPPER(TRIM(D1483)))</f>
        <v/>
      </c>
      <c r="J1483" s="67" t="str">
        <f aca="false">IF(TRIM(E1483)="","",UPPER(TRIM(E1483)))</f>
        <v/>
      </c>
    </row>
    <row r="1484" customFormat="false" ht="14.25" hidden="false" customHeight="true" outlineLevel="0" collapsed="false">
      <c r="C1484" s="17" t="str">
        <f aca="false">IF(TRIM(B1484)="","",IFERROR(INDEX('Code Aliases'!$B:$B,MATCH(TRIM(B1484),'Code Aliases'!$A:$A,0)),TRIM(B1484)))</f>
        <v/>
      </c>
      <c r="I1484" s="67" t="str">
        <f aca="false">IF(TRIM(D1484)="","",UPPER(TRIM(D1484)))</f>
        <v/>
      </c>
      <c r="J1484" s="67" t="str">
        <f aca="false">IF(TRIM(E1484)="","",UPPER(TRIM(E1484)))</f>
        <v/>
      </c>
    </row>
    <row r="1485" customFormat="false" ht="14.25" hidden="false" customHeight="true" outlineLevel="0" collapsed="false">
      <c r="C1485" s="17" t="str">
        <f aca="false">IF(TRIM(B1485)="","",IFERROR(INDEX('Code Aliases'!$B:$B,MATCH(TRIM(B1485),'Code Aliases'!$A:$A,0)),TRIM(B1485)))</f>
        <v/>
      </c>
      <c r="I1485" s="67" t="str">
        <f aca="false">IF(TRIM(D1485)="","",UPPER(TRIM(D1485)))</f>
        <v/>
      </c>
      <c r="J1485" s="67" t="str">
        <f aca="false">IF(TRIM(E1485)="","",UPPER(TRIM(E1485)))</f>
        <v/>
      </c>
    </row>
    <row r="1486" customFormat="false" ht="14.25" hidden="false" customHeight="true" outlineLevel="0" collapsed="false">
      <c r="C1486" s="17" t="str">
        <f aca="false">IF(TRIM(B1486)="","",IFERROR(INDEX('Code Aliases'!$B:$B,MATCH(TRIM(B1486),'Code Aliases'!$A:$A,0)),TRIM(B1486)))</f>
        <v/>
      </c>
      <c r="I1486" s="67" t="str">
        <f aca="false">IF(TRIM(D1486)="","",UPPER(TRIM(D1486)))</f>
        <v/>
      </c>
      <c r="J1486" s="67" t="str">
        <f aca="false">IF(TRIM(E1486)="","",UPPER(TRIM(E1486)))</f>
        <v/>
      </c>
    </row>
    <row r="1487" customFormat="false" ht="14.25" hidden="false" customHeight="true" outlineLevel="0" collapsed="false">
      <c r="C1487" s="17" t="str">
        <f aca="false">IF(TRIM(B1487)="","",IFERROR(INDEX('Code Aliases'!$B:$B,MATCH(TRIM(B1487),'Code Aliases'!$A:$A,0)),TRIM(B1487)))</f>
        <v/>
      </c>
      <c r="I1487" s="67" t="str">
        <f aca="false">IF(TRIM(D1487)="","",UPPER(TRIM(D1487)))</f>
        <v/>
      </c>
      <c r="J1487" s="67" t="str">
        <f aca="false">IF(TRIM(E1487)="","",UPPER(TRIM(E1487)))</f>
        <v/>
      </c>
    </row>
    <row r="1488" customFormat="false" ht="14.25" hidden="false" customHeight="true" outlineLevel="0" collapsed="false">
      <c r="C1488" s="17" t="str">
        <f aca="false">IF(TRIM(B1488)="","",IFERROR(INDEX('Code Aliases'!$B:$B,MATCH(TRIM(B1488),'Code Aliases'!$A:$A,0)),TRIM(B1488)))</f>
        <v/>
      </c>
      <c r="I1488" s="67" t="str">
        <f aca="false">IF(TRIM(D1488)="","",UPPER(TRIM(D1488)))</f>
        <v/>
      </c>
      <c r="J1488" s="67" t="str">
        <f aca="false">IF(TRIM(E1488)="","",UPPER(TRIM(E1488)))</f>
        <v/>
      </c>
    </row>
    <row r="1489" customFormat="false" ht="14.25" hidden="false" customHeight="true" outlineLevel="0" collapsed="false">
      <c r="C1489" s="17" t="str">
        <f aca="false">IF(TRIM(B1489)="","",IFERROR(INDEX('Code Aliases'!$B:$B,MATCH(TRIM(B1489),'Code Aliases'!$A:$A,0)),TRIM(B1489)))</f>
        <v/>
      </c>
      <c r="I1489" s="67" t="str">
        <f aca="false">IF(TRIM(D1489)="","",UPPER(TRIM(D1489)))</f>
        <v/>
      </c>
      <c r="J1489" s="67" t="str">
        <f aca="false">IF(TRIM(E1489)="","",UPPER(TRIM(E1489)))</f>
        <v/>
      </c>
    </row>
    <row r="1490" customFormat="false" ht="14.25" hidden="false" customHeight="true" outlineLevel="0" collapsed="false">
      <c r="C1490" s="17" t="str">
        <f aca="false">IF(TRIM(B1490)="","",IFERROR(INDEX('Code Aliases'!$B:$B,MATCH(TRIM(B1490),'Code Aliases'!$A:$A,0)),TRIM(B1490)))</f>
        <v/>
      </c>
      <c r="I1490" s="67" t="str">
        <f aca="false">IF(TRIM(D1490)="","",UPPER(TRIM(D1490)))</f>
        <v/>
      </c>
      <c r="J1490" s="67" t="str">
        <f aca="false">IF(TRIM(E1490)="","",UPPER(TRIM(E1490)))</f>
        <v/>
      </c>
    </row>
    <row r="1491" customFormat="false" ht="14.25" hidden="false" customHeight="true" outlineLevel="0" collapsed="false">
      <c r="C1491" s="17" t="str">
        <f aca="false">IF(TRIM(B1491)="","",IFERROR(INDEX('Code Aliases'!$B:$B,MATCH(TRIM(B1491),'Code Aliases'!$A:$A,0)),TRIM(B1491)))</f>
        <v/>
      </c>
      <c r="I1491" s="67" t="str">
        <f aca="false">IF(TRIM(D1491)="","",UPPER(TRIM(D1491)))</f>
        <v/>
      </c>
      <c r="J1491" s="67" t="str">
        <f aca="false">IF(TRIM(E1491)="","",UPPER(TRIM(E1491)))</f>
        <v/>
      </c>
    </row>
    <row r="1492" customFormat="false" ht="14.25" hidden="false" customHeight="true" outlineLevel="0" collapsed="false">
      <c r="C1492" s="17" t="str">
        <f aca="false">IF(TRIM(B1492)="","",IFERROR(INDEX('Code Aliases'!$B:$B,MATCH(TRIM(B1492),'Code Aliases'!$A:$A,0)),TRIM(B1492)))</f>
        <v/>
      </c>
      <c r="I1492" s="67" t="str">
        <f aca="false">IF(TRIM(D1492)="","",UPPER(TRIM(D1492)))</f>
        <v/>
      </c>
      <c r="J1492" s="67" t="str">
        <f aca="false">IF(TRIM(E1492)="","",UPPER(TRIM(E1492)))</f>
        <v/>
      </c>
    </row>
    <row r="1493" customFormat="false" ht="14.25" hidden="false" customHeight="true" outlineLevel="0" collapsed="false">
      <c r="C1493" s="17" t="str">
        <f aca="false">IF(TRIM(B1493)="","",IFERROR(INDEX('Code Aliases'!$B:$B,MATCH(TRIM(B1493),'Code Aliases'!$A:$A,0)),TRIM(B1493)))</f>
        <v/>
      </c>
      <c r="I1493" s="67" t="str">
        <f aca="false">IF(TRIM(D1493)="","",UPPER(TRIM(D1493)))</f>
        <v/>
      </c>
      <c r="J1493" s="67" t="str">
        <f aca="false">IF(TRIM(E1493)="","",UPPER(TRIM(E1493)))</f>
        <v/>
      </c>
    </row>
    <row r="1494" customFormat="false" ht="14.25" hidden="false" customHeight="true" outlineLevel="0" collapsed="false">
      <c r="C1494" s="17" t="str">
        <f aca="false">IF(TRIM(B1494)="","",IFERROR(INDEX('Code Aliases'!$B:$B,MATCH(TRIM(B1494),'Code Aliases'!$A:$A,0)),TRIM(B1494)))</f>
        <v/>
      </c>
      <c r="I1494" s="67" t="str">
        <f aca="false">IF(TRIM(D1494)="","",UPPER(TRIM(D1494)))</f>
        <v/>
      </c>
      <c r="J1494" s="67" t="str">
        <f aca="false">IF(TRIM(E1494)="","",UPPER(TRIM(E1494)))</f>
        <v/>
      </c>
    </row>
    <row r="1495" customFormat="false" ht="14.25" hidden="false" customHeight="true" outlineLevel="0" collapsed="false">
      <c r="C1495" s="17" t="str">
        <f aca="false">IF(TRIM(B1495)="","",IFERROR(INDEX('Code Aliases'!$B:$B,MATCH(TRIM(B1495),'Code Aliases'!$A:$A,0)),TRIM(B1495)))</f>
        <v/>
      </c>
      <c r="I1495" s="67" t="str">
        <f aca="false">IF(TRIM(D1495)="","",UPPER(TRIM(D1495)))</f>
        <v/>
      </c>
      <c r="J1495" s="67" t="str">
        <f aca="false">IF(TRIM(E1495)="","",UPPER(TRIM(E1495)))</f>
        <v/>
      </c>
    </row>
    <row r="1496" customFormat="false" ht="14.25" hidden="false" customHeight="true" outlineLevel="0" collapsed="false">
      <c r="C1496" s="17" t="str">
        <f aca="false">IF(TRIM(B1496)="","",IFERROR(INDEX('Code Aliases'!$B:$B,MATCH(TRIM(B1496),'Code Aliases'!$A:$A,0)),TRIM(B1496)))</f>
        <v/>
      </c>
      <c r="I1496" s="67" t="str">
        <f aca="false">IF(TRIM(D1496)="","",UPPER(TRIM(D1496)))</f>
        <v/>
      </c>
      <c r="J1496" s="67" t="str">
        <f aca="false">IF(TRIM(E1496)="","",UPPER(TRIM(E1496)))</f>
        <v/>
      </c>
    </row>
    <row r="1497" customFormat="false" ht="14.25" hidden="false" customHeight="true" outlineLevel="0" collapsed="false">
      <c r="C1497" s="17" t="str">
        <f aca="false">IF(TRIM(B1497)="","",IFERROR(INDEX('Code Aliases'!$B:$B,MATCH(TRIM(B1497),'Code Aliases'!$A:$A,0)),TRIM(B1497)))</f>
        <v/>
      </c>
      <c r="I1497" s="67" t="str">
        <f aca="false">IF(TRIM(D1497)="","",UPPER(TRIM(D1497)))</f>
        <v/>
      </c>
      <c r="J1497" s="67" t="str">
        <f aca="false">IF(TRIM(E1497)="","",UPPER(TRIM(E1497)))</f>
        <v/>
      </c>
    </row>
    <row r="1498" customFormat="false" ht="14.25" hidden="false" customHeight="true" outlineLevel="0" collapsed="false">
      <c r="C1498" s="17" t="str">
        <f aca="false">IF(TRIM(B1498)="","",IFERROR(INDEX('Code Aliases'!$B:$B,MATCH(TRIM(B1498),'Code Aliases'!$A:$A,0)),TRIM(B1498)))</f>
        <v/>
      </c>
      <c r="I1498" s="67" t="str">
        <f aca="false">IF(TRIM(D1498)="","",UPPER(TRIM(D1498)))</f>
        <v/>
      </c>
      <c r="J1498" s="67" t="str">
        <f aca="false">IF(TRIM(E1498)="","",UPPER(TRIM(E1498)))</f>
        <v/>
      </c>
    </row>
    <row r="1499" customFormat="false" ht="14.25" hidden="false" customHeight="true" outlineLevel="0" collapsed="false">
      <c r="C1499" s="17" t="str">
        <f aca="false">IF(TRIM(B1499)="","",IFERROR(INDEX('Code Aliases'!$B:$B,MATCH(TRIM(B1499),'Code Aliases'!$A:$A,0)),TRIM(B1499)))</f>
        <v/>
      </c>
      <c r="I1499" s="67" t="str">
        <f aca="false">IF(TRIM(D1499)="","",UPPER(TRIM(D1499)))</f>
        <v/>
      </c>
      <c r="J1499" s="67" t="str">
        <f aca="false">IF(TRIM(E1499)="","",UPPER(TRIM(E1499)))</f>
        <v/>
      </c>
    </row>
    <row r="1500" customFormat="false" ht="14.25" hidden="false" customHeight="true" outlineLevel="0" collapsed="false">
      <c r="C1500" s="17" t="str">
        <f aca="false">IF(TRIM(B1500)="","",IFERROR(INDEX('Code Aliases'!$B:$B,MATCH(TRIM(B1500),'Code Aliases'!$A:$A,0)),TRIM(B1500)))</f>
        <v/>
      </c>
      <c r="I1500" s="67" t="str">
        <f aca="false">IF(TRIM(D1500)="","",UPPER(TRIM(D1500)))</f>
        <v/>
      </c>
      <c r="J1500" s="67" t="str">
        <f aca="false">IF(TRIM(E1500)="","",UPPER(TRIM(E1500)))</f>
        <v/>
      </c>
    </row>
    <row r="1501" customFormat="false" ht="14.25" hidden="false" customHeight="true" outlineLevel="0" collapsed="false">
      <c r="C1501" s="17" t="str">
        <f aca="false">IF(TRIM(B1501)="","",IFERROR(INDEX('Code Aliases'!$B:$B,MATCH(TRIM(B1501),'Code Aliases'!$A:$A,0)),TRIM(B1501)))</f>
        <v/>
      </c>
      <c r="I1501" s="67" t="str">
        <f aca="false">IF(TRIM(D1501)="","",UPPER(TRIM(D1501)))</f>
        <v/>
      </c>
      <c r="J1501" s="67" t="str">
        <f aca="false">IF(TRIM(E1501)="","",UPPER(TRIM(E1501)))</f>
        <v/>
      </c>
    </row>
    <row r="1502" customFormat="false" ht="14.25" hidden="false" customHeight="true" outlineLevel="0" collapsed="false">
      <c r="C1502" s="17" t="str">
        <f aca="false">IF(TRIM(B1502)="","",IFERROR(INDEX('Code Aliases'!$B:$B,MATCH(TRIM(B1502),'Code Aliases'!$A:$A,0)),TRIM(B1502)))</f>
        <v/>
      </c>
      <c r="I1502" s="67" t="str">
        <f aca="false">IF(TRIM(D1502)="","",UPPER(TRIM(D1502)))</f>
        <v/>
      </c>
      <c r="J1502" s="67" t="str">
        <f aca="false">IF(TRIM(E1502)="","",UPPER(TRIM(E1502)))</f>
        <v/>
      </c>
    </row>
    <row r="1503" customFormat="false" ht="14.25" hidden="false" customHeight="true" outlineLevel="0" collapsed="false">
      <c r="C1503" s="17" t="str">
        <f aca="false">IF(TRIM(B1503)="","",IFERROR(INDEX('Code Aliases'!$B:$B,MATCH(TRIM(B1503),'Code Aliases'!$A:$A,0)),TRIM(B1503)))</f>
        <v/>
      </c>
      <c r="I1503" s="67" t="str">
        <f aca="false">IF(TRIM(D1503)="","",UPPER(TRIM(D1503)))</f>
        <v/>
      </c>
      <c r="J1503" s="67" t="str">
        <f aca="false">IF(TRIM(E1503)="","",UPPER(TRIM(E1503)))</f>
        <v/>
      </c>
    </row>
    <row r="1504" customFormat="false" ht="14.25" hidden="false" customHeight="true" outlineLevel="0" collapsed="false">
      <c r="C1504" s="17" t="str">
        <f aca="false">IF(TRIM(B1504)="","",IFERROR(INDEX('Code Aliases'!$B:$B,MATCH(TRIM(B1504),'Code Aliases'!$A:$A,0)),TRIM(B1504)))</f>
        <v/>
      </c>
      <c r="I1504" s="67" t="str">
        <f aca="false">IF(TRIM(D1504)="","",UPPER(TRIM(D1504)))</f>
        <v/>
      </c>
      <c r="J1504" s="67" t="str">
        <f aca="false">IF(TRIM(E1504)="","",UPPER(TRIM(E1504)))</f>
        <v/>
      </c>
    </row>
    <row r="1505" customFormat="false" ht="14.25" hidden="false" customHeight="true" outlineLevel="0" collapsed="false">
      <c r="C1505" s="17" t="str">
        <f aca="false">IF(TRIM(B1505)="","",IFERROR(INDEX('Code Aliases'!$B:$B,MATCH(TRIM(B1505),'Code Aliases'!$A:$A,0)),TRIM(B1505)))</f>
        <v/>
      </c>
      <c r="I1505" s="67" t="str">
        <f aca="false">IF(TRIM(D1505)="","",UPPER(TRIM(D1505)))</f>
        <v/>
      </c>
      <c r="J1505" s="67" t="str">
        <f aca="false">IF(TRIM(E1505)="","",UPPER(TRIM(E1505)))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21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7" min="7" style="1" width="14"/>
    <col collapsed="false" customWidth="true" hidden="false" outlineLevel="0" max="8" min="8" style="1" width="10"/>
  </cols>
  <sheetData>
    <row r="1" customFormat="false" ht="18" hidden="false" customHeight="true" outlineLevel="0" collapsed="false">
      <c r="A1" s="2" t="s">
        <v>959</v>
      </c>
    </row>
    <row r="2" customFormat="false" ht="14.25" hidden="false" customHeight="true" outlineLevel="0" collapsed="false">
      <c r="A2" s="37" t="s">
        <v>960</v>
      </c>
    </row>
    <row r="4" customFormat="false" ht="42" hidden="false" customHeight="true" outlineLevel="0" collapsed="false">
      <c r="A4" s="23" t="s">
        <v>31</v>
      </c>
      <c r="B4" s="23" t="s">
        <v>672</v>
      </c>
      <c r="C4" s="23" t="s">
        <v>673</v>
      </c>
      <c r="D4" s="23" t="s">
        <v>54</v>
      </c>
      <c r="E4" s="23" t="s">
        <v>675</v>
      </c>
      <c r="G4" s="7" t="s">
        <v>676</v>
      </c>
      <c r="H4" s="7" t="s">
        <v>677</v>
      </c>
    </row>
    <row r="5" customFormat="false" ht="14.25" hidden="false" customHeight="true" outlineLevel="0" collapsed="false">
      <c r="A5" s="69" t="n">
        <v>46266</v>
      </c>
      <c r="B5" s="63" t="s">
        <v>679</v>
      </c>
      <c r="C5" s="63" t="s">
        <v>83</v>
      </c>
      <c r="D5" s="63" t="s">
        <v>84</v>
      </c>
      <c r="E5" s="63" t="n">
        <v>310</v>
      </c>
    </row>
    <row r="6" customFormat="false" ht="14.25" hidden="false" customHeight="true" outlineLevel="0" collapsed="false">
      <c r="D6" s="17"/>
      <c r="G6" s="17" t="str">
        <f aca="false">IF(TRIM(C6)="","",IFERROR(INDEX('Code Aliases'!$B:$B,MATCH(TRIM(C6),'Code Aliases'!$A:$A,0)),TRIM(C6)))</f>
        <v/>
      </c>
      <c r="H6" s="17" t="str">
        <f aca="false">IF(TRIM(B6)="","",UPPER(TRIM(B6)))</f>
        <v/>
      </c>
    </row>
    <row r="7" customFormat="false" ht="14.25" hidden="false" customHeight="true" outlineLevel="0" collapsed="false">
      <c r="D7" s="17"/>
      <c r="G7" s="17" t="str">
        <f aca="false">IF(TRIM(C7)="","",IFERROR(INDEX('Code Aliases'!$B:$B,MATCH(TRIM(C7),'Code Aliases'!$A:$A,0)),TRIM(C7)))</f>
        <v/>
      </c>
      <c r="H7" s="17" t="str">
        <f aca="false">IF(TRIM(B7)="","",UPPER(TRIM(B7)))</f>
        <v/>
      </c>
    </row>
    <row r="8" customFormat="false" ht="14.25" hidden="false" customHeight="true" outlineLevel="0" collapsed="false">
      <c r="D8" s="17"/>
      <c r="G8" s="17" t="str">
        <f aca="false">IF(TRIM(C8)="","",IFERROR(INDEX('Code Aliases'!$B:$B,MATCH(TRIM(C8),'Code Aliases'!$A:$A,0)),TRIM(C8)))</f>
        <v/>
      </c>
      <c r="H8" s="17" t="str">
        <f aca="false">IF(TRIM(B8)="","",UPPER(TRIM(B8)))</f>
        <v/>
      </c>
    </row>
    <row r="9" customFormat="false" ht="14.25" hidden="false" customHeight="true" outlineLevel="0" collapsed="false">
      <c r="D9" s="17"/>
      <c r="G9" s="17" t="str">
        <f aca="false">IF(TRIM(C9)="","",IFERROR(INDEX('Code Aliases'!$B:$B,MATCH(TRIM(C9),'Code Aliases'!$A:$A,0)),TRIM(C9)))</f>
        <v/>
      </c>
      <c r="H9" s="17" t="str">
        <f aca="false">IF(TRIM(B9)="","",UPPER(TRIM(B9)))</f>
        <v/>
      </c>
    </row>
    <row r="10" customFormat="false" ht="14.25" hidden="false" customHeight="true" outlineLevel="0" collapsed="false">
      <c r="D10" s="17"/>
      <c r="G10" s="17" t="str">
        <f aca="false">IF(TRIM(C10)="","",IFERROR(INDEX('Code Aliases'!$B:$B,MATCH(TRIM(C10),'Code Aliases'!$A:$A,0)),TRIM(C10)))</f>
        <v/>
      </c>
      <c r="H10" s="17" t="str">
        <f aca="false">IF(TRIM(B10)="","",UPPER(TRIM(B10)))</f>
        <v/>
      </c>
    </row>
    <row r="11" customFormat="false" ht="14.25" hidden="false" customHeight="true" outlineLevel="0" collapsed="false">
      <c r="D11" s="17"/>
      <c r="G11" s="17" t="str">
        <f aca="false">IF(TRIM(C11)="","",IFERROR(INDEX('Code Aliases'!$B:$B,MATCH(TRIM(C11),'Code Aliases'!$A:$A,0)),TRIM(C11)))</f>
        <v/>
      </c>
      <c r="H11" s="17" t="str">
        <f aca="false">IF(TRIM(B11)="","",UPPER(TRIM(B11)))</f>
        <v/>
      </c>
    </row>
    <row r="12" customFormat="false" ht="14.25" hidden="false" customHeight="true" outlineLevel="0" collapsed="false">
      <c r="D12" s="17"/>
      <c r="G12" s="17" t="str">
        <f aca="false">IF(TRIM(C12)="","",IFERROR(INDEX('Code Aliases'!$B:$B,MATCH(TRIM(C12),'Code Aliases'!$A:$A,0)),TRIM(C12)))</f>
        <v/>
      </c>
      <c r="H12" s="17" t="str">
        <f aca="false">IF(TRIM(B12)="","",UPPER(TRIM(B12)))</f>
        <v/>
      </c>
    </row>
    <row r="13" customFormat="false" ht="14.25" hidden="false" customHeight="true" outlineLevel="0" collapsed="false">
      <c r="D13" s="17"/>
      <c r="G13" s="17" t="str">
        <f aca="false">IF(TRIM(C13)="","",IFERROR(INDEX('Code Aliases'!$B:$B,MATCH(TRIM(C13),'Code Aliases'!$A:$A,0)),TRIM(C13)))</f>
        <v/>
      </c>
      <c r="H13" s="17" t="str">
        <f aca="false">IF(TRIM(B13)="","",UPPER(TRIM(B13)))</f>
        <v/>
      </c>
    </row>
    <row r="14" customFormat="false" ht="14.25" hidden="false" customHeight="true" outlineLevel="0" collapsed="false">
      <c r="D14" s="17"/>
      <c r="G14" s="17" t="str">
        <f aca="false">IF(TRIM(C14)="","",IFERROR(INDEX('Code Aliases'!$B:$B,MATCH(TRIM(C14),'Code Aliases'!$A:$A,0)),TRIM(C14)))</f>
        <v/>
      </c>
      <c r="H14" s="17" t="str">
        <f aca="false">IF(TRIM(B14)="","",UPPER(TRIM(B14)))</f>
        <v/>
      </c>
    </row>
    <row r="15" customFormat="false" ht="14.25" hidden="false" customHeight="true" outlineLevel="0" collapsed="false">
      <c r="D15" s="17"/>
      <c r="G15" s="17" t="str">
        <f aca="false">IF(TRIM(C15)="","",IFERROR(INDEX('Code Aliases'!$B:$B,MATCH(TRIM(C15),'Code Aliases'!$A:$A,0)),TRIM(C15)))</f>
        <v/>
      </c>
      <c r="H15" s="17" t="str">
        <f aca="false">IF(TRIM(B15)="","",UPPER(TRIM(B15)))</f>
        <v/>
      </c>
    </row>
    <row r="16" customFormat="false" ht="14.25" hidden="false" customHeight="true" outlineLevel="0" collapsed="false">
      <c r="D16" s="17"/>
      <c r="G16" s="17" t="str">
        <f aca="false">IF(TRIM(C16)="","",IFERROR(INDEX('Code Aliases'!$B:$B,MATCH(TRIM(C16),'Code Aliases'!$A:$A,0)),TRIM(C16)))</f>
        <v/>
      </c>
      <c r="H16" s="17" t="str">
        <f aca="false">IF(TRIM(B16)="","",UPPER(TRIM(B16)))</f>
        <v/>
      </c>
    </row>
    <row r="17" customFormat="false" ht="14.25" hidden="false" customHeight="true" outlineLevel="0" collapsed="false">
      <c r="D17" s="17"/>
      <c r="G17" s="17" t="str">
        <f aca="false">IF(TRIM(C17)="","",IFERROR(INDEX('Code Aliases'!$B:$B,MATCH(TRIM(C17),'Code Aliases'!$A:$A,0)),TRIM(C17)))</f>
        <v/>
      </c>
      <c r="H17" s="17" t="str">
        <f aca="false">IF(TRIM(B17)="","",UPPER(TRIM(B17)))</f>
        <v/>
      </c>
    </row>
    <row r="18" customFormat="false" ht="14.25" hidden="false" customHeight="true" outlineLevel="0" collapsed="false">
      <c r="D18" s="17"/>
      <c r="G18" s="17" t="str">
        <f aca="false">IF(TRIM(C18)="","",IFERROR(INDEX('Code Aliases'!$B:$B,MATCH(TRIM(C18),'Code Aliases'!$A:$A,0)),TRIM(C18)))</f>
        <v/>
      </c>
      <c r="H18" s="17" t="str">
        <f aca="false">IF(TRIM(B18)="","",UPPER(TRIM(B18)))</f>
        <v/>
      </c>
    </row>
    <row r="19" customFormat="false" ht="14.25" hidden="false" customHeight="true" outlineLevel="0" collapsed="false">
      <c r="D19" s="17"/>
      <c r="G19" s="17" t="str">
        <f aca="false">IF(TRIM(C19)="","",IFERROR(INDEX('Code Aliases'!$B:$B,MATCH(TRIM(C19),'Code Aliases'!$A:$A,0)),TRIM(C19)))</f>
        <v/>
      </c>
      <c r="H19" s="17" t="str">
        <f aca="false">IF(TRIM(B19)="","",UPPER(TRIM(B19)))</f>
        <v/>
      </c>
    </row>
    <row r="20" customFormat="false" ht="14.25" hidden="false" customHeight="true" outlineLevel="0" collapsed="false">
      <c r="D20" s="17"/>
      <c r="G20" s="17" t="str">
        <f aca="false">IF(TRIM(C20)="","",IFERROR(INDEX('Code Aliases'!$B:$B,MATCH(TRIM(C20),'Code Aliases'!$A:$A,0)),TRIM(C20)))</f>
        <v/>
      </c>
      <c r="H20" s="17" t="str">
        <f aca="false">IF(TRIM(B20)="","",UPPER(TRIM(B20)))</f>
        <v/>
      </c>
    </row>
    <row r="21" customFormat="false" ht="14.25" hidden="false" customHeight="true" outlineLevel="0" collapsed="false">
      <c r="D21" s="17"/>
      <c r="G21" s="17" t="str">
        <f aca="false">IF(TRIM(C21)="","",IFERROR(INDEX('Code Aliases'!$B:$B,MATCH(TRIM(C21),'Code Aliases'!$A:$A,0)),TRIM(C21)))</f>
        <v/>
      </c>
      <c r="H21" s="17" t="str">
        <f aca="false">IF(TRIM(B21)="","",UPPER(TRIM(B21)))</f>
        <v/>
      </c>
    </row>
    <row r="22" customFormat="false" ht="14.25" hidden="false" customHeight="true" outlineLevel="0" collapsed="false">
      <c r="D22" s="17"/>
      <c r="G22" s="17" t="str">
        <f aca="false">IF(TRIM(C22)="","",IFERROR(INDEX('Code Aliases'!$B:$B,MATCH(TRIM(C22),'Code Aliases'!$A:$A,0)),TRIM(C22)))</f>
        <v/>
      </c>
      <c r="H22" s="17" t="str">
        <f aca="false">IF(TRIM(B22)="","",UPPER(TRIM(B22)))</f>
        <v/>
      </c>
    </row>
    <row r="23" customFormat="false" ht="14.25" hidden="false" customHeight="true" outlineLevel="0" collapsed="false">
      <c r="D23" s="17"/>
      <c r="G23" s="17" t="str">
        <f aca="false">IF(TRIM(C23)="","",IFERROR(INDEX('Code Aliases'!$B:$B,MATCH(TRIM(C23),'Code Aliases'!$A:$A,0)),TRIM(C23)))</f>
        <v/>
      </c>
      <c r="H23" s="17" t="str">
        <f aca="false">IF(TRIM(B23)="","",UPPER(TRIM(B23)))</f>
        <v/>
      </c>
    </row>
    <row r="24" customFormat="false" ht="14.25" hidden="false" customHeight="true" outlineLevel="0" collapsed="false">
      <c r="D24" s="17"/>
      <c r="G24" s="17" t="str">
        <f aca="false">IF(TRIM(C24)="","",IFERROR(INDEX('Code Aliases'!$B:$B,MATCH(TRIM(C24),'Code Aliases'!$A:$A,0)),TRIM(C24)))</f>
        <v/>
      </c>
      <c r="H24" s="17" t="str">
        <f aca="false">IF(TRIM(B24)="","",UPPER(TRIM(B24)))</f>
        <v/>
      </c>
    </row>
    <row r="25" customFormat="false" ht="14.25" hidden="false" customHeight="true" outlineLevel="0" collapsed="false">
      <c r="D25" s="17"/>
      <c r="G25" s="17" t="str">
        <f aca="false">IF(TRIM(C25)="","",IFERROR(INDEX('Code Aliases'!$B:$B,MATCH(TRIM(C25),'Code Aliases'!$A:$A,0)),TRIM(C25)))</f>
        <v/>
      </c>
      <c r="H25" s="17" t="str">
        <f aca="false">IF(TRIM(B25)="","",UPPER(TRIM(B25)))</f>
        <v/>
      </c>
    </row>
    <row r="26" customFormat="false" ht="14.25" hidden="false" customHeight="true" outlineLevel="0" collapsed="false">
      <c r="D26" s="17"/>
      <c r="G26" s="17" t="str">
        <f aca="false">IF(TRIM(C26)="","",IFERROR(INDEX('Code Aliases'!$B:$B,MATCH(TRIM(C26),'Code Aliases'!$A:$A,0)),TRIM(C26)))</f>
        <v/>
      </c>
      <c r="H26" s="17" t="str">
        <f aca="false">IF(TRIM(B26)="","",UPPER(TRIM(B26)))</f>
        <v/>
      </c>
    </row>
    <row r="27" customFormat="false" ht="14.25" hidden="false" customHeight="true" outlineLevel="0" collapsed="false">
      <c r="D27" s="17"/>
      <c r="G27" s="17" t="str">
        <f aca="false">IF(TRIM(C27)="","",IFERROR(INDEX('Code Aliases'!$B:$B,MATCH(TRIM(C27),'Code Aliases'!$A:$A,0)),TRIM(C27)))</f>
        <v/>
      </c>
      <c r="H27" s="17" t="str">
        <f aca="false">IF(TRIM(B27)="","",UPPER(TRIM(B27)))</f>
        <v/>
      </c>
    </row>
    <row r="28" customFormat="false" ht="14.25" hidden="false" customHeight="true" outlineLevel="0" collapsed="false">
      <c r="D28" s="17"/>
      <c r="G28" s="17" t="str">
        <f aca="false">IF(TRIM(C28)="","",IFERROR(INDEX('Code Aliases'!$B:$B,MATCH(TRIM(C28),'Code Aliases'!$A:$A,0)),TRIM(C28)))</f>
        <v/>
      </c>
      <c r="H28" s="17" t="str">
        <f aca="false">IF(TRIM(B28)="","",UPPER(TRIM(B28)))</f>
        <v/>
      </c>
    </row>
    <row r="29" customFormat="false" ht="14.25" hidden="false" customHeight="true" outlineLevel="0" collapsed="false">
      <c r="D29" s="17"/>
      <c r="G29" s="17" t="str">
        <f aca="false">IF(TRIM(C29)="","",IFERROR(INDEX('Code Aliases'!$B:$B,MATCH(TRIM(C29),'Code Aliases'!$A:$A,0)),TRIM(C29)))</f>
        <v/>
      </c>
      <c r="H29" s="17" t="str">
        <f aca="false">IF(TRIM(B29)="","",UPPER(TRIM(B29)))</f>
        <v/>
      </c>
    </row>
    <row r="30" customFormat="false" ht="14.25" hidden="false" customHeight="true" outlineLevel="0" collapsed="false">
      <c r="D30" s="17"/>
      <c r="G30" s="17" t="str">
        <f aca="false">IF(TRIM(C30)="","",IFERROR(INDEX('Code Aliases'!$B:$B,MATCH(TRIM(C30),'Code Aliases'!$A:$A,0)),TRIM(C30)))</f>
        <v/>
      </c>
      <c r="H30" s="17" t="str">
        <f aca="false">IF(TRIM(B30)="","",UPPER(TRIM(B30)))</f>
        <v/>
      </c>
    </row>
    <row r="31" customFormat="false" ht="14.25" hidden="false" customHeight="true" outlineLevel="0" collapsed="false">
      <c r="D31" s="17"/>
      <c r="G31" s="17" t="str">
        <f aca="false">IF(TRIM(C31)="","",IFERROR(INDEX('Code Aliases'!$B:$B,MATCH(TRIM(C31),'Code Aliases'!$A:$A,0)),TRIM(C31)))</f>
        <v/>
      </c>
      <c r="H31" s="17" t="str">
        <f aca="false">IF(TRIM(B31)="","",UPPER(TRIM(B31)))</f>
        <v/>
      </c>
    </row>
    <row r="32" customFormat="false" ht="14.25" hidden="false" customHeight="true" outlineLevel="0" collapsed="false">
      <c r="D32" s="17"/>
      <c r="G32" s="17" t="str">
        <f aca="false">IF(TRIM(C32)="","",IFERROR(INDEX('Code Aliases'!$B:$B,MATCH(TRIM(C32),'Code Aliases'!$A:$A,0)),TRIM(C32)))</f>
        <v/>
      </c>
      <c r="H32" s="17" t="str">
        <f aca="false">IF(TRIM(B32)="","",UPPER(TRIM(B32)))</f>
        <v/>
      </c>
    </row>
    <row r="33" customFormat="false" ht="14.25" hidden="false" customHeight="true" outlineLevel="0" collapsed="false">
      <c r="D33" s="17"/>
      <c r="G33" s="17" t="str">
        <f aca="false">IF(TRIM(C33)="","",IFERROR(INDEX('Code Aliases'!$B:$B,MATCH(TRIM(C33),'Code Aliases'!$A:$A,0)),TRIM(C33)))</f>
        <v/>
      </c>
      <c r="H33" s="17" t="str">
        <f aca="false">IF(TRIM(B33)="","",UPPER(TRIM(B33)))</f>
        <v/>
      </c>
    </row>
    <row r="34" customFormat="false" ht="14.25" hidden="false" customHeight="true" outlineLevel="0" collapsed="false">
      <c r="D34" s="17"/>
      <c r="G34" s="17" t="str">
        <f aca="false">IF(TRIM(C34)="","",IFERROR(INDEX('Code Aliases'!$B:$B,MATCH(TRIM(C34),'Code Aliases'!$A:$A,0)),TRIM(C34)))</f>
        <v/>
      </c>
      <c r="H34" s="17" t="str">
        <f aca="false">IF(TRIM(B34)="","",UPPER(TRIM(B34)))</f>
        <v/>
      </c>
    </row>
    <row r="35" customFormat="false" ht="14.25" hidden="false" customHeight="true" outlineLevel="0" collapsed="false">
      <c r="D35" s="17"/>
      <c r="G35" s="17" t="str">
        <f aca="false">IF(TRIM(C35)="","",IFERROR(INDEX('Code Aliases'!$B:$B,MATCH(TRIM(C35),'Code Aliases'!$A:$A,0)),TRIM(C35)))</f>
        <v/>
      </c>
      <c r="H35" s="17" t="str">
        <f aca="false">IF(TRIM(B35)="","",UPPER(TRIM(B35)))</f>
        <v/>
      </c>
    </row>
    <row r="36" customFormat="false" ht="14.25" hidden="false" customHeight="true" outlineLevel="0" collapsed="false">
      <c r="D36" s="17"/>
      <c r="G36" s="17" t="str">
        <f aca="false">IF(TRIM(C36)="","",IFERROR(INDEX('Code Aliases'!$B:$B,MATCH(TRIM(C36),'Code Aliases'!$A:$A,0)),TRIM(C36)))</f>
        <v/>
      </c>
      <c r="H36" s="17" t="str">
        <f aca="false">IF(TRIM(B36)="","",UPPER(TRIM(B36)))</f>
        <v/>
      </c>
    </row>
    <row r="37" customFormat="false" ht="14.25" hidden="false" customHeight="true" outlineLevel="0" collapsed="false">
      <c r="D37" s="17"/>
      <c r="G37" s="17" t="str">
        <f aca="false">IF(TRIM(C37)="","",IFERROR(INDEX('Code Aliases'!$B:$B,MATCH(TRIM(C37),'Code Aliases'!$A:$A,0)),TRIM(C37)))</f>
        <v/>
      </c>
      <c r="H37" s="17" t="str">
        <f aca="false">IF(TRIM(B37)="","",UPPER(TRIM(B37)))</f>
        <v/>
      </c>
    </row>
    <row r="38" customFormat="false" ht="14.25" hidden="false" customHeight="true" outlineLevel="0" collapsed="false">
      <c r="D38" s="17"/>
      <c r="G38" s="17" t="str">
        <f aca="false">IF(TRIM(C38)="","",IFERROR(INDEX('Code Aliases'!$B:$B,MATCH(TRIM(C38),'Code Aliases'!$A:$A,0)),TRIM(C38)))</f>
        <v/>
      </c>
      <c r="H38" s="17" t="str">
        <f aca="false">IF(TRIM(B38)="","",UPPER(TRIM(B38)))</f>
        <v/>
      </c>
    </row>
    <row r="39" customFormat="false" ht="14.25" hidden="false" customHeight="true" outlineLevel="0" collapsed="false">
      <c r="D39" s="17"/>
      <c r="G39" s="17" t="str">
        <f aca="false">IF(TRIM(C39)="","",IFERROR(INDEX('Code Aliases'!$B:$B,MATCH(TRIM(C39),'Code Aliases'!$A:$A,0)),TRIM(C39)))</f>
        <v/>
      </c>
      <c r="H39" s="17" t="str">
        <f aca="false">IF(TRIM(B39)="","",UPPER(TRIM(B39)))</f>
        <v/>
      </c>
    </row>
    <row r="40" customFormat="false" ht="14.25" hidden="false" customHeight="true" outlineLevel="0" collapsed="false">
      <c r="D40" s="17"/>
      <c r="G40" s="17" t="str">
        <f aca="false">IF(TRIM(C40)="","",IFERROR(INDEX('Code Aliases'!$B:$B,MATCH(TRIM(C40),'Code Aliases'!$A:$A,0)),TRIM(C40)))</f>
        <v/>
      </c>
      <c r="H40" s="17" t="str">
        <f aca="false">IF(TRIM(B40)="","",UPPER(TRIM(B40)))</f>
        <v/>
      </c>
    </row>
    <row r="41" customFormat="false" ht="14.25" hidden="false" customHeight="true" outlineLevel="0" collapsed="false">
      <c r="D41" s="17"/>
      <c r="G41" s="17" t="str">
        <f aca="false">IF(TRIM(C41)="","",IFERROR(INDEX('Code Aliases'!$B:$B,MATCH(TRIM(C41),'Code Aliases'!$A:$A,0)),TRIM(C41)))</f>
        <v/>
      </c>
      <c r="H41" s="17" t="str">
        <f aca="false">IF(TRIM(B41)="","",UPPER(TRIM(B41)))</f>
        <v/>
      </c>
    </row>
    <row r="42" customFormat="false" ht="14.25" hidden="false" customHeight="true" outlineLevel="0" collapsed="false">
      <c r="D42" s="17"/>
      <c r="G42" s="17" t="str">
        <f aca="false">IF(TRIM(C42)="","",IFERROR(INDEX('Code Aliases'!$B:$B,MATCH(TRIM(C42),'Code Aliases'!$A:$A,0)),TRIM(C42)))</f>
        <v/>
      </c>
      <c r="H42" s="17" t="str">
        <f aca="false">IF(TRIM(B42)="","",UPPER(TRIM(B42)))</f>
        <v/>
      </c>
    </row>
    <row r="43" customFormat="false" ht="14.25" hidden="false" customHeight="true" outlineLevel="0" collapsed="false">
      <c r="D43" s="17"/>
      <c r="G43" s="17" t="str">
        <f aca="false">IF(TRIM(C43)="","",IFERROR(INDEX('Code Aliases'!$B:$B,MATCH(TRIM(C43),'Code Aliases'!$A:$A,0)),TRIM(C43)))</f>
        <v/>
      </c>
      <c r="H43" s="17" t="str">
        <f aca="false">IF(TRIM(B43)="","",UPPER(TRIM(B43)))</f>
        <v/>
      </c>
    </row>
    <row r="44" customFormat="false" ht="14.25" hidden="false" customHeight="true" outlineLevel="0" collapsed="false">
      <c r="D44" s="17"/>
      <c r="G44" s="17" t="str">
        <f aca="false">IF(TRIM(C44)="","",IFERROR(INDEX('Code Aliases'!$B:$B,MATCH(TRIM(C44),'Code Aliases'!$A:$A,0)),TRIM(C44)))</f>
        <v/>
      </c>
      <c r="H44" s="17" t="str">
        <f aca="false">IF(TRIM(B44)="","",UPPER(TRIM(B44)))</f>
        <v/>
      </c>
    </row>
    <row r="45" customFormat="false" ht="14.25" hidden="false" customHeight="true" outlineLevel="0" collapsed="false">
      <c r="D45" s="17"/>
      <c r="G45" s="17" t="str">
        <f aca="false">IF(TRIM(C45)="","",IFERROR(INDEX('Code Aliases'!$B:$B,MATCH(TRIM(C45),'Code Aliases'!$A:$A,0)),TRIM(C45)))</f>
        <v/>
      </c>
      <c r="H45" s="17" t="str">
        <f aca="false">IF(TRIM(B45)="","",UPPER(TRIM(B45)))</f>
        <v/>
      </c>
    </row>
    <row r="46" customFormat="false" ht="14.25" hidden="false" customHeight="true" outlineLevel="0" collapsed="false">
      <c r="D46" s="17"/>
      <c r="G46" s="17" t="str">
        <f aca="false">IF(TRIM(C46)="","",IFERROR(INDEX('Code Aliases'!$B:$B,MATCH(TRIM(C46),'Code Aliases'!$A:$A,0)),TRIM(C46)))</f>
        <v/>
      </c>
      <c r="H46" s="17" t="str">
        <f aca="false">IF(TRIM(B46)="","",UPPER(TRIM(B46)))</f>
        <v/>
      </c>
    </row>
    <row r="47" customFormat="false" ht="14.25" hidden="false" customHeight="true" outlineLevel="0" collapsed="false">
      <c r="D47" s="17"/>
      <c r="G47" s="17" t="str">
        <f aca="false">IF(TRIM(C47)="","",IFERROR(INDEX('Code Aliases'!$B:$B,MATCH(TRIM(C47),'Code Aliases'!$A:$A,0)),TRIM(C47)))</f>
        <v/>
      </c>
      <c r="H47" s="17" t="str">
        <f aca="false">IF(TRIM(B47)="","",UPPER(TRIM(B47)))</f>
        <v/>
      </c>
    </row>
    <row r="48" customFormat="false" ht="14.25" hidden="false" customHeight="true" outlineLevel="0" collapsed="false">
      <c r="D48" s="17"/>
      <c r="G48" s="17" t="str">
        <f aca="false">IF(TRIM(C48)="","",IFERROR(INDEX('Code Aliases'!$B:$B,MATCH(TRIM(C48),'Code Aliases'!$A:$A,0)),TRIM(C48)))</f>
        <v/>
      </c>
      <c r="H48" s="17" t="str">
        <f aca="false">IF(TRIM(B48)="","",UPPER(TRIM(B48)))</f>
        <v/>
      </c>
    </row>
    <row r="49" customFormat="false" ht="14.25" hidden="false" customHeight="true" outlineLevel="0" collapsed="false">
      <c r="D49" s="17"/>
      <c r="G49" s="17" t="str">
        <f aca="false">IF(TRIM(C49)="","",IFERROR(INDEX('Code Aliases'!$B:$B,MATCH(TRIM(C49),'Code Aliases'!$A:$A,0)),TRIM(C49)))</f>
        <v/>
      </c>
      <c r="H49" s="17" t="str">
        <f aca="false">IF(TRIM(B49)="","",UPPER(TRIM(B49)))</f>
        <v/>
      </c>
    </row>
    <row r="50" customFormat="false" ht="14.25" hidden="false" customHeight="true" outlineLevel="0" collapsed="false">
      <c r="D50" s="17"/>
      <c r="G50" s="17" t="str">
        <f aca="false">IF(TRIM(C50)="","",IFERROR(INDEX('Code Aliases'!$B:$B,MATCH(TRIM(C50),'Code Aliases'!$A:$A,0)),TRIM(C50)))</f>
        <v/>
      </c>
      <c r="H50" s="17" t="str">
        <f aca="false">IF(TRIM(B50)="","",UPPER(TRIM(B50)))</f>
        <v/>
      </c>
    </row>
    <row r="51" customFormat="false" ht="14.25" hidden="false" customHeight="true" outlineLevel="0" collapsed="false">
      <c r="D51" s="17"/>
      <c r="G51" s="17" t="str">
        <f aca="false">IF(TRIM(C51)="","",IFERROR(INDEX('Code Aliases'!$B:$B,MATCH(TRIM(C51),'Code Aliases'!$A:$A,0)),TRIM(C51)))</f>
        <v/>
      </c>
      <c r="H51" s="17" t="str">
        <f aca="false">IF(TRIM(B51)="","",UPPER(TRIM(B51)))</f>
        <v/>
      </c>
    </row>
    <row r="52" customFormat="false" ht="14.25" hidden="false" customHeight="true" outlineLevel="0" collapsed="false">
      <c r="D52" s="17"/>
      <c r="G52" s="17" t="str">
        <f aca="false">IF(TRIM(C52)="","",IFERROR(INDEX('Code Aliases'!$B:$B,MATCH(TRIM(C52),'Code Aliases'!$A:$A,0)),TRIM(C52)))</f>
        <v/>
      </c>
      <c r="H52" s="17" t="str">
        <f aca="false">IF(TRIM(B52)="","",UPPER(TRIM(B52)))</f>
        <v/>
      </c>
    </row>
    <row r="53" customFormat="false" ht="14.25" hidden="false" customHeight="true" outlineLevel="0" collapsed="false">
      <c r="D53" s="17"/>
      <c r="G53" s="17" t="str">
        <f aca="false">IF(TRIM(C53)="","",IFERROR(INDEX('Code Aliases'!$B:$B,MATCH(TRIM(C53),'Code Aliases'!$A:$A,0)),TRIM(C53)))</f>
        <v/>
      </c>
      <c r="H53" s="17" t="str">
        <f aca="false">IF(TRIM(B53)="","",UPPER(TRIM(B53)))</f>
        <v/>
      </c>
    </row>
    <row r="54" customFormat="false" ht="14.25" hidden="false" customHeight="true" outlineLevel="0" collapsed="false">
      <c r="D54" s="17"/>
      <c r="G54" s="17" t="str">
        <f aca="false">IF(TRIM(C54)="","",IFERROR(INDEX('Code Aliases'!$B:$B,MATCH(TRIM(C54),'Code Aliases'!$A:$A,0)),TRIM(C54)))</f>
        <v/>
      </c>
      <c r="H54" s="17" t="str">
        <f aca="false">IF(TRIM(B54)="","",UPPER(TRIM(B54)))</f>
        <v/>
      </c>
    </row>
    <row r="55" customFormat="false" ht="14.25" hidden="false" customHeight="true" outlineLevel="0" collapsed="false">
      <c r="D55" s="17"/>
      <c r="G55" s="17" t="str">
        <f aca="false">IF(TRIM(C55)="","",IFERROR(INDEX('Code Aliases'!$B:$B,MATCH(TRIM(C55),'Code Aliases'!$A:$A,0)),TRIM(C55)))</f>
        <v/>
      </c>
      <c r="H55" s="17" t="str">
        <f aca="false">IF(TRIM(B55)="","",UPPER(TRIM(B55)))</f>
        <v/>
      </c>
    </row>
    <row r="56" customFormat="false" ht="14.25" hidden="false" customHeight="true" outlineLevel="0" collapsed="false">
      <c r="D56" s="17"/>
      <c r="G56" s="17" t="str">
        <f aca="false">IF(TRIM(C56)="","",IFERROR(INDEX('Code Aliases'!$B:$B,MATCH(TRIM(C56),'Code Aliases'!$A:$A,0)),TRIM(C56)))</f>
        <v/>
      </c>
      <c r="H56" s="17" t="str">
        <f aca="false">IF(TRIM(B56)="","",UPPER(TRIM(B56)))</f>
        <v/>
      </c>
    </row>
    <row r="57" customFormat="false" ht="14.25" hidden="false" customHeight="true" outlineLevel="0" collapsed="false">
      <c r="D57" s="17"/>
      <c r="G57" s="17" t="str">
        <f aca="false">IF(TRIM(C57)="","",IFERROR(INDEX('Code Aliases'!$B:$B,MATCH(TRIM(C57),'Code Aliases'!$A:$A,0)),TRIM(C57)))</f>
        <v/>
      </c>
      <c r="H57" s="17" t="str">
        <f aca="false">IF(TRIM(B57)="","",UPPER(TRIM(B57)))</f>
        <v/>
      </c>
    </row>
    <row r="58" customFormat="false" ht="14.25" hidden="false" customHeight="true" outlineLevel="0" collapsed="false">
      <c r="D58" s="17"/>
      <c r="G58" s="17" t="str">
        <f aca="false">IF(TRIM(C58)="","",IFERROR(INDEX('Code Aliases'!$B:$B,MATCH(TRIM(C58),'Code Aliases'!$A:$A,0)),TRIM(C58)))</f>
        <v/>
      </c>
      <c r="H58" s="17" t="str">
        <f aca="false">IF(TRIM(B58)="","",UPPER(TRIM(B58)))</f>
        <v/>
      </c>
    </row>
    <row r="59" customFormat="false" ht="14.25" hidden="false" customHeight="true" outlineLevel="0" collapsed="false">
      <c r="D59" s="17"/>
      <c r="G59" s="17" t="str">
        <f aca="false">IF(TRIM(C59)="","",IFERROR(INDEX('Code Aliases'!$B:$B,MATCH(TRIM(C59),'Code Aliases'!$A:$A,0)),TRIM(C59)))</f>
        <v/>
      </c>
      <c r="H59" s="17" t="str">
        <f aca="false">IF(TRIM(B59)="","",UPPER(TRIM(B59)))</f>
        <v/>
      </c>
    </row>
    <row r="60" customFormat="false" ht="14.25" hidden="false" customHeight="true" outlineLevel="0" collapsed="false">
      <c r="D60" s="17"/>
      <c r="G60" s="17" t="str">
        <f aca="false">IF(TRIM(C60)="","",IFERROR(INDEX('Code Aliases'!$B:$B,MATCH(TRIM(C60),'Code Aliases'!$A:$A,0)),TRIM(C60)))</f>
        <v/>
      </c>
      <c r="H60" s="17" t="str">
        <f aca="false">IF(TRIM(B60)="","",UPPER(TRIM(B60)))</f>
        <v/>
      </c>
    </row>
    <row r="61" customFormat="false" ht="14.25" hidden="false" customHeight="true" outlineLevel="0" collapsed="false">
      <c r="D61" s="17"/>
      <c r="G61" s="17" t="str">
        <f aca="false">IF(TRIM(C61)="","",IFERROR(INDEX('Code Aliases'!$B:$B,MATCH(TRIM(C61),'Code Aliases'!$A:$A,0)),TRIM(C61)))</f>
        <v/>
      </c>
      <c r="H61" s="17" t="str">
        <f aca="false">IF(TRIM(B61)="","",UPPER(TRIM(B61)))</f>
        <v/>
      </c>
    </row>
    <row r="62" customFormat="false" ht="14.25" hidden="false" customHeight="true" outlineLevel="0" collapsed="false">
      <c r="D62" s="17"/>
      <c r="G62" s="17" t="str">
        <f aca="false">IF(TRIM(C62)="","",IFERROR(INDEX('Code Aliases'!$B:$B,MATCH(TRIM(C62),'Code Aliases'!$A:$A,0)),TRIM(C62)))</f>
        <v/>
      </c>
      <c r="H62" s="17" t="str">
        <f aca="false">IF(TRIM(B62)="","",UPPER(TRIM(B62)))</f>
        <v/>
      </c>
    </row>
    <row r="63" customFormat="false" ht="14.25" hidden="false" customHeight="true" outlineLevel="0" collapsed="false">
      <c r="D63" s="17"/>
      <c r="G63" s="17" t="str">
        <f aca="false">IF(TRIM(C63)="","",IFERROR(INDEX('Code Aliases'!$B:$B,MATCH(TRIM(C63),'Code Aliases'!$A:$A,0)),TRIM(C63)))</f>
        <v/>
      </c>
      <c r="H63" s="17" t="str">
        <f aca="false">IF(TRIM(B63)="","",UPPER(TRIM(B63)))</f>
        <v/>
      </c>
    </row>
    <row r="64" customFormat="false" ht="14.25" hidden="false" customHeight="true" outlineLevel="0" collapsed="false">
      <c r="D64" s="17"/>
      <c r="G64" s="17" t="str">
        <f aca="false">IF(TRIM(C64)="","",IFERROR(INDEX('Code Aliases'!$B:$B,MATCH(TRIM(C64),'Code Aliases'!$A:$A,0)),TRIM(C64)))</f>
        <v/>
      </c>
      <c r="H64" s="17" t="str">
        <f aca="false">IF(TRIM(B64)="","",UPPER(TRIM(B64)))</f>
        <v/>
      </c>
    </row>
    <row r="65" customFormat="false" ht="14.25" hidden="false" customHeight="true" outlineLevel="0" collapsed="false">
      <c r="D65" s="17"/>
      <c r="G65" s="17" t="str">
        <f aca="false">IF(TRIM(C65)="","",IFERROR(INDEX('Code Aliases'!$B:$B,MATCH(TRIM(C65),'Code Aliases'!$A:$A,0)),TRIM(C65)))</f>
        <v/>
      </c>
      <c r="H65" s="17" t="str">
        <f aca="false">IF(TRIM(B65)="","",UPPER(TRIM(B65)))</f>
        <v/>
      </c>
    </row>
    <row r="66" customFormat="false" ht="14.25" hidden="false" customHeight="true" outlineLevel="0" collapsed="false">
      <c r="D66" s="17"/>
      <c r="G66" s="17" t="str">
        <f aca="false">IF(TRIM(C66)="","",IFERROR(INDEX('Code Aliases'!$B:$B,MATCH(TRIM(C66),'Code Aliases'!$A:$A,0)),TRIM(C66)))</f>
        <v/>
      </c>
      <c r="H66" s="17" t="str">
        <f aca="false">IF(TRIM(B66)="","",UPPER(TRIM(B66)))</f>
        <v/>
      </c>
    </row>
    <row r="67" customFormat="false" ht="14.25" hidden="false" customHeight="true" outlineLevel="0" collapsed="false">
      <c r="D67" s="17"/>
      <c r="G67" s="17" t="str">
        <f aca="false">IF(TRIM(C67)="","",IFERROR(INDEX('Code Aliases'!$B:$B,MATCH(TRIM(C67),'Code Aliases'!$A:$A,0)),TRIM(C67)))</f>
        <v/>
      </c>
      <c r="H67" s="17" t="str">
        <f aca="false">IF(TRIM(B67)="","",UPPER(TRIM(B67)))</f>
        <v/>
      </c>
    </row>
    <row r="68" customFormat="false" ht="14.25" hidden="false" customHeight="true" outlineLevel="0" collapsed="false">
      <c r="D68" s="17"/>
      <c r="G68" s="17" t="str">
        <f aca="false">IF(TRIM(C68)="","",IFERROR(INDEX('Code Aliases'!$B:$B,MATCH(TRIM(C68),'Code Aliases'!$A:$A,0)),TRIM(C68)))</f>
        <v/>
      </c>
      <c r="H68" s="17" t="str">
        <f aca="false">IF(TRIM(B68)="","",UPPER(TRIM(B68)))</f>
        <v/>
      </c>
    </row>
    <row r="69" customFormat="false" ht="14.25" hidden="false" customHeight="true" outlineLevel="0" collapsed="false">
      <c r="D69" s="17"/>
      <c r="G69" s="17" t="str">
        <f aca="false">IF(TRIM(C69)="","",IFERROR(INDEX('Code Aliases'!$B:$B,MATCH(TRIM(C69),'Code Aliases'!$A:$A,0)),TRIM(C69)))</f>
        <v/>
      </c>
      <c r="H69" s="17" t="str">
        <f aca="false">IF(TRIM(B69)="","",UPPER(TRIM(B69)))</f>
        <v/>
      </c>
    </row>
    <row r="70" customFormat="false" ht="14.25" hidden="false" customHeight="true" outlineLevel="0" collapsed="false">
      <c r="D70" s="17"/>
      <c r="G70" s="17" t="str">
        <f aca="false">IF(TRIM(C70)="","",IFERROR(INDEX('Code Aliases'!$B:$B,MATCH(TRIM(C70),'Code Aliases'!$A:$A,0)),TRIM(C70)))</f>
        <v/>
      </c>
      <c r="H70" s="17" t="str">
        <f aca="false">IF(TRIM(B70)="","",UPPER(TRIM(B70)))</f>
        <v/>
      </c>
    </row>
    <row r="71" customFormat="false" ht="14.25" hidden="false" customHeight="true" outlineLevel="0" collapsed="false">
      <c r="D71" s="17"/>
      <c r="G71" s="17" t="str">
        <f aca="false">IF(TRIM(C71)="","",IFERROR(INDEX('Code Aliases'!$B:$B,MATCH(TRIM(C71),'Code Aliases'!$A:$A,0)),TRIM(C71)))</f>
        <v/>
      </c>
      <c r="H71" s="17" t="str">
        <f aca="false">IF(TRIM(B71)="","",UPPER(TRIM(B71)))</f>
        <v/>
      </c>
    </row>
    <row r="72" customFormat="false" ht="14.25" hidden="false" customHeight="true" outlineLevel="0" collapsed="false">
      <c r="D72" s="17"/>
      <c r="G72" s="17" t="str">
        <f aca="false">IF(TRIM(C72)="","",IFERROR(INDEX('Code Aliases'!$B:$B,MATCH(TRIM(C72),'Code Aliases'!$A:$A,0)),TRIM(C72)))</f>
        <v/>
      </c>
      <c r="H72" s="17" t="str">
        <f aca="false">IF(TRIM(B72)="","",UPPER(TRIM(B72)))</f>
        <v/>
      </c>
    </row>
    <row r="73" customFormat="false" ht="14.25" hidden="false" customHeight="true" outlineLevel="0" collapsed="false">
      <c r="D73" s="17"/>
      <c r="G73" s="17" t="str">
        <f aca="false">IF(TRIM(C73)="","",IFERROR(INDEX('Code Aliases'!$B:$B,MATCH(TRIM(C73),'Code Aliases'!$A:$A,0)),TRIM(C73)))</f>
        <v/>
      </c>
      <c r="H73" s="17" t="str">
        <f aca="false">IF(TRIM(B73)="","",UPPER(TRIM(B73)))</f>
        <v/>
      </c>
    </row>
    <row r="74" customFormat="false" ht="14.25" hidden="false" customHeight="true" outlineLevel="0" collapsed="false">
      <c r="D74" s="17"/>
      <c r="G74" s="17" t="str">
        <f aca="false">IF(TRIM(C74)="","",IFERROR(INDEX('Code Aliases'!$B:$B,MATCH(TRIM(C74),'Code Aliases'!$A:$A,0)),TRIM(C74)))</f>
        <v/>
      </c>
      <c r="H74" s="17" t="str">
        <f aca="false">IF(TRIM(B74)="","",UPPER(TRIM(B74)))</f>
        <v/>
      </c>
    </row>
    <row r="75" customFormat="false" ht="14.25" hidden="false" customHeight="true" outlineLevel="0" collapsed="false">
      <c r="D75" s="17"/>
      <c r="G75" s="17" t="str">
        <f aca="false">IF(TRIM(C75)="","",IFERROR(INDEX('Code Aliases'!$B:$B,MATCH(TRIM(C75),'Code Aliases'!$A:$A,0)),TRIM(C75)))</f>
        <v/>
      </c>
      <c r="H75" s="17" t="str">
        <f aca="false">IF(TRIM(B75)="","",UPPER(TRIM(B75)))</f>
        <v/>
      </c>
    </row>
    <row r="76" customFormat="false" ht="14.25" hidden="false" customHeight="true" outlineLevel="0" collapsed="false">
      <c r="D76" s="17"/>
      <c r="G76" s="17" t="str">
        <f aca="false">IF(TRIM(C76)="","",IFERROR(INDEX('Code Aliases'!$B:$B,MATCH(TRIM(C76),'Code Aliases'!$A:$A,0)),TRIM(C76)))</f>
        <v/>
      </c>
      <c r="H76" s="17" t="str">
        <f aca="false">IF(TRIM(B76)="","",UPPER(TRIM(B76)))</f>
        <v/>
      </c>
    </row>
    <row r="77" customFormat="false" ht="14.25" hidden="false" customHeight="true" outlineLevel="0" collapsed="false">
      <c r="D77" s="17"/>
      <c r="G77" s="17" t="str">
        <f aca="false">IF(TRIM(C77)="","",IFERROR(INDEX('Code Aliases'!$B:$B,MATCH(TRIM(C77),'Code Aliases'!$A:$A,0)),TRIM(C77)))</f>
        <v/>
      </c>
      <c r="H77" s="17" t="str">
        <f aca="false">IF(TRIM(B77)="","",UPPER(TRIM(B77)))</f>
        <v/>
      </c>
    </row>
    <row r="78" customFormat="false" ht="14.25" hidden="false" customHeight="true" outlineLevel="0" collapsed="false">
      <c r="D78" s="17"/>
      <c r="G78" s="17" t="str">
        <f aca="false">IF(TRIM(C78)="","",IFERROR(INDEX('Code Aliases'!$B:$B,MATCH(TRIM(C78),'Code Aliases'!$A:$A,0)),TRIM(C78)))</f>
        <v/>
      </c>
      <c r="H78" s="17" t="str">
        <f aca="false">IF(TRIM(B78)="","",UPPER(TRIM(B78)))</f>
        <v/>
      </c>
    </row>
    <row r="79" customFormat="false" ht="14.25" hidden="false" customHeight="true" outlineLevel="0" collapsed="false">
      <c r="D79" s="17"/>
      <c r="G79" s="17" t="str">
        <f aca="false">IF(TRIM(C79)="","",IFERROR(INDEX('Code Aliases'!$B:$B,MATCH(TRIM(C79),'Code Aliases'!$A:$A,0)),TRIM(C79)))</f>
        <v/>
      </c>
      <c r="H79" s="17" t="str">
        <f aca="false">IF(TRIM(B79)="","",UPPER(TRIM(B79)))</f>
        <v/>
      </c>
    </row>
    <row r="80" customFormat="false" ht="14.25" hidden="false" customHeight="true" outlineLevel="0" collapsed="false">
      <c r="D80" s="17"/>
      <c r="G80" s="17" t="str">
        <f aca="false">IF(TRIM(C80)="","",IFERROR(INDEX('Code Aliases'!$B:$B,MATCH(TRIM(C80),'Code Aliases'!$A:$A,0)),TRIM(C80)))</f>
        <v/>
      </c>
      <c r="H80" s="17" t="str">
        <f aca="false">IF(TRIM(B80)="","",UPPER(TRIM(B80)))</f>
        <v/>
      </c>
    </row>
    <row r="81" customFormat="false" ht="14.25" hidden="false" customHeight="true" outlineLevel="0" collapsed="false">
      <c r="D81" s="17"/>
      <c r="G81" s="17" t="str">
        <f aca="false">IF(TRIM(C81)="","",IFERROR(INDEX('Code Aliases'!$B:$B,MATCH(TRIM(C81),'Code Aliases'!$A:$A,0)),TRIM(C81)))</f>
        <v/>
      </c>
      <c r="H81" s="17" t="str">
        <f aca="false">IF(TRIM(B81)="","",UPPER(TRIM(B81)))</f>
        <v/>
      </c>
    </row>
    <row r="82" customFormat="false" ht="14.25" hidden="false" customHeight="true" outlineLevel="0" collapsed="false">
      <c r="D82" s="17"/>
      <c r="G82" s="17" t="str">
        <f aca="false">IF(TRIM(C82)="","",IFERROR(INDEX('Code Aliases'!$B:$B,MATCH(TRIM(C82),'Code Aliases'!$A:$A,0)),TRIM(C82)))</f>
        <v/>
      </c>
      <c r="H82" s="17" t="str">
        <f aca="false">IF(TRIM(B82)="","",UPPER(TRIM(B82)))</f>
        <v/>
      </c>
    </row>
    <row r="83" customFormat="false" ht="14.25" hidden="false" customHeight="true" outlineLevel="0" collapsed="false">
      <c r="D83" s="17"/>
      <c r="G83" s="17" t="str">
        <f aca="false">IF(TRIM(C83)="","",IFERROR(INDEX('Code Aliases'!$B:$B,MATCH(TRIM(C83),'Code Aliases'!$A:$A,0)),TRIM(C83)))</f>
        <v/>
      </c>
      <c r="H83" s="17" t="str">
        <f aca="false">IF(TRIM(B83)="","",UPPER(TRIM(B83)))</f>
        <v/>
      </c>
    </row>
    <row r="84" customFormat="false" ht="14.25" hidden="false" customHeight="true" outlineLevel="0" collapsed="false">
      <c r="D84" s="17"/>
      <c r="G84" s="17" t="str">
        <f aca="false">IF(TRIM(C84)="","",IFERROR(INDEX('Code Aliases'!$B:$B,MATCH(TRIM(C84),'Code Aliases'!$A:$A,0)),TRIM(C84)))</f>
        <v/>
      </c>
      <c r="H84" s="17" t="str">
        <f aca="false">IF(TRIM(B84)="","",UPPER(TRIM(B84)))</f>
        <v/>
      </c>
    </row>
    <row r="85" customFormat="false" ht="14.25" hidden="false" customHeight="true" outlineLevel="0" collapsed="false">
      <c r="D85" s="17"/>
      <c r="G85" s="17" t="str">
        <f aca="false">IF(TRIM(C85)="","",IFERROR(INDEX('Code Aliases'!$B:$B,MATCH(TRIM(C85),'Code Aliases'!$A:$A,0)),TRIM(C85)))</f>
        <v/>
      </c>
      <c r="H85" s="17" t="str">
        <f aca="false">IF(TRIM(B85)="","",UPPER(TRIM(B85)))</f>
        <v/>
      </c>
    </row>
    <row r="86" customFormat="false" ht="14.25" hidden="false" customHeight="true" outlineLevel="0" collapsed="false">
      <c r="D86" s="17"/>
      <c r="G86" s="17" t="str">
        <f aca="false">IF(TRIM(C86)="","",IFERROR(INDEX('Code Aliases'!$B:$B,MATCH(TRIM(C86),'Code Aliases'!$A:$A,0)),TRIM(C86)))</f>
        <v/>
      </c>
      <c r="H86" s="17" t="str">
        <f aca="false">IF(TRIM(B86)="","",UPPER(TRIM(B86)))</f>
        <v/>
      </c>
    </row>
    <row r="87" customFormat="false" ht="14.25" hidden="false" customHeight="true" outlineLevel="0" collapsed="false">
      <c r="D87" s="17"/>
      <c r="G87" s="17" t="str">
        <f aca="false">IF(TRIM(C87)="","",IFERROR(INDEX('Code Aliases'!$B:$B,MATCH(TRIM(C87),'Code Aliases'!$A:$A,0)),TRIM(C87)))</f>
        <v/>
      </c>
      <c r="H87" s="17" t="str">
        <f aca="false">IF(TRIM(B87)="","",UPPER(TRIM(B87)))</f>
        <v/>
      </c>
    </row>
    <row r="88" customFormat="false" ht="14.25" hidden="false" customHeight="true" outlineLevel="0" collapsed="false">
      <c r="D88" s="17"/>
      <c r="G88" s="17" t="str">
        <f aca="false">IF(TRIM(C88)="","",IFERROR(INDEX('Code Aliases'!$B:$B,MATCH(TRIM(C88),'Code Aliases'!$A:$A,0)),TRIM(C88)))</f>
        <v/>
      </c>
      <c r="H88" s="17" t="str">
        <f aca="false">IF(TRIM(B88)="","",UPPER(TRIM(B88)))</f>
        <v/>
      </c>
    </row>
    <row r="89" customFormat="false" ht="14.25" hidden="false" customHeight="true" outlineLevel="0" collapsed="false">
      <c r="D89" s="17"/>
      <c r="G89" s="17" t="str">
        <f aca="false">IF(TRIM(C89)="","",IFERROR(INDEX('Code Aliases'!$B:$B,MATCH(TRIM(C89),'Code Aliases'!$A:$A,0)),TRIM(C89)))</f>
        <v/>
      </c>
      <c r="H89" s="17" t="str">
        <f aca="false">IF(TRIM(B89)="","",UPPER(TRIM(B89)))</f>
        <v/>
      </c>
    </row>
    <row r="90" customFormat="false" ht="14.25" hidden="false" customHeight="true" outlineLevel="0" collapsed="false">
      <c r="D90" s="17"/>
      <c r="G90" s="17" t="str">
        <f aca="false">IF(TRIM(C90)="","",IFERROR(INDEX('Code Aliases'!$B:$B,MATCH(TRIM(C90),'Code Aliases'!$A:$A,0)),TRIM(C90)))</f>
        <v/>
      </c>
      <c r="H90" s="17" t="str">
        <f aca="false">IF(TRIM(B90)="","",UPPER(TRIM(B90)))</f>
        <v/>
      </c>
    </row>
    <row r="91" customFormat="false" ht="14.25" hidden="false" customHeight="true" outlineLevel="0" collapsed="false">
      <c r="D91" s="17"/>
      <c r="G91" s="17" t="str">
        <f aca="false">IF(TRIM(C91)="","",IFERROR(INDEX('Code Aliases'!$B:$B,MATCH(TRIM(C91),'Code Aliases'!$A:$A,0)),TRIM(C91)))</f>
        <v/>
      </c>
      <c r="H91" s="17" t="str">
        <f aca="false">IF(TRIM(B91)="","",UPPER(TRIM(B91)))</f>
        <v/>
      </c>
    </row>
    <row r="92" customFormat="false" ht="14.25" hidden="false" customHeight="true" outlineLevel="0" collapsed="false">
      <c r="D92" s="17"/>
      <c r="G92" s="17" t="str">
        <f aca="false">IF(TRIM(C92)="","",IFERROR(INDEX('Code Aliases'!$B:$B,MATCH(TRIM(C92),'Code Aliases'!$A:$A,0)),TRIM(C92)))</f>
        <v/>
      </c>
      <c r="H92" s="17" t="str">
        <f aca="false">IF(TRIM(B92)="","",UPPER(TRIM(B92)))</f>
        <v/>
      </c>
    </row>
    <row r="93" customFormat="false" ht="14.25" hidden="false" customHeight="true" outlineLevel="0" collapsed="false">
      <c r="D93" s="17"/>
      <c r="G93" s="17" t="str">
        <f aca="false">IF(TRIM(C93)="","",IFERROR(INDEX('Code Aliases'!$B:$B,MATCH(TRIM(C93),'Code Aliases'!$A:$A,0)),TRIM(C93)))</f>
        <v/>
      </c>
      <c r="H93" s="17" t="str">
        <f aca="false">IF(TRIM(B93)="","",UPPER(TRIM(B93)))</f>
        <v/>
      </c>
    </row>
    <row r="94" customFormat="false" ht="14.25" hidden="false" customHeight="true" outlineLevel="0" collapsed="false">
      <c r="D94" s="17"/>
      <c r="G94" s="17" t="str">
        <f aca="false">IF(TRIM(C94)="","",IFERROR(INDEX('Code Aliases'!$B:$B,MATCH(TRIM(C94),'Code Aliases'!$A:$A,0)),TRIM(C94)))</f>
        <v/>
      </c>
      <c r="H94" s="17" t="str">
        <f aca="false">IF(TRIM(B94)="","",UPPER(TRIM(B94)))</f>
        <v/>
      </c>
    </row>
    <row r="95" customFormat="false" ht="14.25" hidden="false" customHeight="true" outlineLevel="0" collapsed="false">
      <c r="D95" s="17"/>
      <c r="G95" s="17" t="str">
        <f aca="false">IF(TRIM(C95)="","",IFERROR(INDEX('Code Aliases'!$B:$B,MATCH(TRIM(C95),'Code Aliases'!$A:$A,0)),TRIM(C95)))</f>
        <v/>
      </c>
      <c r="H95" s="17" t="str">
        <f aca="false">IF(TRIM(B95)="","",UPPER(TRIM(B95)))</f>
        <v/>
      </c>
    </row>
    <row r="96" customFormat="false" ht="14.25" hidden="false" customHeight="true" outlineLevel="0" collapsed="false">
      <c r="D96" s="17"/>
      <c r="G96" s="17" t="str">
        <f aca="false">IF(TRIM(C96)="","",IFERROR(INDEX('Code Aliases'!$B:$B,MATCH(TRIM(C96),'Code Aliases'!$A:$A,0)),TRIM(C96)))</f>
        <v/>
      </c>
      <c r="H96" s="17" t="str">
        <f aca="false">IF(TRIM(B96)="","",UPPER(TRIM(B96)))</f>
        <v/>
      </c>
    </row>
    <row r="97" customFormat="false" ht="14.25" hidden="false" customHeight="true" outlineLevel="0" collapsed="false">
      <c r="D97" s="17"/>
      <c r="G97" s="17" t="str">
        <f aca="false">IF(TRIM(C97)="","",IFERROR(INDEX('Code Aliases'!$B:$B,MATCH(TRIM(C97),'Code Aliases'!$A:$A,0)),TRIM(C97)))</f>
        <v/>
      </c>
      <c r="H97" s="17" t="str">
        <f aca="false">IF(TRIM(B97)="","",UPPER(TRIM(B97)))</f>
        <v/>
      </c>
    </row>
    <row r="98" customFormat="false" ht="14.25" hidden="false" customHeight="true" outlineLevel="0" collapsed="false">
      <c r="D98" s="17"/>
      <c r="G98" s="17" t="str">
        <f aca="false">IF(TRIM(C98)="","",IFERROR(INDEX('Code Aliases'!$B:$B,MATCH(TRIM(C98),'Code Aliases'!$A:$A,0)),TRIM(C98)))</f>
        <v/>
      </c>
      <c r="H98" s="17" t="str">
        <f aca="false">IF(TRIM(B98)="","",UPPER(TRIM(B98)))</f>
        <v/>
      </c>
    </row>
    <row r="99" customFormat="false" ht="14.25" hidden="false" customHeight="true" outlineLevel="0" collapsed="false">
      <c r="D99" s="17"/>
      <c r="G99" s="17" t="str">
        <f aca="false">IF(TRIM(C99)="","",IFERROR(INDEX('Code Aliases'!$B:$B,MATCH(TRIM(C99),'Code Aliases'!$A:$A,0)),TRIM(C99)))</f>
        <v/>
      </c>
      <c r="H99" s="17" t="str">
        <f aca="false">IF(TRIM(B99)="","",UPPER(TRIM(B99)))</f>
        <v/>
      </c>
    </row>
    <row r="100" customFormat="false" ht="14.25" hidden="false" customHeight="true" outlineLevel="0" collapsed="false">
      <c r="D100" s="17"/>
      <c r="G100" s="17" t="str">
        <f aca="false">IF(TRIM(C100)="","",IFERROR(INDEX('Code Aliases'!$B:$B,MATCH(TRIM(C100),'Code Aliases'!$A:$A,0)),TRIM(C100)))</f>
        <v/>
      </c>
      <c r="H100" s="17" t="str">
        <f aca="false">IF(TRIM(B100)="","",UPPER(TRIM(B100)))</f>
        <v/>
      </c>
    </row>
    <row r="101" customFormat="false" ht="14.25" hidden="false" customHeight="true" outlineLevel="0" collapsed="false">
      <c r="D101" s="17"/>
      <c r="G101" s="17" t="str">
        <f aca="false">IF(TRIM(C101)="","",IFERROR(INDEX('Code Aliases'!$B:$B,MATCH(TRIM(C101),'Code Aliases'!$A:$A,0)),TRIM(C101)))</f>
        <v/>
      </c>
      <c r="H101" s="17" t="str">
        <f aca="false">IF(TRIM(B101)="","",UPPER(TRIM(B101)))</f>
        <v/>
      </c>
    </row>
    <row r="102" customFormat="false" ht="14.25" hidden="false" customHeight="true" outlineLevel="0" collapsed="false">
      <c r="D102" s="17"/>
      <c r="G102" s="17" t="str">
        <f aca="false">IF(TRIM(C102)="","",IFERROR(INDEX('Code Aliases'!$B:$B,MATCH(TRIM(C102),'Code Aliases'!$A:$A,0)),TRIM(C102)))</f>
        <v/>
      </c>
      <c r="H102" s="17" t="str">
        <f aca="false">IF(TRIM(B102)="","",UPPER(TRIM(B102)))</f>
        <v/>
      </c>
    </row>
    <row r="103" customFormat="false" ht="14.25" hidden="false" customHeight="true" outlineLevel="0" collapsed="false">
      <c r="D103" s="17"/>
      <c r="G103" s="17" t="str">
        <f aca="false">IF(TRIM(C103)="","",IFERROR(INDEX('Code Aliases'!$B:$B,MATCH(TRIM(C103),'Code Aliases'!$A:$A,0)),TRIM(C103)))</f>
        <v/>
      </c>
      <c r="H103" s="17" t="str">
        <f aca="false">IF(TRIM(B103)="","",UPPER(TRIM(B103)))</f>
        <v/>
      </c>
    </row>
    <row r="104" customFormat="false" ht="14.25" hidden="false" customHeight="true" outlineLevel="0" collapsed="false">
      <c r="D104" s="17"/>
      <c r="G104" s="17" t="str">
        <f aca="false">IF(TRIM(C104)="","",IFERROR(INDEX('Code Aliases'!$B:$B,MATCH(TRIM(C104),'Code Aliases'!$A:$A,0)),TRIM(C104)))</f>
        <v/>
      </c>
      <c r="H104" s="17" t="str">
        <f aca="false">IF(TRIM(B104)="","",UPPER(TRIM(B104)))</f>
        <v/>
      </c>
    </row>
    <row r="105" customFormat="false" ht="14.25" hidden="false" customHeight="true" outlineLevel="0" collapsed="false">
      <c r="D105" s="17"/>
      <c r="G105" s="17" t="str">
        <f aca="false">IF(TRIM(C105)="","",IFERROR(INDEX('Code Aliases'!$B:$B,MATCH(TRIM(C105),'Code Aliases'!$A:$A,0)),TRIM(C105)))</f>
        <v/>
      </c>
      <c r="H105" s="17" t="str">
        <f aca="false">IF(TRIM(B105)="","",UPPER(TRIM(B105)))</f>
        <v/>
      </c>
    </row>
    <row r="106" customFormat="false" ht="14.25" hidden="false" customHeight="true" outlineLevel="0" collapsed="false">
      <c r="D106" s="17"/>
      <c r="G106" s="17" t="str">
        <f aca="false">IF(TRIM(C106)="","",IFERROR(INDEX('Code Aliases'!$B:$B,MATCH(TRIM(C106),'Code Aliases'!$A:$A,0)),TRIM(C106)))</f>
        <v/>
      </c>
      <c r="H106" s="17" t="str">
        <f aca="false">IF(TRIM(B106)="","",UPPER(TRIM(B106)))</f>
        <v/>
      </c>
    </row>
    <row r="107" customFormat="false" ht="14.25" hidden="false" customHeight="true" outlineLevel="0" collapsed="false">
      <c r="D107" s="17"/>
      <c r="G107" s="17" t="str">
        <f aca="false">IF(TRIM(C107)="","",IFERROR(INDEX('Code Aliases'!$B:$B,MATCH(TRIM(C107),'Code Aliases'!$A:$A,0)),TRIM(C107)))</f>
        <v/>
      </c>
      <c r="H107" s="17" t="str">
        <f aca="false">IF(TRIM(B107)="","",UPPER(TRIM(B107)))</f>
        <v/>
      </c>
    </row>
    <row r="108" customFormat="false" ht="14.25" hidden="false" customHeight="true" outlineLevel="0" collapsed="false">
      <c r="D108" s="17"/>
      <c r="G108" s="17" t="str">
        <f aca="false">IF(TRIM(C108)="","",IFERROR(INDEX('Code Aliases'!$B:$B,MATCH(TRIM(C108),'Code Aliases'!$A:$A,0)),TRIM(C108)))</f>
        <v/>
      </c>
      <c r="H108" s="17" t="str">
        <f aca="false">IF(TRIM(B108)="","",UPPER(TRIM(B108)))</f>
        <v/>
      </c>
    </row>
    <row r="109" customFormat="false" ht="14.25" hidden="false" customHeight="true" outlineLevel="0" collapsed="false">
      <c r="D109" s="17"/>
      <c r="G109" s="17" t="str">
        <f aca="false">IF(TRIM(C109)="","",IFERROR(INDEX('Code Aliases'!$B:$B,MATCH(TRIM(C109),'Code Aliases'!$A:$A,0)),TRIM(C109)))</f>
        <v/>
      </c>
      <c r="H109" s="17" t="str">
        <f aca="false">IF(TRIM(B109)="","",UPPER(TRIM(B109)))</f>
        <v/>
      </c>
    </row>
    <row r="110" customFormat="false" ht="14.25" hidden="false" customHeight="true" outlineLevel="0" collapsed="false">
      <c r="D110" s="17"/>
      <c r="G110" s="17" t="str">
        <f aca="false">IF(TRIM(C110)="","",IFERROR(INDEX('Code Aliases'!$B:$B,MATCH(TRIM(C110),'Code Aliases'!$A:$A,0)),TRIM(C110)))</f>
        <v/>
      </c>
      <c r="H110" s="17" t="str">
        <f aca="false">IF(TRIM(B110)="","",UPPER(TRIM(B110)))</f>
        <v/>
      </c>
    </row>
    <row r="111" customFormat="false" ht="14.25" hidden="false" customHeight="true" outlineLevel="0" collapsed="false">
      <c r="D111" s="17"/>
      <c r="G111" s="17" t="str">
        <f aca="false">IF(TRIM(C111)="","",IFERROR(INDEX('Code Aliases'!$B:$B,MATCH(TRIM(C111),'Code Aliases'!$A:$A,0)),TRIM(C111)))</f>
        <v/>
      </c>
      <c r="H111" s="17" t="str">
        <f aca="false">IF(TRIM(B111)="","",UPPER(TRIM(B111)))</f>
        <v/>
      </c>
    </row>
    <row r="112" customFormat="false" ht="14.25" hidden="false" customHeight="true" outlineLevel="0" collapsed="false">
      <c r="D112" s="17"/>
      <c r="G112" s="17" t="str">
        <f aca="false">IF(TRIM(C112)="","",IFERROR(INDEX('Code Aliases'!$B:$B,MATCH(TRIM(C112),'Code Aliases'!$A:$A,0)),TRIM(C112)))</f>
        <v/>
      </c>
      <c r="H112" s="17" t="str">
        <f aca="false">IF(TRIM(B112)="","",UPPER(TRIM(B112)))</f>
        <v/>
      </c>
    </row>
    <row r="113" customFormat="false" ht="14.25" hidden="false" customHeight="true" outlineLevel="0" collapsed="false">
      <c r="D113" s="17"/>
      <c r="G113" s="17" t="str">
        <f aca="false">IF(TRIM(C113)="","",IFERROR(INDEX('Code Aliases'!$B:$B,MATCH(TRIM(C113),'Code Aliases'!$A:$A,0)),TRIM(C113)))</f>
        <v/>
      </c>
      <c r="H113" s="17" t="str">
        <f aca="false">IF(TRIM(B113)="","",UPPER(TRIM(B113)))</f>
        <v/>
      </c>
    </row>
    <row r="114" customFormat="false" ht="14.25" hidden="false" customHeight="true" outlineLevel="0" collapsed="false">
      <c r="D114" s="17"/>
      <c r="G114" s="17" t="str">
        <f aca="false">IF(TRIM(C114)="","",IFERROR(INDEX('Code Aliases'!$B:$B,MATCH(TRIM(C114),'Code Aliases'!$A:$A,0)),TRIM(C114)))</f>
        <v/>
      </c>
      <c r="H114" s="17" t="str">
        <f aca="false">IF(TRIM(B114)="","",UPPER(TRIM(B114)))</f>
        <v/>
      </c>
    </row>
    <row r="115" customFormat="false" ht="14.25" hidden="false" customHeight="true" outlineLevel="0" collapsed="false">
      <c r="D115" s="17"/>
      <c r="G115" s="17" t="str">
        <f aca="false">IF(TRIM(C115)="","",IFERROR(INDEX('Code Aliases'!$B:$B,MATCH(TRIM(C115),'Code Aliases'!$A:$A,0)),TRIM(C115)))</f>
        <v/>
      </c>
      <c r="H115" s="17" t="str">
        <f aca="false">IF(TRIM(B115)="","",UPPER(TRIM(B115)))</f>
        <v/>
      </c>
    </row>
    <row r="116" customFormat="false" ht="14.25" hidden="false" customHeight="true" outlineLevel="0" collapsed="false">
      <c r="D116" s="17"/>
      <c r="G116" s="17" t="str">
        <f aca="false">IF(TRIM(C116)="","",IFERROR(INDEX('Code Aliases'!$B:$B,MATCH(TRIM(C116),'Code Aliases'!$A:$A,0)),TRIM(C116)))</f>
        <v/>
      </c>
      <c r="H116" s="17" t="str">
        <f aca="false">IF(TRIM(B116)="","",UPPER(TRIM(B116)))</f>
        <v/>
      </c>
    </row>
    <row r="117" customFormat="false" ht="14.25" hidden="false" customHeight="true" outlineLevel="0" collapsed="false">
      <c r="D117" s="17"/>
      <c r="G117" s="17" t="str">
        <f aca="false">IF(TRIM(C117)="","",IFERROR(INDEX('Code Aliases'!$B:$B,MATCH(TRIM(C117),'Code Aliases'!$A:$A,0)),TRIM(C117)))</f>
        <v/>
      </c>
      <c r="H117" s="17" t="str">
        <f aca="false">IF(TRIM(B117)="","",UPPER(TRIM(B117)))</f>
        <v/>
      </c>
    </row>
    <row r="118" customFormat="false" ht="14.25" hidden="false" customHeight="true" outlineLevel="0" collapsed="false">
      <c r="D118" s="17"/>
      <c r="G118" s="17" t="str">
        <f aca="false">IF(TRIM(C118)="","",IFERROR(INDEX('Code Aliases'!$B:$B,MATCH(TRIM(C118),'Code Aliases'!$A:$A,0)),TRIM(C118)))</f>
        <v/>
      </c>
      <c r="H118" s="17" t="str">
        <f aca="false">IF(TRIM(B118)="","",UPPER(TRIM(B118)))</f>
        <v/>
      </c>
    </row>
    <row r="119" customFormat="false" ht="14.25" hidden="false" customHeight="true" outlineLevel="0" collapsed="false">
      <c r="D119" s="17"/>
      <c r="G119" s="17" t="str">
        <f aca="false">IF(TRIM(C119)="","",IFERROR(INDEX('Code Aliases'!$B:$B,MATCH(TRIM(C119),'Code Aliases'!$A:$A,0)),TRIM(C119)))</f>
        <v/>
      </c>
      <c r="H119" s="17" t="str">
        <f aca="false">IF(TRIM(B119)="","",UPPER(TRIM(B119)))</f>
        <v/>
      </c>
    </row>
    <row r="120" customFormat="false" ht="14.25" hidden="false" customHeight="true" outlineLevel="0" collapsed="false">
      <c r="D120" s="17"/>
      <c r="G120" s="17" t="str">
        <f aca="false">IF(TRIM(C120)="","",IFERROR(INDEX('Code Aliases'!$B:$B,MATCH(TRIM(C120),'Code Aliases'!$A:$A,0)),TRIM(C120)))</f>
        <v/>
      </c>
      <c r="H120" s="17" t="str">
        <f aca="false">IF(TRIM(B120)="","",UPPER(TRIM(B120)))</f>
        <v/>
      </c>
    </row>
    <row r="121" customFormat="false" ht="14.25" hidden="false" customHeight="true" outlineLevel="0" collapsed="false">
      <c r="D121" s="17"/>
      <c r="G121" s="17" t="str">
        <f aca="false">IF(TRIM(C121)="","",IFERROR(INDEX('Code Aliases'!$B:$B,MATCH(TRIM(C121),'Code Aliases'!$A:$A,0)),TRIM(C121)))</f>
        <v/>
      </c>
      <c r="H121" s="17" t="str">
        <f aca="false">IF(TRIM(B121)="","",UPPER(TRIM(B121)))</f>
        <v/>
      </c>
    </row>
    <row r="122" customFormat="false" ht="14.25" hidden="false" customHeight="true" outlineLevel="0" collapsed="false">
      <c r="D122" s="17"/>
      <c r="G122" s="17" t="str">
        <f aca="false">IF(TRIM(C122)="","",IFERROR(INDEX('Code Aliases'!$B:$B,MATCH(TRIM(C122),'Code Aliases'!$A:$A,0)),TRIM(C122)))</f>
        <v/>
      </c>
      <c r="H122" s="17" t="str">
        <f aca="false">IF(TRIM(B122)="","",UPPER(TRIM(B122)))</f>
        <v/>
      </c>
    </row>
    <row r="123" customFormat="false" ht="14.25" hidden="false" customHeight="true" outlineLevel="0" collapsed="false">
      <c r="D123" s="17"/>
      <c r="G123" s="17" t="str">
        <f aca="false">IF(TRIM(C123)="","",IFERROR(INDEX('Code Aliases'!$B:$B,MATCH(TRIM(C123),'Code Aliases'!$A:$A,0)),TRIM(C123)))</f>
        <v/>
      </c>
      <c r="H123" s="17" t="str">
        <f aca="false">IF(TRIM(B123)="","",UPPER(TRIM(B123)))</f>
        <v/>
      </c>
    </row>
    <row r="124" customFormat="false" ht="14.25" hidden="false" customHeight="true" outlineLevel="0" collapsed="false">
      <c r="D124" s="17"/>
      <c r="G124" s="17" t="str">
        <f aca="false">IF(TRIM(C124)="","",IFERROR(INDEX('Code Aliases'!$B:$B,MATCH(TRIM(C124),'Code Aliases'!$A:$A,0)),TRIM(C124)))</f>
        <v/>
      </c>
      <c r="H124" s="17" t="str">
        <f aca="false">IF(TRIM(B124)="","",UPPER(TRIM(B124)))</f>
        <v/>
      </c>
    </row>
    <row r="125" customFormat="false" ht="14.25" hidden="false" customHeight="true" outlineLevel="0" collapsed="false">
      <c r="D125" s="17"/>
      <c r="G125" s="17" t="str">
        <f aca="false">IF(TRIM(C125)="","",IFERROR(INDEX('Code Aliases'!$B:$B,MATCH(TRIM(C125),'Code Aliases'!$A:$A,0)),TRIM(C125)))</f>
        <v/>
      </c>
      <c r="H125" s="17" t="str">
        <f aca="false">IF(TRIM(B125)="","",UPPER(TRIM(B125)))</f>
        <v/>
      </c>
    </row>
    <row r="126" customFormat="false" ht="14.25" hidden="false" customHeight="true" outlineLevel="0" collapsed="false">
      <c r="D126" s="17"/>
      <c r="G126" s="17" t="str">
        <f aca="false">IF(TRIM(C126)="","",IFERROR(INDEX('Code Aliases'!$B:$B,MATCH(TRIM(C126),'Code Aliases'!$A:$A,0)),TRIM(C126)))</f>
        <v/>
      </c>
      <c r="H126" s="17" t="str">
        <f aca="false">IF(TRIM(B126)="","",UPPER(TRIM(B126)))</f>
        <v/>
      </c>
    </row>
    <row r="127" customFormat="false" ht="14.25" hidden="false" customHeight="true" outlineLevel="0" collapsed="false">
      <c r="D127" s="17"/>
      <c r="G127" s="17" t="str">
        <f aca="false">IF(TRIM(C127)="","",IFERROR(INDEX('Code Aliases'!$B:$B,MATCH(TRIM(C127),'Code Aliases'!$A:$A,0)),TRIM(C127)))</f>
        <v/>
      </c>
      <c r="H127" s="17" t="str">
        <f aca="false">IF(TRIM(B127)="","",UPPER(TRIM(B127)))</f>
        <v/>
      </c>
    </row>
    <row r="128" customFormat="false" ht="14.25" hidden="false" customHeight="true" outlineLevel="0" collapsed="false">
      <c r="D128" s="17"/>
      <c r="G128" s="17" t="str">
        <f aca="false">IF(TRIM(C128)="","",IFERROR(INDEX('Code Aliases'!$B:$B,MATCH(TRIM(C128),'Code Aliases'!$A:$A,0)),TRIM(C128)))</f>
        <v/>
      </c>
      <c r="H128" s="17" t="str">
        <f aca="false">IF(TRIM(B128)="","",UPPER(TRIM(B128)))</f>
        <v/>
      </c>
    </row>
    <row r="129" customFormat="false" ht="14.25" hidden="false" customHeight="true" outlineLevel="0" collapsed="false">
      <c r="D129" s="17"/>
      <c r="G129" s="17" t="str">
        <f aca="false">IF(TRIM(C129)="","",IFERROR(INDEX('Code Aliases'!$B:$B,MATCH(TRIM(C129),'Code Aliases'!$A:$A,0)),TRIM(C129)))</f>
        <v/>
      </c>
      <c r="H129" s="17" t="str">
        <f aca="false">IF(TRIM(B129)="","",UPPER(TRIM(B129)))</f>
        <v/>
      </c>
    </row>
    <row r="130" customFormat="false" ht="14.25" hidden="false" customHeight="true" outlineLevel="0" collapsed="false">
      <c r="D130" s="17"/>
      <c r="G130" s="17" t="str">
        <f aca="false">IF(TRIM(C130)="","",IFERROR(INDEX('Code Aliases'!$B:$B,MATCH(TRIM(C130),'Code Aliases'!$A:$A,0)),TRIM(C130)))</f>
        <v/>
      </c>
      <c r="H130" s="17" t="str">
        <f aca="false">IF(TRIM(B130)="","",UPPER(TRIM(B130)))</f>
        <v/>
      </c>
    </row>
    <row r="131" customFormat="false" ht="14.25" hidden="false" customHeight="true" outlineLevel="0" collapsed="false">
      <c r="D131" s="17"/>
      <c r="G131" s="17" t="str">
        <f aca="false">IF(TRIM(C131)="","",IFERROR(INDEX('Code Aliases'!$B:$B,MATCH(TRIM(C131),'Code Aliases'!$A:$A,0)),TRIM(C131)))</f>
        <v/>
      </c>
      <c r="H131" s="17" t="str">
        <f aca="false">IF(TRIM(B131)="","",UPPER(TRIM(B131)))</f>
        <v/>
      </c>
    </row>
    <row r="132" customFormat="false" ht="14.25" hidden="false" customHeight="true" outlineLevel="0" collapsed="false">
      <c r="D132" s="17"/>
      <c r="G132" s="17" t="str">
        <f aca="false">IF(TRIM(C132)="","",IFERROR(INDEX('Code Aliases'!$B:$B,MATCH(TRIM(C132),'Code Aliases'!$A:$A,0)),TRIM(C132)))</f>
        <v/>
      </c>
      <c r="H132" s="17" t="str">
        <f aca="false">IF(TRIM(B132)="","",UPPER(TRIM(B132)))</f>
        <v/>
      </c>
    </row>
    <row r="133" customFormat="false" ht="14.25" hidden="false" customHeight="true" outlineLevel="0" collapsed="false">
      <c r="D133" s="17"/>
      <c r="G133" s="17" t="str">
        <f aca="false">IF(TRIM(C133)="","",IFERROR(INDEX('Code Aliases'!$B:$B,MATCH(TRIM(C133),'Code Aliases'!$A:$A,0)),TRIM(C133)))</f>
        <v/>
      </c>
      <c r="H133" s="17" t="str">
        <f aca="false">IF(TRIM(B133)="","",UPPER(TRIM(B133)))</f>
        <v/>
      </c>
    </row>
    <row r="134" customFormat="false" ht="14.25" hidden="false" customHeight="true" outlineLevel="0" collapsed="false">
      <c r="D134" s="17"/>
      <c r="G134" s="17" t="str">
        <f aca="false">IF(TRIM(C134)="","",IFERROR(INDEX('Code Aliases'!$B:$B,MATCH(TRIM(C134),'Code Aliases'!$A:$A,0)),TRIM(C134)))</f>
        <v/>
      </c>
      <c r="H134" s="17" t="str">
        <f aca="false">IF(TRIM(B134)="","",UPPER(TRIM(B134)))</f>
        <v/>
      </c>
    </row>
    <row r="135" customFormat="false" ht="14.25" hidden="false" customHeight="true" outlineLevel="0" collapsed="false">
      <c r="D135" s="17"/>
      <c r="G135" s="17" t="str">
        <f aca="false">IF(TRIM(C135)="","",IFERROR(INDEX('Code Aliases'!$B:$B,MATCH(TRIM(C135),'Code Aliases'!$A:$A,0)),TRIM(C135)))</f>
        <v/>
      </c>
      <c r="H135" s="17" t="str">
        <f aca="false">IF(TRIM(B135)="","",UPPER(TRIM(B135)))</f>
        <v/>
      </c>
    </row>
    <row r="136" customFormat="false" ht="14.25" hidden="false" customHeight="true" outlineLevel="0" collapsed="false">
      <c r="D136" s="17"/>
      <c r="G136" s="17" t="str">
        <f aca="false">IF(TRIM(C136)="","",IFERROR(INDEX('Code Aliases'!$B:$B,MATCH(TRIM(C136),'Code Aliases'!$A:$A,0)),TRIM(C136)))</f>
        <v/>
      </c>
      <c r="H136" s="17" t="str">
        <f aca="false">IF(TRIM(B136)="","",UPPER(TRIM(B136)))</f>
        <v/>
      </c>
    </row>
    <row r="137" customFormat="false" ht="14.25" hidden="false" customHeight="true" outlineLevel="0" collapsed="false">
      <c r="D137" s="17"/>
      <c r="G137" s="17" t="str">
        <f aca="false">IF(TRIM(C137)="","",IFERROR(INDEX('Code Aliases'!$B:$B,MATCH(TRIM(C137),'Code Aliases'!$A:$A,0)),TRIM(C137)))</f>
        <v/>
      </c>
      <c r="H137" s="17" t="str">
        <f aca="false">IF(TRIM(B137)="","",UPPER(TRIM(B137)))</f>
        <v/>
      </c>
    </row>
    <row r="138" customFormat="false" ht="14.25" hidden="false" customHeight="true" outlineLevel="0" collapsed="false">
      <c r="D138" s="17"/>
      <c r="G138" s="17" t="str">
        <f aca="false">IF(TRIM(C138)="","",IFERROR(INDEX('Code Aliases'!$B:$B,MATCH(TRIM(C138),'Code Aliases'!$A:$A,0)),TRIM(C138)))</f>
        <v/>
      </c>
      <c r="H138" s="17" t="str">
        <f aca="false">IF(TRIM(B138)="","",UPPER(TRIM(B138)))</f>
        <v/>
      </c>
    </row>
    <row r="139" customFormat="false" ht="14.25" hidden="false" customHeight="true" outlineLevel="0" collapsed="false">
      <c r="D139" s="17"/>
      <c r="G139" s="17" t="str">
        <f aca="false">IF(TRIM(C139)="","",IFERROR(INDEX('Code Aliases'!$B:$B,MATCH(TRIM(C139),'Code Aliases'!$A:$A,0)),TRIM(C139)))</f>
        <v/>
      </c>
      <c r="H139" s="17" t="str">
        <f aca="false">IF(TRIM(B139)="","",UPPER(TRIM(B139)))</f>
        <v/>
      </c>
    </row>
    <row r="140" customFormat="false" ht="14.25" hidden="false" customHeight="true" outlineLevel="0" collapsed="false">
      <c r="D140" s="17"/>
      <c r="G140" s="17" t="str">
        <f aca="false">IF(TRIM(C140)="","",IFERROR(INDEX('Code Aliases'!$B:$B,MATCH(TRIM(C140),'Code Aliases'!$A:$A,0)),TRIM(C140)))</f>
        <v/>
      </c>
      <c r="H140" s="17" t="str">
        <f aca="false">IF(TRIM(B140)="","",UPPER(TRIM(B140)))</f>
        <v/>
      </c>
    </row>
    <row r="141" customFormat="false" ht="14.25" hidden="false" customHeight="true" outlineLevel="0" collapsed="false">
      <c r="D141" s="17"/>
      <c r="G141" s="17" t="str">
        <f aca="false">IF(TRIM(C141)="","",IFERROR(INDEX('Code Aliases'!$B:$B,MATCH(TRIM(C141),'Code Aliases'!$A:$A,0)),TRIM(C141)))</f>
        <v/>
      </c>
      <c r="H141" s="17" t="str">
        <f aca="false">IF(TRIM(B141)="","",UPPER(TRIM(B141)))</f>
        <v/>
      </c>
    </row>
    <row r="142" customFormat="false" ht="14.25" hidden="false" customHeight="true" outlineLevel="0" collapsed="false">
      <c r="D142" s="17"/>
      <c r="G142" s="17" t="str">
        <f aca="false">IF(TRIM(C142)="","",IFERROR(INDEX('Code Aliases'!$B:$B,MATCH(TRIM(C142),'Code Aliases'!$A:$A,0)),TRIM(C142)))</f>
        <v/>
      </c>
      <c r="H142" s="17" t="str">
        <f aca="false">IF(TRIM(B142)="","",UPPER(TRIM(B142)))</f>
        <v/>
      </c>
    </row>
    <row r="143" customFormat="false" ht="14.25" hidden="false" customHeight="true" outlineLevel="0" collapsed="false">
      <c r="D143" s="17"/>
      <c r="G143" s="17" t="str">
        <f aca="false">IF(TRIM(C143)="","",IFERROR(INDEX('Code Aliases'!$B:$B,MATCH(TRIM(C143),'Code Aliases'!$A:$A,0)),TRIM(C143)))</f>
        <v/>
      </c>
      <c r="H143" s="17" t="str">
        <f aca="false">IF(TRIM(B143)="","",UPPER(TRIM(B143)))</f>
        <v/>
      </c>
    </row>
    <row r="144" customFormat="false" ht="14.25" hidden="false" customHeight="true" outlineLevel="0" collapsed="false">
      <c r="D144" s="17"/>
      <c r="G144" s="17" t="str">
        <f aca="false">IF(TRIM(C144)="","",IFERROR(INDEX('Code Aliases'!$B:$B,MATCH(TRIM(C144),'Code Aliases'!$A:$A,0)),TRIM(C144)))</f>
        <v/>
      </c>
      <c r="H144" s="17" t="str">
        <f aca="false">IF(TRIM(B144)="","",UPPER(TRIM(B144)))</f>
        <v/>
      </c>
    </row>
    <row r="145" customFormat="false" ht="14.25" hidden="false" customHeight="true" outlineLevel="0" collapsed="false">
      <c r="D145" s="17"/>
      <c r="G145" s="17" t="str">
        <f aca="false">IF(TRIM(C145)="","",IFERROR(INDEX('Code Aliases'!$B:$B,MATCH(TRIM(C145),'Code Aliases'!$A:$A,0)),TRIM(C145)))</f>
        <v/>
      </c>
      <c r="H145" s="17" t="str">
        <f aca="false">IF(TRIM(B145)="","",UPPER(TRIM(B145)))</f>
        <v/>
      </c>
    </row>
    <row r="146" customFormat="false" ht="14.25" hidden="false" customHeight="true" outlineLevel="0" collapsed="false">
      <c r="D146" s="17"/>
      <c r="G146" s="17" t="str">
        <f aca="false">IF(TRIM(C146)="","",IFERROR(INDEX('Code Aliases'!$B:$B,MATCH(TRIM(C146),'Code Aliases'!$A:$A,0)),TRIM(C146)))</f>
        <v/>
      </c>
      <c r="H146" s="17" t="str">
        <f aca="false">IF(TRIM(B146)="","",UPPER(TRIM(B146)))</f>
        <v/>
      </c>
    </row>
    <row r="147" customFormat="false" ht="14.25" hidden="false" customHeight="true" outlineLevel="0" collapsed="false">
      <c r="D147" s="17"/>
      <c r="G147" s="17" t="str">
        <f aca="false">IF(TRIM(C147)="","",IFERROR(INDEX('Code Aliases'!$B:$B,MATCH(TRIM(C147),'Code Aliases'!$A:$A,0)),TRIM(C147)))</f>
        <v/>
      </c>
      <c r="H147" s="17" t="str">
        <f aca="false">IF(TRIM(B147)="","",UPPER(TRIM(B147)))</f>
        <v/>
      </c>
    </row>
    <row r="148" customFormat="false" ht="14.25" hidden="false" customHeight="true" outlineLevel="0" collapsed="false">
      <c r="D148" s="17"/>
      <c r="G148" s="17" t="str">
        <f aca="false">IF(TRIM(C148)="","",IFERROR(INDEX('Code Aliases'!$B:$B,MATCH(TRIM(C148),'Code Aliases'!$A:$A,0)),TRIM(C148)))</f>
        <v/>
      </c>
      <c r="H148" s="17" t="str">
        <f aca="false">IF(TRIM(B148)="","",UPPER(TRIM(B148)))</f>
        <v/>
      </c>
    </row>
    <row r="149" customFormat="false" ht="14.25" hidden="false" customHeight="true" outlineLevel="0" collapsed="false">
      <c r="D149" s="17"/>
      <c r="G149" s="17" t="str">
        <f aca="false">IF(TRIM(C149)="","",IFERROR(INDEX('Code Aliases'!$B:$B,MATCH(TRIM(C149),'Code Aliases'!$A:$A,0)),TRIM(C149)))</f>
        <v/>
      </c>
      <c r="H149" s="17" t="str">
        <f aca="false">IF(TRIM(B149)="","",UPPER(TRIM(B149)))</f>
        <v/>
      </c>
    </row>
    <row r="150" customFormat="false" ht="14.25" hidden="false" customHeight="true" outlineLevel="0" collapsed="false">
      <c r="D150" s="17"/>
      <c r="G150" s="17" t="str">
        <f aca="false">IF(TRIM(C150)="","",IFERROR(INDEX('Code Aliases'!$B:$B,MATCH(TRIM(C150),'Code Aliases'!$A:$A,0)),TRIM(C150)))</f>
        <v/>
      </c>
      <c r="H150" s="17" t="str">
        <f aca="false">IF(TRIM(B150)="","",UPPER(TRIM(B150)))</f>
        <v/>
      </c>
    </row>
    <row r="151" customFormat="false" ht="14.25" hidden="false" customHeight="true" outlineLevel="0" collapsed="false">
      <c r="D151" s="17"/>
      <c r="G151" s="17" t="str">
        <f aca="false">IF(TRIM(C151)="","",IFERROR(INDEX('Code Aliases'!$B:$B,MATCH(TRIM(C151),'Code Aliases'!$A:$A,0)),TRIM(C151)))</f>
        <v/>
      </c>
      <c r="H151" s="17" t="str">
        <f aca="false">IF(TRIM(B151)="","",UPPER(TRIM(B151)))</f>
        <v/>
      </c>
    </row>
    <row r="152" customFormat="false" ht="14.25" hidden="false" customHeight="true" outlineLevel="0" collapsed="false">
      <c r="D152" s="17"/>
      <c r="G152" s="17" t="str">
        <f aca="false">IF(TRIM(C152)="","",IFERROR(INDEX('Code Aliases'!$B:$B,MATCH(TRIM(C152),'Code Aliases'!$A:$A,0)),TRIM(C152)))</f>
        <v/>
      </c>
      <c r="H152" s="17" t="str">
        <f aca="false">IF(TRIM(B152)="","",UPPER(TRIM(B152)))</f>
        <v/>
      </c>
    </row>
    <row r="153" customFormat="false" ht="14.25" hidden="false" customHeight="true" outlineLevel="0" collapsed="false">
      <c r="D153" s="17"/>
      <c r="G153" s="17" t="str">
        <f aca="false">IF(TRIM(C153)="","",IFERROR(INDEX('Code Aliases'!$B:$B,MATCH(TRIM(C153),'Code Aliases'!$A:$A,0)),TRIM(C153)))</f>
        <v/>
      </c>
      <c r="H153" s="17" t="str">
        <f aca="false">IF(TRIM(B153)="","",UPPER(TRIM(B153)))</f>
        <v/>
      </c>
    </row>
    <row r="154" customFormat="false" ht="14.25" hidden="false" customHeight="true" outlineLevel="0" collapsed="false">
      <c r="D154" s="17"/>
      <c r="G154" s="17" t="str">
        <f aca="false">IF(TRIM(C154)="","",IFERROR(INDEX('Code Aliases'!$B:$B,MATCH(TRIM(C154),'Code Aliases'!$A:$A,0)),TRIM(C154)))</f>
        <v/>
      </c>
      <c r="H154" s="17" t="str">
        <f aca="false">IF(TRIM(B154)="","",UPPER(TRIM(B154)))</f>
        <v/>
      </c>
    </row>
    <row r="155" customFormat="false" ht="14.25" hidden="false" customHeight="true" outlineLevel="0" collapsed="false">
      <c r="D155" s="17"/>
      <c r="G155" s="17" t="str">
        <f aca="false">IF(TRIM(C155)="","",IFERROR(INDEX('Code Aliases'!$B:$B,MATCH(TRIM(C155),'Code Aliases'!$A:$A,0)),TRIM(C155)))</f>
        <v/>
      </c>
      <c r="H155" s="17" t="str">
        <f aca="false">IF(TRIM(B155)="","",UPPER(TRIM(B155)))</f>
        <v/>
      </c>
    </row>
    <row r="156" customFormat="false" ht="14.25" hidden="false" customHeight="true" outlineLevel="0" collapsed="false">
      <c r="D156" s="17"/>
      <c r="G156" s="17" t="str">
        <f aca="false">IF(TRIM(C156)="","",IFERROR(INDEX('Code Aliases'!$B:$B,MATCH(TRIM(C156),'Code Aliases'!$A:$A,0)),TRIM(C156)))</f>
        <v/>
      </c>
      <c r="H156" s="17" t="str">
        <f aca="false">IF(TRIM(B156)="","",UPPER(TRIM(B156)))</f>
        <v/>
      </c>
    </row>
    <row r="157" customFormat="false" ht="14.25" hidden="false" customHeight="true" outlineLevel="0" collapsed="false">
      <c r="D157" s="17"/>
      <c r="G157" s="17" t="str">
        <f aca="false">IF(TRIM(C157)="","",IFERROR(INDEX('Code Aliases'!$B:$B,MATCH(TRIM(C157),'Code Aliases'!$A:$A,0)),TRIM(C157)))</f>
        <v/>
      </c>
      <c r="H157" s="17" t="str">
        <f aca="false">IF(TRIM(B157)="","",UPPER(TRIM(B157)))</f>
        <v/>
      </c>
    </row>
    <row r="158" customFormat="false" ht="14.25" hidden="false" customHeight="true" outlineLevel="0" collapsed="false">
      <c r="D158" s="17"/>
      <c r="G158" s="17" t="str">
        <f aca="false">IF(TRIM(C158)="","",IFERROR(INDEX('Code Aliases'!$B:$B,MATCH(TRIM(C158),'Code Aliases'!$A:$A,0)),TRIM(C158)))</f>
        <v/>
      </c>
      <c r="H158" s="17" t="str">
        <f aca="false">IF(TRIM(B158)="","",UPPER(TRIM(B158)))</f>
        <v/>
      </c>
    </row>
    <row r="159" customFormat="false" ht="14.25" hidden="false" customHeight="true" outlineLevel="0" collapsed="false">
      <c r="D159" s="17"/>
      <c r="G159" s="17" t="str">
        <f aca="false">IF(TRIM(C159)="","",IFERROR(INDEX('Code Aliases'!$B:$B,MATCH(TRIM(C159),'Code Aliases'!$A:$A,0)),TRIM(C159)))</f>
        <v/>
      </c>
      <c r="H159" s="17" t="str">
        <f aca="false">IF(TRIM(B159)="","",UPPER(TRIM(B159)))</f>
        <v/>
      </c>
    </row>
    <row r="160" customFormat="false" ht="14.25" hidden="false" customHeight="true" outlineLevel="0" collapsed="false">
      <c r="D160" s="17"/>
      <c r="G160" s="17" t="str">
        <f aca="false">IF(TRIM(C160)="","",IFERROR(INDEX('Code Aliases'!$B:$B,MATCH(TRIM(C160),'Code Aliases'!$A:$A,0)),TRIM(C160)))</f>
        <v/>
      </c>
      <c r="H160" s="17" t="str">
        <f aca="false">IF(TRIM(B160)="","",UPPER(TRIM(B160)))</f>
        <v/>
      </c>
    </row>
    <row r="161" customFormat="false" ht="14.25" hidden="false" customHeight="true" outlineLevel="0" collapsed="false">
      <c r="D161" s="17"/>
      <c r="G161" s="17" t="str">
        <f aca="false">IF(TRIM(C161)="","",IFERROR(INDEX('Code Aliases'!$B:$B,MATCH(TRIM(C161),'Code Aliases'!$A:$A,0)),TRIM(C161)))</f>
        <v/>
      </c>
      <c r="H161" s="17" t="str">
        <f aca="false">IF(TRIM(B161)="","",UPPER(TRIM(B161)))</f>
        <v/>
      </c>
    </row>
    <row r="162" customFormat="false" ht="14.25" hidden="false" customHeight="true" outlineLevel="0" collapsed="false">
      <c r="D162" s="17"/>
      <c r="G162" s="17" t="str">
        <f aca="false">IF(TRIM(C162)="","",IFERROR(INDEX('Code Aliases'!$B:$B,MATCH(TRIM(C162),'Code Aliases'!$A:$A,0)),TRIM(C162)))</f>
        <v/>
      </c>
      <c r="H162" s="17" t="str">
        <f aca="false">IF(TRIM(B162)="","",UPPER(TRIM(B162)))</f>
        <v/>
      </c>
    </row>
    <row r="163" customFormat="false" ht="14.25" hidden="false" customHeight="true" outlineLevel="0" collapsed="false">
      <c r="D163" s="17"/>
      <c r="G163" s="17" t="str">
        <f aca="false">IF(TRIM(C163)="","",IFERROR(INDEX('Code Aliases'!$B:$B,MATCH(TRIM(C163),'Code Aliases'!$A:$A,0)),TRIM(C163)))</f>
        <v/>
      </c>
      <c r="H163" s="17" t="str">
        <f aca="false">IF(TRIM(B163)="","",UPPER(TRIM(B163)))</f>
        <v/>
      </c>
    </row>
    <row r="164" customFormat="false" ht="14.25" hidden="false" customHeight="true" outlineLevel="0" collapsed="false">
      <c r="D164" s="17"/>
      <c r="G164" s="17" t="str">
        <f aca="false">IF(TRIM(C164)="","",IFERROR(INDEX('Code Aliases'!$B:$B,MATCH(TRIM(C164),'Code Aliases'!$A:$A,0)),TRIM(C164)))</f>
        <v/>
      </c>
      <c r="H164" s="17" t="str">
        <f aca="false">IF(TRIM(B164)="","",UPPER(TRIM(B164)))</f>
        <v/>
      </c>
    </row>
    <row r="165" customFormat="false" ht="14.25" hidden="false" customHeight="true" outlineLevel="0" collapsed="false">
      <c r="D165" s="17"/>
      <c r="G165" s="17" t="str">
        <f aca="false">IF(TRIM(C165)="","",IFERROR(INDEX('Code Aliases'!$B:$B,MATCH(TRIM(C165),'Code Aliases'!$A:$A,0)),TRIM(C165)))</f>
        <v/>
      </c>
      <c r="H165" s="17" t="str">
        <f aca="false">IF(TRIM(B165)="","",UPPER(TRIM(B165)))</f>
        <v/>
      </c>
    </row>
    <row r="166" customFormat="false" ht="14.25" hidden="false" customHeight="true" outlineLevel="0" collapsed="false">
      <c r="D166" s="17"/>
      <c r="G166" s="17" t="str">
        <f aca="false">IF(TRIM(C166)="","",IFERROR(INDEX('Code Aliases'!$B:$B,MATCH(TRIM(C166),'Code Aliases'!$A:$A,0)),TRIM(C166)))</f>
        <v/>
      </c>
      <c r="H166" s="17" t="str">
        <f aca="false">IF(TRIM(B166)="","",UPPER(TRIM(B166)))</f>
        <v/>
      </c>
    </row>
    <row r="167" customFormat="false" ht="14.25" hidden="false" customHeight="true" outlineLevel="0" collapsed="false">
      <c r="D167" s="17"/>
      <c r="G167" s="17" t="str">
        <f aca="false">IF(TRIM(C167)="","",IFERROR(INDEX('Code Aliases'!$B:$B,MATCH(TRIM(C167),'Code Aliases'!$A:$A,0)),TRIM(C167)))</f>
        <v/>
      </c>
      <c r="H167" s="17" t="str">
        <f aca="false">IF(TRIM(B167)="","",UPPER(TRIM(B167)))</f>
        <v/>
      </c>
    </row>
    <row r="168" customFormat="false" ht="14.25" hidden="false" customHeight="true" outlineLevel="0" collapsed="false">
      <c r="D168" s="17"/>
      <c r="G168" s="17" t="str">
        <f aca="false">IF(TRIM(C168)="","",IFERROR(INDEX('Code Aliases'!$B:$B,MATCH(TRIM(C168),'Code Aliases'!$A:$A,0)),TRIM(C168)))</f>
        <v/>
      </c>
      <c r="H168" s="17" t="str">
        <f aca="false">IF(TRIM(B168)="","",UPPER(TRIM(B168)))</f>
        <v/>
      </c>
    </row>
    <row r="169" customFormat="false" ht="14.25" hidden="false" customHeight="true" outlineLevel="0" collapsed="false">
      <c r="D169" s="17"/>
      <c r="G169" s="17" t="str">
        <f aca="false">IF(TRIM(C169)="","",IFERROR(INDEX('Code Aliases'!$B:$B,MATCH(TRIM(C169),'Code Aliases'!$A:$A,0)),TRIM(C169)))</f>
        <v/>
      </c>
      <c r="H169" s="17" t="str">
        <f aca="false">IF(TRIM(B169)="","",UPPER(TRIM(B169)))</f>
        <v/>
      </c>
    </row>
    <row r="170" customFormat="false" ht="14.25" hidden="false" customHeight="true" outlineLevel="0" collapsed="false">
      <c r="D170" s="17"/>
      <c r="G170" s="17" t="str">
        <f aca="false">IF(TRIM(C170)="","",IFERROR(INDEX('Code Aliases'!$B:$B,MATCH(TRIM(C170),'Code Aliases'!$A:$A,0)),TRIM(C170)))</f>
        <v/>
      </c>
      <c r="H170" s="17" t="str">
        <f aca="false">IF(TRIM(B170)="","",UPPER(TRIM(B170)))</f>
        <v/>
      </c>
    </row>
    <row r="171" customFormat="false" ht="14.25" hidden="false" customHeight="true" outlineLevel="0" collapsed="false">
      <c r="D171" s="17"/>
      <c r="G171" s="17" t="str">
        <f aca="false">IF(TRIM(C171)="","",IFERROR(INDEX('Code Aliases'!$B:$B,MATCH(TRIM(C171),'Code Aliases'!$A:$A,0)),TRIM(C171)))</f>
        <v/>
      </c>
      <c r="H171" s="17" t="str">
        <f aca="false">IF(TRIM(B171)="","",UPPER(TRIM(B171)))</f>
        <v/>
      </c>
    </row>
    <row r="172" customFormat="false" ht="14.25" hidden="false" customHeight="true" outlineLevel="0" collapsed="false">
      <c r="D172" s="17"/>
      <c r="G172" s="17" t="str">
        <f aca="false">IF(TRIM(C172)="","",IFERROR(INDEX('Code Aliases'!$B:$B,MATCH(TRIM(C172),'Code Aliases'!$A:$A,0)),TRIM(C172)))</f>
        <v/>
      </c>
      <c r="H172" s="17" t="str">
        <f aca="false">IF(TRIM(B172)="","",UPPER(TRIM(B172)))</f>
        <v/>
      </c>
    </row>
    <row r="173" customFormat="false" ht="14.25" hidden="false" customHeight="true" outlineLevel="0" collapsed="false">
      <c r="D173" s="17"/>
      <c r="G173" s="17" t="str">
        <f aca="false">IF(TRIM(C173)="","",IFERROR(INDEX('Code Aliases'!$B:$B,MATCH(TRIM(C173),'Code Aliases'!$A:$A,0)),TRIM(C173)))</f>
        <v/>
      </c>
      <c r="H173" s="17" t="str">
        <f aca="false">IF(TRIM(B173)="","",UPPER(TRIM(B173)))</f>
        <v/>
      </c>
    </row>
    <row r="174" customFormat="false" ht="14.25" hidden="false" customHeight="true" outlineLevel="0" collapsed="false">
      <c r="D174" s="17"/>
      <c r="G174" s="17" t="str">
        <f aca="false">IF(TRIM(C174)="","",IFERROR(INDEX('Code Aliases'!$B:$B,MATCH(TRIM(C174),'Code Aliases'!$A:$A,0)),TRIM(C174)))</f>
        <v/>
      </c>
      <c r="H174" s="17" t="str">
        <f aca="false">IF(TRIM(B174)="","",UPPER(TRIM(B174)))</f>
        <v/>
      </c>
    </row>
    <row r="175" customFormat="false" ht="14.25" hidden="false" customHeight="true" outlineLevel="0" collapsed="false">
      <c r="D175" s="17"/>
      <c r="G175" s="17" t="str">
        <f aca="false">IF(TRIM(C175)="","",IFERROR(INDEX('Code Aliases'!$B:$B,MATCH(TRIM(C175),'Code Aliases'!$A:$A,0)),TRIM(C175)))</f>
        <v/>
      </c>
      <c r="H175" s="17" t="str">
        <f aca="false">IF(TRIM(B175)="","",UPPER(TRIM(B175)))</f>
        <v/>
      </c>
    </row>
    <row r="176" customFormat="false" ht="14.25" hidden="false" customHeight="true" outlineLevel="0" collapsed="false">
      <c r="D176" s="17"/>
      <c r="G176" s="17" t="str">
        <f aca="false">IF(TRIM(C176)="","",IFERROR(INDEX('Code Aliases'!$B:$B,MATCH(TRIM(C176),'Code Aliases'!$A:$A,0)),TRIM(C176)))</f>
        <v/>
      </c>
      <c r="H176" s="17" t="str">
        <f aca="false">IF(TRIM(B176)="","",UPPER(TRIM(B176)))</f>
        <v/>
      </c>
    </row>
    <row r="177" customFormat="false" ht="14.25" hidden="false" customHeight="true" outlineLevel="0" collapsed="false">
      <c r="D177" s="17"/>
      <c r="G177" s="17" t="str">
        <f aca="false">IF(TRIM(C177)="","",IFERROR(INDEX('Code Aliases'!$B:$B,MATCH(TRIM(C177),'Code Aliases'!$A:$A,0)),TRIM(C177)))</f>
        <v/>
      </c>
      <c r="H177" s="17" t="str">
        <f aca="false">IF(TRIM(B177)="","",UPPER(TRIM(B177)))</f>
        <v/>
      </c>
    </row>
    <row r="178" customFormat="false" ht="14.25" hidden="false" customHeight="true" outlineLevel="0" collapsed="false">
      <c r="D178" s="17"/>
      <c r="G178" s="17" t="str">
        <f aca="false">IF(TRIM(C178)="","",IFERROR(INDEX('Code Aliases'!$B:$B,MATCH(TRIM(C178),'Code Aliases'!$A:$A,0)),TRIM(C178)))</f>
        <v/>
      </c>
      <c r="H178" s="17" t="str">
        <f aca="false">IF(TRIM(B178)="","",UPPER(TRIM(B178)))</f>
        <v/>
      </c>
    </row>
    <row r="179" customFormat="false" ht="14.25" hidden="false" customHeight="true" outlineLevel="0" collapsed="false">
      <c r="D179" s="17"/>
      <c r="G179" s="17" t="str">
        <f aca="false">IF(TRIM(C179)="","",IFERROR(INDEX('Code Aliases'!$B:$B,MATCH(TRIM(C179),'Code Aliases'!$A:$A,0)),TRIM(C179)))</f>
        <v/>
      </c>
      <c r="H179" s="17" t="str">
        <f aca="false">IF(TRIM(B179)="","",UPPER(TRIM(B179)))</f>
        <v/>
      </c>
    </row>
    <row r="180" customFormat="false" ht="14.25" hidden="false" customHeight="true" outlineLevel="0" collapsed="false">
      <c r="D180" s="17"/>
      <c r="G180" s="17" t="str">
        <f aca="false">IF(TRIM(C180)="","",IFERROR(INDEX('Code Aliases'!$B:$B,MATCH(TRIM(C180),'Code Aliases'!$A:$A,0)),TRIM(C180)))</f>
        <v/>
      </c>
      <c r="H180" s="17" t="str">
        <f aca="false">IF(TRIM(B180)="","",UPPER(TRIM(B180)))</f>
        <v/>
      </c>
    </row>
    <row r="181" customFormat="false" ht="14.25" hidden="false" customHeight="true" outlineLevel="0" collapsed="false">
      <c r="D181" s="17"/>
      <c r="G181" s="17" t="str">
        <f aca="false">IF(TRIM(C181)="","",IFERROR(INDEX('Code Aliases'!$B:$B,MATCH(TRIM(C181),'Code Aliases'!$A:$A,0)),TRIM(C181)))</f>
        <v/>
      </c>
      <c r="H181" s="17" t="str">
        <f aca="false">IF(TRIM(B181)="","",UPPER(TRIM(B181)))</f>
        <v/>
      </c>
    </row>
    <row r="182" customFormat="false" ht="14.25" hidden="false" customHeight="true" outlineLevel="0" collapsed="false">
      <c r="D182" s="17"/>
      <c r="G182" s="17" t="str">
        <f aca="false">IF(TRIM(C182)="","",IFERROR(INDEX('Code Aliases'!$B:$B,MATCH(TRIM(C182),'Code Aliases'!$A:$A,0)),TRIM(C182)))</f>
        <v/>
      </c>
      <c r="H182" s="17" t="str">
        <f aca="false">IF(TRIM(B182)="","",UPPER(TRIM(B182)))</f>
        <v/>
      </c>
    </row>
    <row r="183" customFormat="false" ht="14.25" hidden="false" customHeight="true" outlineLevel="0" collapsed="false">
      <c r="D183" s="17"/>
      <c r="G183" s="17" t="str">
        <f aca="false">IF(TRIM(C183)="","",IFERROR(INDEX('Code Aliases'!$B:$B,MATCH(TRIM(C183),'Code Aliases'!$A:$A,0)),TRIM(C183)))</f>
        <v/>
      </c>
      <c r="H183" s="17" t="str">
        <f aca="false">IF(TRIM(B183)="","",UPPER(TRIM(B183)))</f>
        <v/>
      </c>
    </row>
    <row r="184" customFormat="false" ht="14.25" hidden="false" customHeight="true" outlineLevel="0" collapsed="false">
      <c r="D184" s="17"/>
      <c r="G184" s="17" t="str">
        <f aca="false">IF(TRIM(C184)="","",IFERROR(INDEX('Code Aliases'!$B:$B,MATCH(TRIM(C184),'Code Aliases'!$A:$A,0)),TRIM(C184)))</f>
        <v/>
      </c>
      <c r="H184" s="17" t="str">
        <f aca="false">IF(TRIM(B184)="","",UPPER(TRIM(B184)))</f>
        <v/>
      </c>
    </row>
    <row r="185" customFormat="false" ht="14.25" hidden="false" customHeight="true" outlineLevel="0" collapsed="false">
      <c r="D185" s="17"/>
      <c r="G185" s="17" t="str">
        <f aca="false">IF(TRIM(C185)="","",IFERROR(INDEX('Code Aliases'!$B:$B,MATCH(TRIM(C185),'Code Aliases'!$A:$A,0)),TRIM(C185)))</f>
        <v/>
      </c>
      <c r="H185" s="17" t="str">
        <f aca="false">IF(TRIM(B185)="","",UPPER(TRIM(B185)))</f>
        <v/>
      </c>
    </row>
    <row r="186" customFormat="false" ht="14.25" hidden="false" customHeight="true" outlineLevel="0" collapsed="false">
      <c r="D186" s="17"/>
      <c r="G186" s="17" t="str">
        <f aca="false">IF(TRIM(C186)="","",IFERROR(INDEX('Code Aliases'!$B:$B,MATCH(TRIM(C186),'Code Aliases'!$A:$A,0)),TRIM(C186)))</f>
        <v/>
      </c>
      <c r="H186" s="17" t="str">
        <f aca="false">IF(TRIM(B186)="","",UPPER(TRIM(B186)))</f>
        <v/>
      </c>
    </row>
    <row r="187" customFormat="false" ht="14.25" hidden="false" customHeight="true" outlineLevel="0" collapsed="false">
      <c r="D187" s="17"/>
      <c r="G187" s="17" t="str">
        <f aca="false">IF(TRIM(C187)="","",IFERROR(INDEX('Code Aliases'!$B:$B,MATCH(TRIM(C187),'Code Aliases'!$A:$A,0)),TRIM(C187)))</f>
        <v/>
      </c>
      <c r="H187" s="17" t="str">
        <f aca="false">IF(TRIM(B187)="","",UPPER(TRIM(B187)))</f>
        <v/>
      </c>
    </row>
    <row r="188" customFormat="false" ht="14.25" hidden="false" customHeight="true" outlineLevel="0" collapsed="false">
      <c r="D188" s="17"/>
      <c r="G188" s="17" t="str">
        <f aca="false">IF(TRIM(C188)="","",IFERROR(INDEX('Code Aliases'!$B:$B,MATCH(TRIM(C188),'Code Aliases'!$A:$A,0)),TRIM(C188)))</f>
        <v/>
      </c>
      <c r="H188" s="17" t="str">
        <f aca="false">IF(TRIM(B188)="","",UPPER(TRIM(B188)))</f>
        <v/>
      </c>
    </row>
    <row r="189" customFormat="false" ht="14.25" hidden="false" customHeight="true" outlineLevel="0" collapsed="false">
      <c r="D189" s="17"/>
      <c r="G189" s="17" t="str">
        <f aca="false">IF(TRIM(C189)="","",IFERROR(INDEX('Code Aliases'!$B:$B,MATCH(TRIM(C189),'Code Aliases'!$A:$A,0)),TRIM(C189)))</f>
        <v/>
      </c>
      <c r="H189" s="17" t="str">
        <f aca="false">IF(TRIM(B189)="","",UPPER(TRIM(B189)))</f>
        <v/>
      </c>
    </row>
    <row r="190" customFormat="false" ht="14.25" hidden="false" customHeight="true" outlineLevel="0" collapsed="false">
      <c r="D190" s="17"/>
      <c r="G190" s="17" t="str">
        <f aca="false">IF(TRIM(C190)="","",IFERROR(INDEX('Code Aliases'!$B:$B,MATCH(TRIM(C190),'Code Aliases'!$A:$A,0)),TRIM(C190)))</f>
        <v/>
      </c>
      <c r="H190" s="17" t="str">
        <f aca="false">IF(TRIM(B190)="","",UPPER(TRIM(B190)))</f>
        <v/>
      </c>
    </row>
    <row r="191" customFormat="false" ht="14.25" hidden="false" customHeight="true" outlineLevel="0" collapsed="false">
      <c r="D191" s="17"/>
      <c r="G191" s="17" t="str">
        <f aca="false">IF(TRIM(C191)="","",IFERROR(INDEX('Code Aliases'!$B:$B,MATCH(TRIM(C191),'Code Aliases'!$A:$A,0)),TRIM(C191)))</f>
        <v/>
      </c>
      <c r="H191" s="17" t="str">
        <f aca="false">IF(TRIM(B191)="","",UPPER(TRIM(B191)))</f>
        <v/>
      </c>
    </row>
    <row r="192" customFormat="false" ht="14.25" hidden="false" customHeight="true" outlineLevel="0" collapsed="false">
      <c r="D192" s="17"/>
      <c r="G192" s="17" t="str">
        <f aca="false">IF(TRIM(C192)="","",IFERROR(INDEX('Code Aliases'!$B:$B,MATCH(TRIM(C192),'Code Aliases'!$A:$A,0)),TRIM(C192)))</f>
        <v/>
      </c>
      <c r="H192" s="17" t="str">
        <f aca="false">IF(TRIM(B192)="","",UPPER(TRIM(B192)))</f>
        <v/>
      </c>
    </row>
    <row r="193" customFormat="false" ht="14.25" hidden="false" customHeight="true" outlineLevel="0" collapsed="false">
      <c r="D193" s="17"/>
      <c r="G193" s="17" t="str">
        <f aca="false">IF(TRIM(C193)="","",IFERROR(INDEX('Code Aliases'!$B:$B,MATCH(TRIM(C193),'Code Aliases'!$A:$A,0)),TRIM(C193)))</f>
        <v/>
      </c>
      <c r="H193" s="17" t="str">
        <f aca="false">IF(TRIM(B193)="","",UPPER(TRIM(B193)))</f>
        <v/>
      </c>
    </row>
    <row r="194" customFormat="false" ht="14.25" hidden="false" customHeight="true" outlineLevel="0" collapsed="false">
      <c r="D194" s="17"/>
      <c r="G194" s="17" t="str">
        <f aca="false">IF(TRIM(C194)="","",IFERROR(INDEX('Code Aliases'!$B:$B,MATCH(TRIM(C194),'Code Aliases'!$A:$A,0)),TRIM(C194)))</f>
        <v/>
      </c>
      <c r="H194" s="17" t="str">
        <f aca="false">IF(TRIM(B194)="","",UPPER(TRIM(B194)))</f>
        <v/>
      </c>
    </row>
    <row r="195" customFormat="false" ht="14.25" hidden="false" customHeight="true" outlineLevel="0" collapsed="false">
      <c r="D195" s="17"/>
      <c r="G195" s="17" t="str">
        <f aca="false">IF(TRIM(C195)="","",IFERROR(INDEX('Code Aliases'!$B:$B,MATCH(TRIM(C195),'Code Aliases'!$A:$A,0)),TRIM(C195)))</f>
        <v/>
      </c>
      <c r="H195" s="17" t="str">
        <f aca="false">IF(TRIM(B195)="","",UPPER(TRIM(B195)))</f>
        <v/>
      </c>
    </row>
    <row r="196" customFormat="false" ht="14.25" hidden="false" customHeight="true" outlineLevel="0" collapsed="false">
      <c r="D196" s="17"/>
      <c r="G196" s="17" t="str">
        <f aca="false">IF(TRIM(C196)="","",IFERROR(INDEX('Code Aliases'!$B:$B,MATCH(TRIM(C196),'Code Aliases'!$A:$A,0)),TRIM(C196)))</f>
        <v/>
      </c>
      <c r="H196" s="17" t="str">
        <f aca="false">IF(TRIM(B196)="","",UPPER(TRIM(B196)))</f>
        <v/>
      </c>
    </row>
    <row r="197" customFormat="false" ht="14.25" hidden="false" customHeight="true" outlineLevel="0" collapsed="false">
      <c r="D197" s="17"/>
      <c r="G197" s="17" t="str">
        <f aca="false">IF(TRIM(C197)="","",IFERROR(INDEX('Code Aliases'!$B:$B,MATCH(TRIM(C197),'Code Aliases'!$A:$A,0)),TRIM(C197)))</f>
        <v/>
      </c>
      <c r="H197" s="17" t="str">
        <f aca="false">IF(TRIM(B197)="","",UPPER(TRIM(B197)))</f>
        <v/>
      </c>
    </row>
    <row r="198" customFormat="false" ht="14.25" hidden="false" customHeight="true" outlineLevel="0" collapsed="false">
      <c r="D198" s="17"/>
      <c r="G198" s="17" t="str">
        <f aca="false">IF(TRIM(C198)="","",IFERROR(INDEX('Code Aliases'!$B:$B,MATCH(TRIM(C198),'Code Aliases'!$A:$A,0)),TRIM(C198)))</f>
        <v/>
      </c>
      <c r="H198" s="17" t="str">
        <f aca="false">IF(TRIM(B198)="","",UPPER(TRIM(B198)))</f>
        <v/>
      </c>
    </row>
    <row r="199" customFormat="false" ht="14.25" hidden="false" customHeight="true" outlineLevel="0" collapsed="false">
      <c r="D199" s="17"/>
      <c r="G199" s="17" t="str">
        <f aca="false">IF(TRIM(C199)="","",IFERROR(INDEX('Code Aliases'!$B:$B,MATCH(TRIM(C199),'Code Aliases'!$A:$A,0)),TRIM(C199)))</f>
        <v/>
      </c>
      <c r="H199" s="17" t="str">
        <f aca="false">IF(TRIM(B199)="","",UPPER(TRIM(B199)))</f>
        <v/>
      </c>
    </row>
    <row r="200" customFormat="false" ht="14.25" hidden="false" customHeight="true" outlineLevel="0" collapsed="false">
      <c r="D200" s="17"/>
      <c r="G200" s="17" t="str">
        <f aca="false">IF(TRIM(C200)="","",IFERROR(INDEX('Code Aliases'!$B:$B,MATCH(TRIM(C200),'Code Aliases'!$A:$A,0)),TRIM(C200)))</f>
        <v/>
      </c>
      <c r="H200" s="17" t="str">
        <f aca="false">IF(TRIM(B200)="","",UPPER(TRIM(B200)))</f>
        <v/>
      </c>
    </row>
    <row r="201" customFormat="false" ht="14.25" hidden="false" customHeight="true" outlineLevel="0" collapsed="false">
      <c r="D201" s="17"/>
      <c r="G201" s="17" t="str">
        <f aca="false">IF(TRIM(C201)="","",IFERROR(INDEX('Code Aliases'!$B:$B,MATCH(TRIM(C201),'Code Aliases'!$A:$A,0)),TRIM(C201)))</f>
        <v/>
      </c>
      <c r="H201" s="17" t="str">
        <f aca="false">IF(TRIM(B201)="","",UPPER(TRIM(B201)))</f>
        <v/>
      </c>
    </row>
    <row r="202" customFormat="false" ht="14.25" hidden="false" customHeight="true" outlineLevel="0" collapsed="false">
      <c r="D202" s="17"/>
      <c r="G202" s="17" t="str">
        <f aca="false">IF(TRIM(C202)="","",IFERROR(INDEX('Code Aliases'!$B:$B,MATCH(TRIM(C202),'Code Aliases'!$A:$A,0)),TRIM(C202)))</f>
        <v/>
      </c>
      <c r="H202" s="17" t="str">
        <f aca="false">IF(TRIM(B202)="","",UPPER(TRIM(B202)))</f>
        <v/>
      </c>
    </row>
    <row r="203" customFormat="false" ht="14.25" hidden="false" customHeight="true" outlineLevel="0" collapsed="false">
      <c r="D203" s="17"/>
      <c r="G203" s="17" t="str">
        <f aca="false">IF(TRIM(C203)="","",IFERROR(INDEX('Code Aliases'!$B:$B,MATCH(TRIM(C203),'Code Aliases'!$A:$A,0)),TRIM(C203)))</f>
        <v/>
      </c>
      <c r="H203" s="17" t="str">
        <f aca="false">IF(TRIM(B203)="","",UPPER(TRIM(B203)))</f>
        <v/>
      </c>
    </row>
    <row r="204" customFormat="false" ht="14.25" hidden="false" customHeight="true" outlineLevel="0" collapsed="false">
      <c r="D204" s="17"/>
      <c r="G204" s="17" t="str">
        <f aca="false">IF(TRIM(C204)="","",IFERROR(INDEX('Code Aliases'!$B:$B,MATCH(TRIM(C204),'Code Aliases'!$A:$A,0)),TRIM(C204)))</f>
        <v/>
      </c>
      <c r="H204" s="17" t="str">
        <f aca="false">IF(TRIM(B204)="","",UPPER(TRIM(B204)))</f>
        <v/>
      </c>
    </row>
    <row r="205" customFormat="false" ht="14.25" hidden="false" customHeight="true" outlineLevel="0" collapsed="false">
      <c r="D205" s="17"/>
      <c r="G205" s="17" t="str">
        <f aca="false">IF(TRIM(C205)="","",IFERROR(INDEX('Code Aliases'!$B:$B,MATCH(TRIM(C205),'Code Aliases'!$A:$A,0)),TRIM(C205)))</f>
        <v/>
      </c>
      <c r="H205" s="17" t="str">
        <f aca="false">IF(TRIM(B205)="","",UPPER(TRIM(B205)))</f>
        <v/>
      </c>
    </row>
    <row r="206" customFormat="false" ht="14.25" hidden="false" customHeight="true" outlineLevel="0" collapsed="false">
      <c r="D206" s="17"/>
      <c r="G206" s="17" t="str">
        <f aca="false">IF(TRIM(C206)="","",IFERROR(INDEX('Code Aliases'!$B:$B,MATCH(TRIM(C206),'Code Aliases'!$A:$A,0)),TRIM(C206)))</f>
        <v/>
      </c>
      <c r="H206" s="17" t="str">
        <f aca="false">IF(TRIM(B206)="","",UPPER(TRIM(B206)))</f>
        <v/>
      </c>
    </row>
    <row r="207" customFormat="false" ht="14.25" hidden="false" customHeight="true" outlineLevel="0" collapsed="false">
      <c r="D207" s="17"/>
      <c r="G207" s="17" t="str">
        <f aca="false">IF(TRIM(C207)="","",IFERROR(INDEX('Code Aliases'!$B:$B,MATCH(TRIM(C207),'Code Aliases'!$A:$A,0)),TRIM(C207)))</f>
        <v/>
      </c>
      <c r="H207" s="17" t="str">
        <f aca="false">IF(TRIM(B207)="","",UPPER(TRIM(B207)))</f>
        <v/>
      </c>
    </row>
    <row r="208" customFormat="false" ht="14.25" hidden="false" customHeight="true" outlineLevel="0" collapsed="false">
      <c r="D208" s="17"/>
      <c r="G208" s="17" t="str">
        <f aca="false">IF(TRIM(C208)="","",IFERROR(INDEX('Code Aliases'!$B:$B,MATCH(TRIM(C208),'Code Aliases'!$A:$A,0)),TRIM(C208)))</f>
        <v/>
      </c>
      <c r="H208" s="17" t="str">
        <f aca="false">IF(TRIM(B208)="","",UPPER(TRIM(B208)))</f>
        <v/>
      </c>
    </row>
    <row r="209" customFormat="false" ht="14.25" hidden="false" customHeight="true" outlineLevel="0" collapsed="false">
      <c r="D209" s="17"/>
      <c r="G209" s="17" t="str">
        <f aca="false">IF(TRIM(C209)="","",IFERROR(INDEX('Code Aliases'!$B:$B,MATCH(TRIM(C209),'Code Aliases'!$A:$A,0)),TRIM(C209)))</f>
        <v/>
      </c>
      <c r="H209" s="17" t="str">
        <f aca="false">IF(TRIM(B209)="","",UPPER(TRIM(B209)))</f>
        <v/>
      </c>
    </row>
    <row r="210" customFormat="false" ht="14.25" hidden="false" customHeight="true" outlineLevel="0" collapsed="false">
      <c r="D210" s="17"/>
      <c r="G210" s="17" t="str">
        <f aca="false">IF(TRIM(C210)="","",IFERROR(INDEX('Code Aliases'!$B:$B,MATCH(TRIM(C210),'Code Aliases'!$A:$A,0)),TRIM(C210)))</f>
        <v/>
      </c>
      <c r="H210" s="17" t="str">
        <f aca="false">IF(TRIM(B210)="","",UPPER(TRIM(B210)))</f>
        <v/>
      </c>
    </row>
    <row r="211" customFormat="false" ht="14.25" hidden="false" customHeight="true" outlineLevel="0" collapsed="false">
      <c r="D211" s="17"/>
      <c r="G211" s="17" t="str">
        <f aca="false">IF(TRIM(C211)="","",IFERROR(INDEX('Code Aliases'!$B:$B,MATCH(TRIM(C211),'Code Aliases'!$A:$A,0)),TRIM(C211)))</f>
        <v/>
      </c>
      <c r="H211" s="17" t="str">
        <f aca="false">IF(TRIM(B211)="","",UPPER(TRIM(B211)))</f>
        <v/>
      </c>
    </row>
    <row r="212" customFormat="false" ht="14.25" hidden="false" customHeight="true" outlineLevel="0" collapsed="false">
      <c r="D212" s="17"/>
      <c r="G212" s="17" t="str">
        <f aca="false">IF(TRIM(C212)="","",IFERROR(INDEX('Code Aliases'!$B:$B,MATCH(TRIM(C212),'Code Aliases'!$A:$A,0)),TRIM(C212)))</f>
        <v/>
      </c>
      <c r="H212" s="17" t="str">
        <f aca="false">IF(TRIM(B212)="","",UPPER(TRIM(B212)))</f>
        <v/>
      </c>
    </row>
    <row r="213" customFormat="false" ht="14.25" hidden="false" customHeight="true" outlineLevel="0" collapsed="false">
      <c r="D213" s="17"/>
      <c r="G213" s="17" t="str">
        <f aca="false">IF(TRIM(C213)="","",IFERROR(INDEX('Code Aliases'!$B:$B,MATCH(TRIM(C213),'Code Aliases'!$A:$A,0)),TRIM(C213)))</f>
        <v/>
      </c>
      <c r="H213" s="17" t="str">
        <f aca="false">IF(TRIM(B213)="","",UPPER(TRIM(B213)))</f>
        <v/>
      </c>
    </row>
    <row r="214" customFormat="false" ht="14.25" hidden="false" customHeight="true" outlineLevel="0" collapsed="false">
      <c r="D214" s="17"/>
      <c r="G214" s="17" t="str">
        <f aca="false">IF(TRIM(C214)="","",IFERROR(INDEX('Code Aliases'!$B:$B,MATCH(TRIM(C214),'Code Aliases'!$A:$A,0)),TRIM(C214)))</f>
        <v/>
      </c>
      <c r="H214" s="17" t="str">
        <f aca="false">IF(TRIM(B214)="","",UPPER(TRIM(B214)))</f>
        <v/>
      </c>
    </row>
    <row r="215" customFormat="false" ht="14.25" hidden="false" customHeight="true" outlineLevel="0" collapsed="false">
      <c r="D215" s="17"/>
      <c r="G215" s="17" t="str">
        <f aca="false">IF(TRIM(C215)="","",IFERROR(INDEX('Code Aliases'!$B:$B,MATCH(TRIM(C215),'Code Aliases'!$A:$A,0)),TRIM(C215)))</f>
        <v/>
      </c>
      <c r="H215" s="17" t="str">
        <f aca="false">IF(TRIM(B215)="","",UPPER(TRIM(B215)))</f>
        <v/>
      </c>
    </row>
    <row r="216" customFormat="false" ht="14.25" hidden="false" customHeight="true" outlineLevel="0" collapsed="false">
      <c r="D216" s="17"/>
      <c r="G216" s="17" t="str">
        <f aca="false">IF(TRIM(C216)="","",IFERROR(INDEX('Code Aliases'!$B:$B,MATCH(TRIM(C216),'Code Aliases'!$A:$A,0)),TRIM(C216)))</f>
        <v/>
      </c>
      <c r="H216" s="17" t="str">
        <f aca="false">IF(TRIM(B216)="","",UPPER(TRIM(B216)))</f>
        <v/>
      </c>
    </row>
    <row r="217" customFormat="false" ht="14.25" hidden="false" customHeight="true" outlineLevel="0" collapsed="false">
      <c r="D217" s="17"/>
      <c r="G217" s="17" t="str">
        <f aca="false">IF(TRIM(C217)="","",IFERROR(INDEX('Code Aliases'!$B:$B,MATCH(TRIM(C217),'Code Aliases'!$A:$A,0)),TRIM(C217)))</f>
        <v/>
      </c>
      <c r="H217" s="17" t="str">
        <f aca="false">IF(TRIM(B217)="","",UPPER(TRIM(B217)))</f>
        <v/>
      </c>
    </row>
    <row r="218" customFormat="false" ht="14.25" hidden="false" customHeight="true" outlineLevel="0" collapsed="false">
      <c r="D218" s="17"/>
      <c r="G218" s="17" t="str">
        <f aca="false">IF(TRIM(C218)="","",IFERROR(INDEX('Code Aliases'!$B:$B,MATCH(TRIM(C218),'Code Aliases'!$A:$A,0)),TRIM(C218)))</f>
        <v/>
      </c>
      <c r="H218" s="17" t="str">
        <f aca="false">IF(TRIM(B218)="","",UPPER(TRIM(B218)))</f>
        <v/>
      </c>
    </row>
    <row r="219" customFormat="false" ht="14.25" hidden="false" customHeight="true" outlineLevel="0" collapsed="false">
      <c r="D219" s="17"/>
      <c r="G219" s="17" t="str">
        <f aca="false">IF(TRIM(C219)="","",IFERROR(INDEX('Code Aliases'!$B:$B,MATCH(TRIM(C219),'Code Aliases'!$A:$A,0)),TRIM(C219)))</f>
        <v/>
      </c>
      <c r="H219" s="17" t="str">
        <f aca="false">IF(TRIM(B219)="","",UPPER(TRIM(B219)))</f>
        <v/>
      </c>
    </row>
    <row r="220" customFormat="false" ht="14.25" hidden="false" customHeight="true" outlineLevel="0" collapsed="false">
      <c r="D220" s="17"/>
      <c r="G220" s="17" t="str">
        <f aca="false">IF(TRIM(C220)="","",IFERROR(INDEX('Code Aliases'!$B:$B,MATCH(TRIM(C220),'Code Aliases'!$A:$A,0)),TRIM(C220)))</f>
        <v/>
      </c>
      <c r="H220" s="17" t="str">
        <f aca="false">IF(TRIM(B220)="","",UPPER(TRIM(B220)))</f>
        <v/>
      </c>
    </row>
    <row r="221" customFormat="false" ht="14.25" hidden="false" customHeight="true" outlineLevel="0" collapsed="false">
      <c r="D221" s="17"/>
      <c r="G221" s="17" t="str">
        <f aca="false">IF(TRIM(C221)="","",IFERROR(INDEX('Code Aliases'!$B:$B,MATCH(TRIM(C221),'Code Aliases'!$A:$A,0)),TRIM(C221)))</f>
        <v/>
      </c>
      <c r="H221" s="17" t="str">
        <f aca="false">IF(TRIM(B221)="","",UPPER(TRIM(B221)))</f>
        <v/>
      </c>
    </row>
    <row r="222" customFormat="false" ht="14.25" hidden="false" customHeight="true" outlineLevel="0" collapsed="false">
      <c r="D222" s="17"/>
      <c r="G222" s="17" t="str">
        <f aca="false">IF(TRIM(C222)="","",IFERROR(INDEX('Code Aliases'!$B:$B,MATCH(TRIM(C222),'Code Aliases'!$A:$A,0)),TRIM(C222)))</f>
        <v/>
      </c>
      <c r="H222" s="17" t="str">
        <f aca="false">IF(TRIM(B222)="","",UPPER(TRIM(B222)))</f>
        <v/>
      </c>
    </row>
    <row r="223" customFormat="false" ht="14.25" hidden="false" customHeight="true" outlineLevel="0" collapsed="false">
      <c r="D223" s="17"/>
      <c r="G223" s="17" t="str">
        <f aca="false">IF(TRIM(C223)="","",IFERROR(INDEX('Code Aliases'!$B:$B,MATCH(TRIM(C223),'Code Aliases'!$A:$A,0)),TRIM(C223)))</f>
        <v/>
      </c>
      <c r="H223" s="17" t="str">
        <f aca="false">IF(TRIM(B223)="","",UPPER(TRIM(B223)))</f>
        <v/>
      </c>
    </row>
    <row r="224" customFormat="false" ht="14.25" hidden="false" customHeight="true" outlineLevel="0" collapsed="false">
      <c r="D224" s="17"/>
      <c r="G224" s="17" t="str">
        <f aca="false">IF(TRIM(C224)="","",IFERROR(INDEX('Code Aliases'!$B:$B,MATCH(TRIM(C224),'Code Aliases'!$A:$A,0)),TRIM(C224)))</f>
        <v/>
      </c>
      <c r="H224" s="17" t="str">
        <f aca="false">IF(TRIM(B224)="","",UPPER(TRIM(B224)))</f>
        <v/>
      </c>
    </row>
    <row r="225" customFormat="false" ht="14.25" hidden="false" customHeight="true" outlineLevel="0" collapsed="false">
      <c r="D225" s="17"/>
      <c r="G225" s="17" t="str">
        <f aca="false">IF(TRIM(C225)="","",IFERROR(INDEX('Code Aliases'!$B:$B,MATCH(TRIM(C225),'Code Aliases'!$A:$A,0)),TRIM(C225)))</f>
        <v/>
      </c>
      <c r="H225" s="17" t="str">
        <f aca="false">IF(TRIM(B225)="","",UPPER(TRIM(B225)))</f>
        <v/>
      </c>
    </row>
    <row r="226" customFormat="false" ht="14.25" hidden="false" customHeight="true" outlineLevel="0" collapsed="false">
      <c r="D226" s="17"/>
      <c r="G226" s="17" t="str">
        <f aca="false">IF(TRIM(C226)="","",IFERROR(INDEX('Code Aliases'!$B:$B,MATCH(TRIM(C226),'Code Aliases'!$A:$A,0)),TRIM(C226)))</f>
        <v/>
      </c>
      <c r="H226" s="17" t="str">
        <f aca="false">IF(TRIM(B226)="","",UPPER(TRIM(B226)))</f>
        <v/>
      </c>
    </row>
    <row r="227" customFormat="false" ht="14.25" hidden="false" customHeight="true" outlineLevel="0" collapsed="false">
      <c r="D227" s="17"/>
      <c r="G227" s="17" t="str">
        <f aca="false">IF(TRIM(C227)="","",IFERROR(INDEX('Code Aliases'!$B:$B,MATCH(TRIM(C227),'Code Aliases'!$A:$A,0)),TRIM(C227)))</f>
        <v/>
      </c>
      <c r="H227" s="17" t="str">
        <f aca="false">IF(TRIM(B227)="","",UPPER(TRIM(B227)))</f>
        <v/>
      </c>
    </row>
    <row r="228" customFormat="false" ht="14.25" hidden="false" customHeight="true" outlineLevel="0" collapsed="false">
      <c r="D228" s="17"/>
      <c r="G228" s="17" t="str">
        <f aca="false">IF(TRIM(C228)="","",IFERROR(INDEX('Code Aliases'!$B:$B,MATCH(TRIM(C228),'Code Aliases'!$A:$A,0)),TRIM(C228)))</f>
        <v/>
      </c>
      <c r="H228" s="17" t="str">
        <f aca="false">IF(TRIM(B228)="","",UPPER(TRIM(B228)))</f>
        <v/>
      </c>
    </row>
    <row r="229" customFormat="false" ht="14.25" hidden="false" customHeight="true" outlineLevel="0" collapsed="false">
      <c r="D229" s="17"/>
      <c r="G229" s="17" t="str">
        <f aca="false">IF(TRIM(C229)="","",IFERROR(INDEX('Code Aliases'!$B:$B,MATCH(TRIM(C229),'Code Aliases'!$A:$A,0)),TRIM(C229)))</f>
        <v/>
      </c>
      <c r="H229" s="17" t="str">
        <f aca="false">IF(TRIM(B229)="","",UPPER(TRIM(B229)))</f>
        <v/>
      </c>
    </row>
    <row r="230" customFormat="false" ht="14.25" hidden="false" customHeight="true" outlineLevel="0" collapsed="false">
      <c r="D230" s="17"/>
      <c r="G230" s="17" t="str">
        <f aca="false">IF(TRIM(C230)="","",IFERROR(INDEX('Code Aliases'!$B:$B,MATCH(TRIM(C230),'Code Aliases'!$A:$A,0)),TRIM(C230)))</f>
        <v/>
      </c>
      <c r="H230" s="17" t="str">
        <f aca="false">IF(TRIM(B230)="","",UPPER(TRIM(B230)))</f>
        <v/>
      </c>
    </row>
    <row r="231" customFormat="false" ht="14.25" hidden="false" customHeight="true" outlineLevel="0" collapsed="false">
      <c r="D231" s="17"/>
      <c r="G231" s="17" t="str">
        <f aca="false">IF(TRIM(C231)="","",IFERROR(INDEX('Code Aliases'!$B:$B,MATCH(TRIM(C231),'Code Aliases'!$A:$A,0)),TRIM(C231)))</f>
        <v/>
      </c>
      <c r="H231" s="17" t="str">
        <f aca="false">IF(TRIM(B231)="","",UPPER(TRIM(B231)))</f>
        <v/>
      </c>
    </row>
    <row r="232" customFormat="false" ht="14.25" hidden="false" customHeight="true" outlineLevel="0" collapsed="false">
      <c r="D232" s="17"/>
      <c r="G232" s="17" t="str">
        <f aca="false">IF(TRIM(C232)="","",IFERROR(INDEX('Code Aliases'!$B:$B,MATCH(TRIM(C232),'Code Aliases'!$A:$A,0)),TRIM(C232)))</f>
        <v/>
      </c>
      <c r="H232" s="17" t="str">
        <f aca="false">IF(TRIM(B232)="","",UPPER(TRIM(B232)))</f>
        <v/>
      </c>
    </row>
    <row r="233" customFormat="false" ht="14.25" hidden="false" customHeight="true" outlineLevel="0" collapsed="false">
      <c r="D233" s="17"/>
      <c r="G233" s="17" t="str">
        <f aca="false">IF(TRIM(C233)="","",IFERROR(INDEX('Code Aliases'!$B:$B,MATCH(TRIM(C233),'Code Aliases'!$A:$A,0)),TRIM(C233)))</f>
        <v/>
      </c>
      <c r="H233" s="17" t="str">
        <f aca="false">IF(TRIM(B233)="","",UPPER(TRIM(B233)))</f>
        <v/>
      </c>
    </row>
    <row r="234" customFormat="false" ht="14.25" hidden="false" customHeight="true" outlineLevel="0" collapsed="false">
      <c r="D234" s="17"/>
      <c r="G234" s="17" t="str">
        <f aca="false">IF(TRIM(C234)="","",IFERROR(INDEX('Code Aliases'!$B:$B,MATCH(TRIM(C234),'Code Aliases'!$A:$A,0)),TRIM(C234)))</f>
        <v/>
      </c>
      <c r="H234" s="17" t="str">
        <f aca="false">IF(TRIM(B234)="","",UPPER(TRIM(B234)))</f>
        <v/>
      </c>
    </row>
    <row r="235" customFormat="false" ht="14.25" hidden="false" customHeight="true" outlineLevel="0" collapsed="false">
      <c r="D235" s="17"/>
      <c r="G235" s="17" t="str">
        <f aca="false">IF(TRIM(C235)="","",IFERROR(INDEX('Code Aliases'!$B:$B,MATCH(TRIM(C235),'Code Aliases'!$A:$A,0)),TRIM(C235)))</f>
        <v/>
      </c>
      <c r="H235" s="17" t="str">
        <f aca="false">IF(TRIM(B235)="","",UPPER(TRIM(B235)))</f>
        <v/>
      </c>
    </row>
    <row r="236" customFormat="false" ht="14.25" hidden="false" customHeight="true" outlineLevel="0" collapsed="false">
      <c r="D236" s="17"/>
      <c r="G236" s="17" t="str">
        <f aca="false">IF(TRIM(C236)="","",IFERROR(INDEX('Code Aliases'!$B:$B,MATCH(TRIM(C236),'Code Aliases'!$A:$A,0)),TRIM(C236)))</f>
        <v/>
      </c>
      <c r="H236" s="17" t="str">
        <f aca="false">IF(TRIM(B236)="","",UPPER(TRIM(B236)))</f>
        <v/>
      </c>
    </row>
    <row r="237" customFormat="false" ht="14.25" hidden="false" customHeight="true" outlineLevel="0" collapsed="false">
      <c r="D237" s="17"/>
      <c r="G237" s="17" t="str">
        <f aca="false">IF(TRIM(C237)="","",IFERROR(INDEX('Code Aliases'!$B:$B,MATCH(TRIM(C237),'Code Aliases'!$A:$A,0)),TRIM(C237)))</f>
        <v/>
      </c>
      <c r="H237" s="17" t="str">
        <f aca="false">IF(TRIM(B237)="","",UPPER(TRIM(B237)))</f>
        <v/>
      </c>
    </row>
    <row r="238" customFormat="false" ht="14.25" hidden="false" customHeight="true" outlineLevel="0" collapsed="false">
      <c r="D238" s="17"/>
      <c r="G238" s="17" t="str">
        <f aca="false">IF(TRIM(C238)="","",IFERROR(INDEX('Code Aliases'!$B:$B,MATCH(TRIM(C238),'Code Aliases'!$A:$A,0)),TRIM(C238)))</f>
        <v/>
      </c>
      <c r="H238" s="17" t="str">
        <f aca="false">IF(TRIM(B238)="","",UPPER(TRIM(B238)))</f>
        <v/>
      </c>
    </row>
    <row r="239" customFormat="false" ht="14.25" hidden="false" customHeight="true" outlineLevel="0" collapsed="false">
      <c r="D239" s="17"/>
      <c r="G239" s="17" t="str">
        <f aca="false">IF(TRIM(C239)="","",IFERROR(INDEX('Code Aliases'!$B:$B,MATCH(TRIM(C239),'Code Aliases'!$A:$A,0)),TRIM(C239)))</f>
        <v/>
      </c>
      <c r="H239" s="17" t="str">
        <f aca="false">IF(TRIM(B239)="","",UPPER(TRIM(B239)))</f>
        <v/>
      </c>
    </row>
    <row r="240" customFormat="false" ht="14.25" hidden="false" customHeight="true" outlineLevel="0" collapsed="false">
      <c r="D240" s="17"/>
      <c r="G240" s="17" t="str">
        <f aca="false">IF(TRIM(C240)="","",IFERROR(INDEX('Code Aliases'!$B:$B,MATCH(TRIM(C240),'Code Aliases'!$A:$A,0)),TRIM(C240)))</f>
        <v/>
      </c>
      <c r="H240" s="17" t="str">
        <f aca="false">IF(TRIM(B240)="","",UPPER(TRIM(B240)))</f>
        <v/>
      </c>
    </row>
    <row r="241" customFormat="false" ht="14.25" hidden="false" customHeight="true" outlineLevel="0" collapsed="false">
      <c r="D241" s="17"/>
      <c r="G241" s="17" t="str">
        <f aca="false">IF(TRIM(C241)="","",IFERROR(INDEX('Code Aliases'!$B:$B,MATCH(TRIM(C241),'Code Aliases'!$A:$A,0)),TRIM(C241)))</f>
        <v/>
      </c>
      <c r="H241" s="17" t="str">
        <f aca="false">IF(TRIM(B241)="","",UPPER(TRIM(B241)))</f>
        <v/>
      </c>
    </row>
    <row r="242" customFormat="false" ht="14.25" hidden="false" customHeight="true" outlineLevel="0" collapsed="false">
      <c r="D242" s="17"/>
      <c r="G242" s="17" t="str">
        <f aca="false">IF(TRIM(C242)="","",IFERROR(INDEX('Code Aliases'!$B:$B,MATCH(TRIM(C242),'Code Aliases'!$A:$A,0)),TRIM(C242)))</f>
        <v/>
      </c>
      <c r="H242" s="17" t="str">
        <f aca="false">IF(TRIM(B242)="","",UPPER(TRIM(B242)))</f>
        <v/>
      </c>
    </row>
    <row r="243" customFormat="false" ht="14.25" hidden="false" customHeight="true" outlineLevel="0" collapsed="false">
      <c r="D243" s="17"/>
      <c r="G243" s="17" t="str">
        <f aca="false">IF(TRIM(C243)="","",IFERROR(INDEX('Code Aliases'!$B:$B,MATCH(TRIM(C243),'Code Aliases'!$A:$A,0)),TRIM(C243)))</f>
        <v/>
      </c>
      <c r="H243" s="17" t="str">
        <f aca="false">IF(TRIM(B243)="","",UPPER(TRIM(B243)))</f>
        <v/>
      </c>
    </row>
    <row r="244" customFormat="false" ht="14.25" hidden="false" customHeight="true" outlineLevel="0" collapsed="false">
      <c r="D244" s="17"/>
      <c r="G244" s="17" t="str">
        <f aca="false">IF(TRIM(C244)="","",IFERROR(INDEX('Code Aliases'!$B:$B,MATCH(TRIM(C244),'Code Aliases'!$A:$A,0)),TRIM(C244)))</f>
        <v/>
      </c>
      <c r="H244" s="17" t="str">
        <f aca="false">IF(TRIM(B244)="","",UPPER(TRIM(B244)))</f>
        <v/>
      </c>
    </row>
    <row r="245" customFormat="false" ht="14.25" hidden="false" customHeight="true" outlineLevel="0" collapsed="false">
      <c r="D245" s="17"/>
      <c r="G245" s="17" t="str">
        <f aca="false">IF(TRIM(C245)="","",IFERROR(INDEX('Code Aliases'!$B:$B,MATCH(TRIM(C245),'Code Aliases'!$A:$A,0)),TRIM(C245)))</f>
        <v/>
      </c>
      <c r="H245" s="17" t="str">
        <f aca="false">IF(TRIM(B245)="","",UPPER(TRIM(B245)))</f>
        <v/>
      </c>
    </row>
    <row r="246" customFormat="false" ht="14.25" hidden="false" customHeight="true" outlineLevel="0" collapsed="false">
      <c r="D246" s="17"/>
      <c r="G246" s="17" t="str">
        <f aca="false">IF(TRIM(C246)="","",IFERROR(INDEX('Code Aliases'!$B:$B,MATCH(TRIM(C246),'Code Aliases'!$A:$A,0)),TRIM(C246)))</f>
        <v/>
      </c>
      <c r="H246" s="17" t="str">
        <f aca="false">IF(TRIM(B246)="","",UPPER(TRIM(B246)))</f>
        <v/>
      </c>
    </row>
    <row r="247" customFormat="false" ht="14.25" hidden="false" customHeight="true" outlineLevel="0" collapsed="false">
      <c r="D247" s="17"/>
      <c r="G247" s="17" t="str">
        <f aca="false">IF(TRIM(C247)="","",IFERROR(INDEX('Code Aliases'!$B:$B,MATCH(TRIM(C247),'Code Aliases'!$A:$A,0)),TRIM(C247)))</f>
        <v/>
      </c>
      <c r="H247" s="17" t="str">
        <f aca="false">IF(TRIM(B247)="","",UPPER(TRIM(B247)))</f>
        <v/>
      </c>
    </row>
    <row r="248" customFormat="false" ht="14.25" hidden="false" customHeight="true" outlineLevel="0" collapsed="false">
      <c r="D248" s="17"/>
      <c r="G248" s="17" t="str">
        <f aca="false">IF(TRIM(C248)="","",IFERROR(INDEX('Code Aliases'!$B:$B,MATCH(TRIM(C248),'Code Aliases'!$A:$A,0)),TRIM(C248)))</f>
        <v/>
      </c>
      <c r="H248" s="17" t="str">
        <f aca="false">IF(TRIM(B248)="","",UPPER(TRIM(B248)))</f>
        <v/>
      </c>
    </row>
    <row r="249" customFormat="false" ht="14.25" hidden="false" customHeight="true" outlineLevel="0" collapsed="false">
      <c r="D249" s="17"/>
      <c r="G249" s="17" t="str">
        <f aca="false">IF(TRIM(C249)="","",IFERROR(INDEX('Code Aliases'!$B:$B,MATCH(TRIM(C249),'Code Aliases'!$A:$A,0)),TRIM(C249)))</f>
        <v/>
      </c>
      <c r="H249" s="17" t="str">
        <f aca="false">IF(TRIM(B249)="","",UPPER(TRIM(B249)))</f>
        <v/>
      </c>
    </row>
    <row r="250" customFormat="false" ht="14.25" hidden="false" customHeight="true" outlineLevel="0" collapsed="false">
      <c r="D250" s="17"/>
      <c r="G250" s="17" t="str">
        <f aca="false">IF(TRIM(C250)="","",IFERROR(INDEX('Code Aliases'!$B:$B,MATCH(TRIM(C250),'Code Aliases'!$A:$A,0)),TRIM(C250)))</f>
        <v/>
      </c>
      <c r="H250" s="17" t="str">
        <f aca="false">IF(TRIM(B250)="","",UPPER(TRIM(B250)))</f>
        <v/>
      </c>
    </row>
    <row r="251" customFormat="false" ht="14.25" hidden="false" customHeight="true" outlineLevel="0" collapsed="false">
      <c r="D251" s="17"/>
      <c r="G251" s="17" t="str">
        <f aca="false">IF(TRIM(C251)="","",IFERROR(INDEX('Code Aliases'!$B:$B,MATCH(TRIM(C251),'Code Aliases'!$A:$A,0)),TRIM(C251)))</f>
        <v/>
      </c>
      <c r="H251" s="17" t="str">
        <f aca="false">IF(TRIM(B251)="","",UPPER(TRIM(B251)))</f>
        <v/>
      </c>
    </row>
    <row r="252" customFormat="false" ht="14.25" hidden="false" customHeight="true" outlineLevel="0" collapsed="false">
      <c r="D252" s="17"/>
      <c r="G252" s="17" t="str">
        <f aca="false">IF(TRIM(C252)="","",IFERROR(INDEX('Code Aliases'!$B:$B,MATCH(TRIM(C252),'Code Aliases'!$A:$A,0)),TRIM(C252)))</f>
        <v/>
      </c>
      <c r="H252" s="17" t="str">
        <f aca="false">IF(TRIM(B252)="","",UPPER(TRIM(B252)))</f>
        <v/>
      </c>
    </row>
    <row r="253" customFormat="false" ht="14.25" hidden="false" customHeight="true" outlineLevel="0" collapsed="false">
      <c r="D253" s="17"/>
      <c r="G253" s="17" t="str">
        <f aca="false">IF(TRIM(C253)="","",IFERROR(INDEX('Code Aliases'!$B:$B,MATCH(TRIM(C253),'Code Aliases'!$A:$A,0)),TRIM(C253)))</f>
        <v/>
      </c>
      <c r="H253" s="17" t="str">
        <f aca="false">IF(TRIM(B253)="","",UPPER(TRIM(B253)))</f>
        <v/>
      </c>
    </row>
    <row r="254" customFormat="false" ht="14.25" hidden="false" customHeight="true" outlineLevel="0" collapsed="false">
      <c r="D254" s="17"/>
      <c r="G254" s="17" t="str">
        <f aca="false">IF(TRIM(C254)="","",IFERROR(INDEX('Code Aliases'!$B:$B,MATCH(TRIM(C254),'Code Aliases'!$A:$A,0)),TRIM(C254)))</f>
        <v/>
      </c>
      <c r="H254" s="17" t="str">
        <f aca="false">IF(TRIM(B254)="","",UPPER(TRIM(B254)))</f>
        <v/>
      </c>
    </row>
    <row r="255" customFormat="false" ht="14.25" hidden="false" customHeight="true" outlineLevel="0" collapsed="false">
      <c r="D255" s="17"/>
      <c r="G255" s="17" t="str">
        <f aca="false">IF(TRIM(C255)="","",IFERROR(INDEX('Code Aliases'!$B:$B,MATCH(TRIM(C255),'Code Aliases'!$A:$A,0)),TRIM(C255)))</f>
        <v/>
      </c>
      <c r="H255" s="17" t="str">
        <f aca="false">IF(TRIM(B255)="","",UPPER(TRIM(B255)))</f>
        <v/>
      </c>
    </row>
    <row r="256" customFormat="false" ht="14.25" hidden="false" customHeight="true" outlineLevel="0" collapsed="false">
      <c r="D256" s="17"/>
      <c r="G256" s="17" t="str">
        <f aca="false">IF(TRIM(C256)="","",IFERROR(INDEX('Code Aliases'!$B:$B,MATCH(TRIM(C256),'Code Aliases'!$A:$A,0)),TRIM(C256)))</f>
        <v/>
      </c>
      <c r="H256" s="17" t="str">
        <f aca="false">IF(TRIM(B256)="","",UPPER(TRIM(B256)))</f>
        <v/>
      </c>
    </row>
    <row r="257" customFormat="false" ht="14.25" hidden="false" customHeight="true" outlineLevel="0" collapsed="false">
      <c r="D257" s="17"/>
      <c r="G257" s="17" t="str">
        <f aca="false">IF(TRIM(C257)="","",IFERROR(INDEX('Code Aliases'!$B:$B,MATCH(TRIM(C257),'Code Aliases'!$A:$A,0)),TRIM(C257)))</f>
        <v/>
      </c>
      <c r="H257" s="17" t="str">
        <f aca="false">IF(TRIM(B257)="","",UPPER(TRIM(B257)))</f>
        <v/>
      </c>
    </row>
    <row r="258" customFormat="false" ht="14.25" hidden="false" customHeight="true" outlineLevel="0" collapsed="false">
      <c r="D258" s="17"/>
      <c r="G258" s="17" t="str">
        <f aca="false">IF(TRIM(C258)="","",IFERROR(INDEX('Code Aliases'!$B:$B,MATCH(TRIM(C258),'Code Aliases'!$A:$A,0)),TRIM(C258)))</f>
        <v/>
      </c>
      <c r="H258" s="17" t="str">
        <f aca="false">IF(TRIM(B258)="","",UPPER(TRIM(B258)))</f>
        <v/>
      </c>
    </row>
    <row r="259" customFormat="false" ht="14.25" hidden="false" customHeight="true" outlineLevel="0" collapsed="false">
      <c r="D259" s="17"/>
      <c r="G259" s="17" t="str">
        <f aca="false">IF(TRIM(C259)="","",IFERROR(INDEX('Code Aliases'!$B:$B,MATCH(TRIM(C259),'Code Aliases'!$A:$A,0)),TRIM(C259)))</f>
        <v/>
      </c>
      <c r="H259" s="17" t="str">
        <f aca="false">IF(TRIM(B259)="","",UPPER(TRIM(B259)))</f>
        <v/>
      </c>
    </row>
    <row r="260" customFormat="false" ht="14.25" hidden="false" customHeight="true" outlineLevel="0" collapsed="false">
      <c r="D260" s="17"/>
      <c r="G260" s="17" t="str">
        <f aca="false">IF(TRIM(C260)="","",IFERROR(INDEX('Code Aliases'!$B:$B,MATCH(TRIM(C260),'Code Aliases'!$A:$A,0)),TRIM(C260)))</f>
        <v/>
      </c>
      <c r="H260" s="17" t="str">
        <f aca="false">IF(TRIM(B260)="","",UPPER(TRIM(B260)))</f>
        <v/>
      </c>
    </row>
    <row r="261" customFormat="false" ht="14.25" hidden="false" customHeight="true" outlineLevel="0" collapsed="false">
      <c r="D261" s="17"/>
      <c r="G261" s="17" t="str">
        <f aca="false">IF(TRIM(C261)="","",IFERROR(INDEX('Code Aliases'!$B:$B,MATCH(TRIM(C261),'Code Aliases'!$A:$A,0)),TRIM(C261)))</f>
        <v/>
      </c>
      <c r="H261" s="17" t="str">
        <f aca="false">IF(TRIM(B261)="","",UPPER(TRIM(B261)))</f>
        <v/>
      </c>
    </row>
    <row r="262" customFormat="false" ht="14.25" hidden="false" customHeight="true" outlineLevel="0" collapsed="false">
      <c r="D262" s="17"/>
      <c r="G262" s="17" t="str">
        <f aca="false">IF(TRIM(C262)="","",IFERROR(INDEX('Code Aliases'!$B:$B,MATCH(TRIM(C262),'Code Aliases'!$A:$A,0)),TRIM(C262)))</f>
        <v/>
      </c>
      <c r="H262" s="17" t="str">
        <f aca="false">IF(TRIM(B262)="","",UPPER(TRIM(B262)))</f>
        <v/>
      </c>
    </row>
    <row r="263" customFormat="false" ht="14.25" hidden="false" customHeight="true" outlineLevel="0" collapsed="false">
      <c r="D263" s="17"/>
      <c r="G263" s="17" t="str">
        <f aca="false">IF(TRIM(C263)="","",IFERROR(INDEX('Code Aliases'!$B:$B,MATCH(TRIM(C263),'Code Aliases'!$A:$A,0)),TRIM(C263)))</f>
        <v/>
      </c>
      <c r="H263" s="17" t="str">
        <f aca="false">IF(TRIM(B263)="","",UPPER(TRIM(B263)))</f>
        <v/>
      </c>
    </row>
    <row r="264" customFormat="false" ht="14.25" hidden="false" customHeight="true" outlineLevel="0" collapsed="false">
      <c r="D264" s="17"/>
      <c r="G264" s="17" t="str">
        <f aca="false">IF(TRIM(C264)="","",IFERROR(INDEX('Code Aliases'!$B:$B,MATCH(TRIM(C264),'Code Aliases'!$A:$A,0)),TRIM(C264)))</f>
        <v/>
      </c>
      <c r="H264" s="17" t="str">
        <f aca="false">IF(TRIM(B264)="","",UPPER(TRIM(B264)))</f>
        <v/>
      </c>
    </row>
    <row r="265" customFormat="false" ht="14.25" hidden="false" customHeight="true" outlineLevel="0" collapsed="false">
      <c r="D265" s="17"/>
      <c r="G265" s="17" t="str">
        <f aca="false">IF(TRIM(C265)="","",IFERROR(INDEX('Code Aliases'!$B:$B,MATCH(TRIM(C265),'Code Aliases'!$A:$A,0)),TRIM(C265)))</f>
        <v/>
      </c>
      <c r="H265" s="17" t="str">
        <f aca="false">IF(TRIM(B265)="","",UPPER(TRIM(B265)))</f>
        <v/>
      </c>
    </row>
    <row r="266" customFormat="false" ht="14.25" hidden="false" customHeight="true" outlineLevel="0" collapsed="false">
      <c r="D266" s="17"/>
      <c r="G266" s="17" t="str">
        <f aca="false">IF(TRIM(C266)="","",IFERROR(INDEX('Code Aliases'!$B:$B,MATCH(TRIM(C266),'Code Aliases'!$A:$A,0)),TRIM(C266)))</f>
        <v/>
      </c>
      <c r="H266" s="17" t="str">
        <f aca="false">IF(TRIM(B266)="","",UPPER(TRIM(B266)))</f>
        <v/>
      </c>
    </row>
    <row r="267" customFormat="false" ht="14.25" hidden="false" customHeight="true" outlineLevel="0" collapsed="false">
      <c r="D267" s="17"/>
      <c r="G267" s="17" t="str">
        <f aca="false">IF(TRIM(C267)="","",IFERROR(INDEX('Code Aliases'!$B:$B,MATCH(TRIM(C267),'Code Aliases'!$A:$A,0)),TRIM(C267)))</f>
        <v/>
      </c>
      <c r="H267" s="17" t="str">
        <f aca="false">IF(TRIM(B267)="","",UPPER(TRIM(B267)))</f>
        <v/>
      </c>
    </row>
    <row r="268" customFormat="false" ht="14.25" hidden="false" customHeight="true" outlineLevel="0" collapsed="false">
      <c r="D268" s="17"/>
      <c r="G268" s="17" t="str">
        <f aca="false">IF(TRIM(C268)="","",IFERROR(INDEX('Code Aliases'!$B:$B,MATCH(TRIM(C268),'Code Aliases'!$A:$A,0)),TRIM(C268)))</f>
        <v/>
      </c>
      <c r="H268" s="17" t="str">
        <f aca="false">IF(TRIM(B268)="","",UPPER(TRIM(B268)))</f>
        <v/>
      </c>
    </row>
    <row r="269" customFormat="false" ht="14.25" hidden="false" customHeight="true" outlineLevel="0" collapsed="false">
      <c r="D269" s="17"/>
      <c r="G269" s="17" t="str">
        <f aca="false">IF(TRIM(C269)="","",IFERROR(INDEX('Code Aliases'!$B:$B,MATCH(TRIM(C269),'Code Aliases'!$A:$A,0)),TRIM(C269)))</f>
        <v/>
      </c>
      <c r="H269" s="17" t="str">
        <f aca="false">IF(TRIM(B269)="","",UPPER(TRIM(B269)))</f>
        <v/>
      </c>
    </row>
    <row r="270" customFormat="false" ht="14.25" hidden="false" customHeight="true" outlineLevel="0" collapsed="false">
      <c r="D270" s="17"/>
      <c r="G270" s="17" t="str">
        <f aca="false">IF(TRIM(C270)="","",IFERROR(INDEX('Code Aliases'!$B:$B,MATCH(TRIM(C270),'Code Aliases'!$A:$A,0)),TRIM(C270)))</f>
        <v/>
      </c>
      <c r="H270" s="17" t="str">
        <f aca="false">IF(TRIM(B270)="","",UPPER(TRIM(B270)))</f>
        <v/>
      </c>
    </row>
    <row r="271" customFormat="false" ht="14.25" hidden="false" customHeight="true" outlineLevel="0" collapsed="false">
      <c r="D271" s="17"/>
      <c r="G271" s="17" t="str">
        <f aca="false">IF(TRIM(C271)="","",IFERROR(INDEX('Code Aliases'!$B:$B,MATCH(TRIM(C271),'Code Aliases'!$A:$A,0)),TRIM(C271)))</f>
        <v/>
      </c>
      <c r="H271" s="17" t="str">
        <f aca="false">IF(TRIM(B271)="","",UPPER(TRIM(B271)))</f>
        <v/>
      </c>
    </row>
    <row r="272" customFormat="false" ht="14.25" hidden="false" customHeight="true" outlineLevel="0" collapsed="false">
      <c r="D272" s="17"/>
      <c r="G272" s="17" t="str">
        <f aca="false">IF(TRIM(C272)="","",IFERROR(INDEX('Code Aliases'!$B:$B,MATCH(TRIM(C272),'Code Aliases'!$A:$A,0)),TRIM(C272)))</f>
        <v/>
      </c>
      <c r="H272" s="17" t="str">
        <f aca="false">IF(TRIM(B272)="","",UPPER(TRIM(B272)))</f>
        <v/>
      </c>
    </row>
    <row r="273" customFormat="false" ht="14.25" hidden="false" customHeight="true" outlineLevel="0" collapsed="false">
      <c r="D273" s="17"/>
      <c r="G273" s="17" t="str">
        <f aca="false">IF(TRIM(C273)="","",IFERROR(INDEX('Code Aliases'!$B:$B,MATCH(TRIM(C273),'Code Aliases'!$A:$A,0)),TRIM(C273)))</f>
        <v/>
      </c>
      <c r="H273" s="17" t="str">
        <f aca="false">IF(TRIM(B273)="","",UPPER(TRIM(B273)))</f>
        <v/>
      </c>
    </row>
    <row r="274" customFormat="false" ht="14.25" hidden="false" customHeight="true" outlineLevel="0" collapsed="false">
      <c r="D274" s="17"/>
      <c r="G274" s="17" t="str">
        <f aca="false">IF(TRIM(C274)="","",IFERROR(INDEX('Code Aliases'!$B:$B,MATCH(TRIM(C274),'Code Aliases'!$A:$A,0)),TRIM(C274)))</f>
        <v/>
      </c>
      <c r="H274" s="17" t="str">
        <f aca="false">IF(TRIM(B274)="","",UPPER(TRIM(B274)))</f>
        <v/>
      </c>
    </row>
    <row r="275" customFormat="false" ht="14.25" hidden="false" customHeight="true" outlineLevel="0" collapsed="false">
      <c r="D275" s="17"/>
      <c r="G275" s="17" t="str">
        <f aca="false">IF(TRIM(C275)="","",IFERROR(INDEX('Code Aliases'!$B:$B,MATCH(TRIM(C275),'Code Aliases'!$A:$A,0)),TRIM(C275)))</f>
        <v/>
      </c>
      <c r="H275" s="17" t="str">
        <f aca="false">IF(TRIM(B275)="","",UPPER(TRIM(B275)))</f>
        <v/>
      </c>
    </row>
    <row r="276" customFormat="false" ht="14.25" hidden="false" customHeight="true" outlineLevel="0" collapsed="false">
      <c r="D276" s="17"/>
      <c r="G276" s="17" t="str">
        <f aca="false">IF(TRIM(C276)="","",IFERROR(INDEX('Code Aliases'!$B:$B,MATCH(TRIM(C276),'Code Aliases'!$A:$A,0)),TRIM(C276)))</f>
        <v/>
      </c>
      <c r="H276" s="17" t="str">
        <f aca="false">IF(TRIM(B276)="","",UPPER(TRIM(B276)))</f>
        <v/>
      </c>
    </row>
    <row r="277" customFormat="false" ht="14.25" hidden="false" customHeight="true" outlineLevel="0" collapsed="false">
      <c r="D277" s="17"/>
      <c r="G277" s="17" t="str">
        <f aca="false">IF(TRIM(C277)="","",IFERROR(INDEX('Code Aliases'!$B:$B,MATCH(TRIM(C277),'Code Aliases'!$A:$A,0)),TRIM(C277)))</f>
        <v/>
      </c>
      <c r="H277" s="17" t="str">
        <f aca="false">IF(TRIM(B277)="","",UPPER(TRIM(B277)))</f>
        <v/>
      </c>
    </row>
    <row r="278" customFormat="false" ht="14.25" hidden="false" customHeight="true" outlineLevel="0" collapsed="false">
      <c r="D278" s="17"/>
      <c r="G278" s="17" t="str">
        <f aca="false">IF(TRIM(C278)="","",IFERROR(INDEX('Code Aliases'!$B:$B,MATCH(TRIM(C278),'Code Aliases'!$A:$A,0)),TRIM(C278)))</f>
        <v/>
      </c>
      <c r="H278" s="17" t="str">
        <f aca="false">IF(TRIM(B278)="","",UPPER(TRIM(B278)))</f>
        <v/>
      </c>
    </row>
    <row r="279" customFormat="false" ht="14.25" hidden="false" customHeight="true" outlineLevel="0" collapsed="false">
      <c r="D279" s="17"/>
      <c r="G279" s="17" t="str">
        <f aca="false">IF(TRIM(C279)="","",IFERROR(INDEX('Code Aliases'!$B:$B,MATCH(TRIM(C279),'Code Aliases'!$A:$A,0)),TRIM(C279)))</f>
        <v/>
      </c>
      <c r="H279" s="17" t="str">
        <f aca="false">IF(TRIM(B279)="","",UPPER(TRIM(B279)))</f>
        <v/>
      </c>
    </row>
    <row r="280" customFormat="false" ht="14.25" hidden="false" customHeight="true" outlineLevel="0" collapsed="false">
      <c r="D280" s="17"/>
      <c r="G280" s="17" t="str">
        <f aca="false">IF(TRIM(C280)="","",IFERROR(INDEX('Code Aliases'!$B:$B,MATCH(TRIM(C280),'Code Aliases'!$A:$A,0)),TRIM(C280)))</f>
        <v/>
      </c>
      <c r="H280" s="17" t="str">
        <f aca="false">IF(TRIM(B280)="","",UPPER(TRIM(B280)))</f>
        <v/>
      </c>
    </row>
    <row r="281" customFormat="false" ht="14.25" hidden="false" customHeight="true" outlineLevel="0" collapsed="false">
      <c r="D281" s="17"/>
      <c r="G281" s="17" t="str">
        <f aca="false">IF(TRIM(C281)="","",IFERROR(INDEX('Code Aliases'!$B:$B,MATCH(TRIM(C281),'Code Aliases'!$A:$A,0)),TRIM(C281)))</f>
        <v/>
      </c>
      <c r="H281" s="17" t="str">
        <f aca="false">IF(TRIM(B281)="","",UPPER(TRIM(B281)))</f>
        <v/>
      </c>
    </row>
    <row r="282" customFormat="false" ht="14.25" hidden="false" customHeight="true" outlineLevel="0" collapsed="false">
      <c r="D282" s="17"/>
      <c r="G282" s="17" t="str">
        <f aca="false">IF(TRIM(C282)="","",IFERROR(INDEX('Code Aliases'!$B:$B,MATCH(TRIM(C282),'Code Aliases'!$A:$A,0)),TRIM(C282)))</f>
        <v/>
      </c>
      <c r="H282" s="17" t="str">
        <f aca="false">IF(TRIM(B282)="","",UPPER(TRIM(B282)))</f>
        <v/>
      </c>
    </row>
    <row r="283" customFormat="false" ht="14.25" hidden="false" customHeight="true" outlineLevel="0" collapsed="false">
      <c r="D283" s="17"/>
      <c r="G283" s="17" t="str">
        <f aca="false">IF(TRIM(C283)="","",IFERROR(INDEX('Code Aliases'!$B:$B,MATCH(TRIM(C283),'Code Aliases'!$A:$A,0)),TRIM(C283)))</f>
        <v/>
      </c>
      <c r="H283" s="17" t="str">
        <f aca="false">IF(TRIM(B283)="","",UPPER(TRIM(B283)))</f>
        <v/>
      </c>
    </row>
    <row r="284" customFormat="false" ht="14.25" hidden="false" customHeight="true" outlineLevel="0" collapsed="false">
      <c r="D284" s="17"/>
      <c r="G284" s="17" t="str">
        <f aca="false">IF(TRIM(C284)="","",IFERROR(INDEX('Code Aliases'!$B:$B,MATCH(TRIM(C284),'Code Aliases'!$A:$A,0)),TRIM(C284)))</f>
        <v/>
      </c>
      <c r="H284" s="17" t="str">
        <f aca="false">IF(TRIM(B284)="","",UPPER(TRIM(B284)))</f>
        <v/>
      </c>
    </row>
    <row r="285" customFormat="false" ht="14.25" hidden="false" customHeight="true" outlineLevel="0" collapsed="false">
      <c r="D285" s="17"/>
      <c r="G285" s="17" t="str">
        <f aca="false">IF(TRIM(C285)="","",IFERROR(INDEX('Code Aliases'!$B:$B,MATCH(TRIM(C285),'Code Aliases'!$A:$A,0)),TRIM(C285)))</f>
        <v/>
      </c>
      <c r="H285" s="17" t="str">
        <f aca="false">IF(TRIM(B285)="","",UPPER(TRIM(B285)))</f>
        <v/>
      </c>
    </row>
    <row r="286" customFormat="false" ht="14.25" hidden="false" customHeight="true" outlineLevel="0" collapsed="false">
      <c r="D286" s="17"/>
      <c r="G286" s="17" t="str">
        <f aca="false">IF(TRIM(C286)="","",IFERROR(INDEX('Code Aliases'!$B:$B,MATCH(TRIM(C286),'Code Aliases'!$A:$A,0)),TRIM(C286)))</f>
        <v/>
      </c>
      <c r="H286" s="17" t="str">
        <f aca="false">IF(TRIM(B286)="","",UPPER(TRIM(B286)))</f>
        <v/>
      </c>
    </row>
    <row r="287" customFormat="false" ht="14.25" hidden="false" customHeight="true" outlineLevel="0" collapsed="false">
      <c r="D287" s="17"/>
      <c r="G287" s="17" t="str">
        <f aca="false">IF(TRIM(C287)="","",IFERROR(INDEX('Code Aliases'!$B:$B,MATCH(TRIM(C287),'Code Aliases'!$A:$A,0)),TRIM(C287)))</f>
        <v/>
      </c>
      <c r="H287" s="17" t="str">
        <f aca="false">IF(TRIM(B287)="","",UPPER(TRIM(B287)))</f>
        <v/>
      </c>
    </row>
    <row r="288" customFormat="false" ht="14.25" hidden="false" customHeight="true" outlineLevel="0" collapsed="false">
      <c r="D288" s="17"/>
      <c r="G288" s="17" t="str">
        <f aca="false">IF(TRIM(C288)="","",IFERROR(INDEX('Code Aliases'!$B:$B,MATCH(TRIM(C288),'Code Aliases'!$A:$A,0)),TRIM(C288)))</f>
        <v/>
      </c>
      <c r="H288" s="17" t="str">
        <f aca="false">IF(TRIM(B288)="","",UPPER(TRIM(B288)))</f>
        <v/>
      </c>
    </row>
    <row r="289" customFormat="false" ht="14.25" hidden="false" customHeight="true" outlineLevel="0" collapsed="false">
      <c r="D289" s="17"/>
      <c r="G289" s="17" t="str">
        <f aca="false">IF(TRIM(C289)="","",IFERROR(INDEX('Code Aliases'!$B:$B,MATCH(TRIM(C289),'Code Aliases'!$A:$A,0)),TRIM(C289)))</f>
        <v/>
      </c>
      <c r="H289" s="17" t="str">
        <f aca="false">IF(TRIM(B289)="","",UPPER(TRIM(B289)))</f>
        <v/>
      </c>
    </row>
    <row r="290" customFormat="false" ht="14.25" hidden="false" customHeight="true" outlineLevel="0" collapsed="false">
      <c r="D290" s="17"/>
      <c r="G290" s="17" t="str">
        <f aca="false">IF(TRIM(C290)="","",IFERROR(INDEX('Code Aliases'!$B:$B,MATCH(TRIM(C290),'Code Aliases'!$A:$A,0)),TRIM(C290)))</f>
        <v/>
      </c>
      <c r="H290" s="17" t="str">
        <f aca="false">IF(TRIM(B290)="","",UPPER(TRIM(B290)))</f>
        <v/>
      </c>
    </row>
    <row r="291" customFormat="false" ht="14.25" hidden="false" customHeight="true" outlineLevel="0" collapsed="false">
      <c r="D291" s="17"/>
      <c r="G291" s="17" t="str">
        <f aca="false">IF(TRIM(C291)="","",IFERROR(INDEX('Code Aliases'!$B:$B,MATCH(TRIM(C291),'Code Aliases'!$A:$A,0)),TRIM(C291)))</f>
        <v/>
      </c>
      <c r="H291" s="17" t="str">
        <f aca="false">IF(TRIM(B291)="","",UPPER(TRIM(B291)))</f>
        <v/>
      </c>
    </row>
    <row r="292" customFormat="false" ht="14.25" hidden="false" customHeight="true" outlineLevel="0" collapsed="false">
      <c r="D292" s="17"/>
      <c r="G292" s="17" t="str">
        <f aca="false">IF(TRIM(C292)="","",IFERROR(INDEX('Code Aliases'!$B:$B,MATCH(TRIM(C292),'Code Aliases'!$A:$A,0)),TRIM(C292)))</f>
        <v/>
      </c>
      <c r="H292" s="17" t="str">
        <f aca="false">IF(TRIM(B292)="","",UPPER(TRIM(B292)))</f>
        <v/>
      </c>
    </row>
    <row r="293" customFormat="false" ht="14.25" hidden="false" customHeight="true" outlineLevel="0" collapsed="false">
      <c r="D293" s="17"/>
      <c r="G293" s="17" t="str">
        <f aca="false">IF(TRIM(C293)="","",IFERROR(INDEX('Code Aliases'!$B:$B,MATCH(TRIM(C293),'Code Aliases'!$A:$A,0)),TRIM(C293)))</f>
        <v/>
      </c>
      <c r="H293" s="17" t="str">
        <f aca="false">IF(TRIM(B293)="","",UPPER(TRIM(B293)))</f>
        <v/>
      </c>
    </row>
    <row r="294" customFormat="false" ht="14.25" hidden="false" customHeight="true" outlineLevel="0" collapsed="false">
      <c r="D294" s="17"/>
      <c r="G294" s="17" t="str">
        <f aca="false">IF(TRIM(C294)="","",IFERROR(INDEX('Code Aliases'!$B:$B,MATCH(TRIM(C294),'Code Aliases'!$A:$A,0)),TRIM(C294)))</f>
        <v/>
      </c>
      <c r="H294" s="17" t="str">
        <f aca="false">IF(TRIM(B294)="","",UPPER(TRIM(B294)))</f>
        <v/>
      </c>
    </row>
    <row r="295" customFormat="false" ht="14.25" hidden="false" customHeight="true" outlineLevel="0" collapsed="false">
      <c r="D295" s="17"/>
      <c r="G295" s="17" t="str">
        <f aca="false">IF(TRIM(C295)="","",IFERROR(INDEX('Code Aliases'!$B:$B,MATCH(TRIM(C295),'Code Aliases'!$A:$A,0)),TRIM(C295)))</f>
        <v/>
      </c>
      <c r="H295" s="17" t="str">
        <f aca="false">IF(TRIM(B295)="","",UPPER(TRIM(B295)))</f>
        <v/>
      </c>
    </row>
    <row r="296" customFormat="false" ht="14.25" hidden="false" customHeight="true" outlineLevel="0" collapsed="false">
      <c r="D296" s="17"/>
      <c r="G296" s="17" t="str">
        <f aca="false">IF(TRIM(C296)="","",IFERROR(INDEX('Code Aliases'!$B:$B,MATCH(TRIM(C296),'Code Aliases'!$A:$A,0)),TRIM(C296)))</f>
        <v/>
      </c>
      <c r="H296" s="17" t="str">
        <f aca="false">IF(TRIM(B296)="","",UPPER(TRIM(B296)))</f>
        <v/>
      </c>
    </row>
    <row r="297" customFormat="false" ht="14.25" hidden="false" customHeight="true" outlineLevel="0" collapsed="false">
      <c r="D297" s="17"/>
      <c r="G297" s="17" t="str">
        <f aca="false">IF(TRIM(C297)="","",IFERROR(INDEX('Code Aliases'!$B:$B,MATCH(TRIM(C297),'Code Aliases'!$A:$A,0)),TRIM(C297)))</f>
        <v/>
      </c>
      <c r="H297" s="17" t="str">
        <f aca="false">IF(TRIM(B297)="","",UPPER(TRIM(B297)))</f>
        <v/>
      </c>
    </row>
    <row r="298" customFormat="false" ht="14.25" hidden="false" customHeight="true" outlineLevel="0" collapsed="false">
      <c r="D298" s="17"/>
      <c r="G298" s="17" t="str">
        <f aca="false">IF(TRIM(C298)="","",IFERROR(INDEX('Code Aliases'!$B:$B,MATCH(TRIM(C298),'Code Aliases'!$A:$A,0)),TRIM(C298)))</f>
        <v/>
      </c>
      <c r="H298" s="17" t="str">
        <f aca="false">IF(TRIM(B298)="","",UPPER(TRIM(B298)))</f>
        <v/>
      </c>
    </row>
    <row r="299" customFormat="false" ht="14.25" hidden="false" customHeight="true" outlineLevel="0" collapsed="false">
      <c r="D299" s="17"/>
      <c r="G299" s="17" t="str">
        <f aca="false">IF(TRIM(C299)="","",IFERROR(INDEX('Code Aliases'!$B:$B,MATCH(TRIM(C299),'Code Aliases'!$A:$A,0)),TRIM(C299)))</f>
        <v/>
      </c>
      <c r="H299" s="17" t="str">
        <f aca="false">IF(TRIM(B299)="","",UPPER(TRIM(B299)))</f>
        <v/>
      </c>
    </row>
    <row r="300" customFormat="false" ht="14.25" hidden="false" customHeight="true" outlineLevel="0" collapsed="false">
      <c r="D300" s="17"/>
      <c r="G300" s="17" t="str">
        <f aca="false">IF(TRIM(C300)="","",IFERROR(INDEX('Code Aliases'!$B:$B,MATCH(TRIM(C300),'Code Aliases'!$A:$A,0)),TRIM(C300)))</f>
        <v/>
      </c>
      <c r="H300" s="17" t="str">
        <f aca="false">IF(TRIM(B300)="","",UPPER(TRIM(B300)))</f>
        <v/>
      </c>
    </row>
    <row r="301" customFormat="false" ht="14.25" hidden="false" customHeight="true" outlineLevel="0" collapsed="false">
      <c r="D301" s="17"/>
      <c r="G301" s="17" t="str">
        <f aca="false">IF(TRIM(C301)="","",IFERROR(INDEX('Code Aliases'!$B:$B,MATCH(TRIM(C301),'Code Aliases'!$A:$A,0)),TRIM(C301)))</f>
        <v/>
      </c>
      <c r="H301" s="17" t="str">
        <f aca="false">IF(TRIM(B301)="","",UPPER(TRIM(B301)))</f>
        <v/>
      </c>
    </row>
    <row r="302" customFormat="false" ht="14.25" hidden="false" customHeight="true" outlineLevel="0" collapsed="false">
      <c r="D302" s="17"/>
      <c r="G302" s="17" t="str">
        <f aca="false">IF(TRIM(C302)="","",IFERROR(INDEX('Code Aliases'!$B:$B,MATCH(TRIM(C302),'Code Aliases'!$A:$A,0)),TRIM(C302)))</f>
        <v/>
      </c>
      <c r="H302" s="17" t="str">
        <f aca="false">IF(TRIM(B302)="","",UPPER(TRIM(B302)))</f>
        <v/>
      </c>
    </row>
    <row r="303" customFormat="false" ht="14.25" hidden="false" customHeight="true" outlineLevel="0" collapsed="false">
      <c r="D303" s="17"/>
      <c r="G303" s="17" t="str">
        <f aca="false">IF(TRIM(C303)="","",IFERROR(INDEX('Code Aliases'!$B:$B,MATCH(TRIM(C303),'Code Aliases'!$A:$A,0)),TRIM(C303)))</f>
        <v/>
      </c>
      <c r="H303" s="17" t="str">
        <f aca="false">IF(TRIM(B303)="","",UPPER(TRIM(B303)))</f>
        <v/>
      </c>
    </row>
    <row r="304" customFormat="false" ht="14.25" hidden="false" customHeight="true" outlineLevel="0" collapsed="false">
      <c r="D304" s="17"/>
      <c r="G304" s="17" t="str">
        <f aca="false">IF(TRIM(C304)="","",IFERROR(INDEX('Code Aliases'!$B:$B,MATCH(TRIM(C304),'Code Aliases'!$A:$A,0)),TRIM(C304)))</f>
        <v/>
      </c>
      <c r="H304" s="17" t="str">
        <f aca="false">IF(TRIM(B304)="","",UPPER(TRIM(B304)))</f>
        <v/>
      </c>
    </row>
    <row r="305" customFormat="false" ht="14.25" hidden="false" customHeight="true" outlineLevel="0" collapsed="false">
      <c r="D305" s="17"/>
      <c r="G305" s="17" t="str">
        <f aca="false">IF(TRIM(C305)="","",IFERROR(INDEX('Code Aliases'!$B:$B,MATCH(TRIM(C305),'Code Aliases'!$A:$A,0)),TRIM(C305)))</f>
        <v/>
      </c>
      <c r="H305" s="17" t="str">
        <f aca="false">IF(TRIM(B305)="","",UPPER(TRIM(B305)))</f>
        <v/>
      </c>
    </row>
    <row r="306" customFormat="false" ht="14.25" hidden="false" customHeight="true" outlineLevel="0" collapsed="false">
      <c r="D306" s="17"/>
      <c r="G306" s="17" t="str">
        <f aca="false">IF(TRIM(C306)="","",IFERROR(INDEX('Code Aliases'!$B:$B,MATCH(TRIM(C306),'Code Aliases'!$A:$A,0)),TRIM(C306)))</f>
        <v/>
      </c>
      <c r="H306" s="17" t="str">
        <f aca="false">IF(TRIM(B306)="","",UPPER(TRIM(B306)))</f>
        <v/>
      </c>
    </row>
    <row r="307" customFormat="false" ht="14.25" hidden="false" customHeight="true" outlineLevel="0" collapsed="false">
      <c r="D307" s="17"/>
      <c r="G307" s="17" t="str">
        <f aca="false">IF(TRIM(C307)="","",IFERROR(INDEX('Code Aliases'!$B:$B,MATCH(TRIM(C307),'Code Aliases'!$A:$A,0)),TRIM(C307)))</f>
        <v/>
      </c>
      <c r="H307" s="17" t="str">
        <f aca="false">IF(TRIM(B307)="","",UPPER(TRIM(B307)))</f>
        <v/>
      </c>
    </row>
    <row r="308" customFormat="false" ht="14.25" hidden="false" customHeight="true" outlineLevel="0" collapsed="false">
      <c r="D308" s="17"/>
      <c r="G308" s="17" t="str">
        <f aca="false">IF(TRIM(C308)="","",IFERROR(INDEX('Code Aliases'!$B:$B,MATCH(TRIM(C308),'Code Aliases'!$A:$A,0)),TRIM(C308)))</f>
        <v/>
      </c>
      <c r="H308" s="17" t="str">
        <f aca="false">IF(TRIM(B308)="","",UPPER(TRIM(B308)))</f>
        <v/>
      </c>
    </row>
    <row r="309" customFormat="false" ht="14.25" hidden="false" customHeight="true" outlineLevel="0" collapsed="false">
      <c r="D309" s="17"/>
      <c r="G309" s="17" t="str">
        <f aca="false">IF(TRIM(C309)="","",IFERROR(INDEX('Code Aliases'!$B:$B,MATCH(TRIM(C309),'Code Aliases'!$A:$A,0)),TRIM(C309)))</f>
        <v/>
      </c>
      <c r="H309" s="17" t="str">
        <f aca="false">IF(TRIM(B309)="","",UPPER(TRIM(B309)))</f>
        <v/>
      </c>
    </row>
    <row r="310" customFormat="false" ht="14.25" hidden="false" customHeight="true" outlineLevel="0" collapsed="false">
      <c r="D310" s="17"/>
      <c r="G310" s="17" t="str">
        <f aca="false">IF(TRIM(C310)="","",IFERROR(INDEX('Code Aliases'!$B:$B,MATCH(TRIM(C310),'Code Aliases'!$A:$A,0)),TRIM(C310)))</f>
        <v/>
      </c>
      <c r="H310" s="17" t="str">
        <f aca="false">IF(TRIM(B310)="","",UPPER(TRIM(B310)))</f>
        <v/>
      </c>
    </row>
    <row r="311" customFormat="false" ht="14.25" hidden="false" customHeight="true" outlineLevel="0" collapsed="false">
      <c r="D311" s="17"/>
      <c r="G311" s="17" t="str">
        <f aca="false">IF(TRIM(C311)="","",IFERROR(INDEX('Code Aliases'!$B:$B,MATCH(TRIM(C311),'Code Aliases'!$A:$A,0)),TRIM(C311)))</f>
        <v/>
      </c>
      <c r="H311" s="17" t="str">
        <f aca="false">IF(TRIM(B311)="","",UPPER(TRIM(B311)))</f>
        <v/>
      </c>
    </row>
    <row r="312" customFormat="false" ht="14.25" hidden="false" customHeight="true" outlineLevel="0" collapsed="false">
      <c r="D312" s="17"/>
      <c r="G312" s="17" t="str">
        <f aca="false">IF(TRIM(C312)="","",IFERROR(INDEX('Code Aliases'!$B:$B,MATCH(TRIM(C312),'Code Aliases'!$A:$A,0)),TRIM(C312)))</f>
        <v/>
      </c>
      <c r="H312" s="17" t="str">
        <f aca="false">IF(TRIM(B312)="","",UPPER(TRIM(B312)))</f>
        <v/>
      </c>
    </row>
    <row r="313" customFormat="false" ht="14.25" hidden="false" customHeight="true" outlineLevel="0" collapsed="false">
      <c r="D313" s="17"/>
      <c r="G313" s="17" t="str">
        <f aca="false">IF(TRIM(C313)="","",IFERROR(INDEX('Code Aliases'!$B:$B,MATCH(TRIM(C313),'Code Aliases'!$A:$A,0)),TRIM(C313)))</f>
        <v/>
      </c>
      <c r="H313" s="17" t="str">
        <f aca="false">IF(TRIM(B313)="","",UPPER(TRIM(B313)))</f>
        <v/>
      </c>
    </row>
    <row r="314" customFormat="false" ht="14.25" hidden="false" customHeight="true" outlineLevel="0" collapsed="false">
      <c r="D314" s="17"/>
      <c r="G314" s="17" t="str">
        <f aca="false">IF(TRIM(C314)="","",IFERROR(INDEX('Code Aliases'!$B:$B,MATCH(TRIM(C314),'Code Aliases'!$A:$A,0)),TRIM(C314)))</f>
        <v/>
      </c>
      <c r="H314" s="17" t="str">
        <f aca="false">IF(TRIM(B314)="","",UPPER(TRIM(B314)))</f>
        <v/>
      </c>
    </row>
    <row r="315" customFormat="false" ht="14.25" hidden="false" customHeight="true" outlineLevel="0" collapsed="false">
      <c r="D315" s="17"/>
      <c r="G315" s="17" t="str">
        <f aca="false">IF(TRIM(C315)="","",IFERROR(INDEX('Code Aliases'!$B:$B,MATCH(TRIM(C315),'Code Aliases'!$A:$A,0)),TRIM(C315)))</f>
        <v/>
      </c>
      <c r="H315" s="17" t="str">
        <f aca="false">IF(TRIM(B315)="","",UPPER(TRIM(B315)))</f>
        <v/>
      </c>
    </row>
    <row r="316" customFormat="false" ht="14.25" hidden="false" customHeight="true" outlineLevel="0" collapsed="false">
      <c r="D316" s="17"/>
      <c r="G316" s="17" t="str">
        <f aca="false">IF(TRIM(C316)="","",IFERROR(INDEX('Code Aliases'!$B:$B,MATCH(TRIM(C316),'Code Aliases'!$A:$A,0)),TRIM(C316)))</f>
        <v/>
      </c>
      <c r="H316" s="17" t="str">
        <f aca="false">IF(TRIM(B316)="","",UPPER(TRIM(B316)))</f>
        <v/>
      </c>
    </row>
    <row r="317" customFormat="false" ht="14.25" hidden="false" customHeight="true" outlineLevel="0" collapsed="false">
      <c r="D317" s="17"/>
      <c r="G317" s="17" t="str">
        <f aca="false">IF(TRIM(C317)="","",IFERROR(INDEX('Code Aliases'!$B:$B,MATCH(TRIM(C317),'Code Aliases'!$A:$A,0)),TRIM(C317)))</f>
        <v/>
      </c>
      <c r="H317" s="17" t="str">
        <f aca="false">IF(TRIM(B317)="","",UPPER(TRIM(B317)))</f>
        <v/>
      </c>
    </row>
    <row r="318" customFormat="false" ht="14.25" hidden="false" customHeight="true" outlineLevel="0" collapsed="false">
      <c r="D318" s="17"/>
      <c r="G318" s="17" t="str">
        <f aca="false">IF(TRIM(C318)="","",IFERROR(INDEX('Code Aliases'!$B:$B,MATCH(TRIM(C318),'Code Aliases'!$A:$A,0)),TRIM(C318)))</f>
        <v/>
      </c>
      <c r="H318" s="17" t="str">
        <f aca="false">IF(TRIM(B318)="","",UPPER(TRIM(B318)))</f>
        <v/>
      </c>
    </row>
    <row r="319" customFormat="false" ht="14.25" hidden="false" customHeight="true" outlineLevel="0" collapsed="false">
      <c r="D319" s="17"/>
      <c r="G319" s="17" t="str">
        <f aca="false">IF(TRIM(C319)="","",IFERROR(INDEX('Code Aliases'!$B:$B,MATCH(TRIM(C319),'Code Aliases'!$A:$A,0)),TRIM(C319)))</f>
        <v/>
      </c>
      <c r="H319" s="17" t="str">
        <f aca="false">IF(TRIM(B319)="","",UPPER(TRIM(B319)))</f>
        <v/>
      </c>
    </row>
    <row r="320" customFormat="false" ht="14.25" hidden="false" customHeight="true" outlineLevel="0" collapsed="false">
      <c r="D320" s="17"/>
      <c r="G320" s="17" t="str">
        <f aca="false">IF(TRIM(C320)="","",IFERROR(INDEX('Code Aliases'!$B:$B,MATCH(TRIM(C320),'Code Aliases'!$A:$A,0)),TRIM(C320)))</f>
        <v/>
      </c>
      <c r="H320" s="17" t="str">
        <f aca="false">IF(TRIM(B320)="","",UPPER(TRIM(B320)))</f>
        <v/>
      </c>
    </row>
    <row r="321" customFormat="false" ht="14.25" hidden="false" customHeight="true" outlineLevel="0" collapsed="false">
      <c r="D321" s="17"/>
      <c r="G321" s="17" t="str">
        <f aca="false">IF(TRIM(C321)="","",IFERROR(INDEX('Code Aliases'!$B:$B,MATCH(TRIM(C321),'Code Aliases'!$A:$A,0)),TRIM(C321)))</f>
        <v/>
      </c>
      <c r="H321" s="17" t="str">
        <f aca="false">IF(TRIM(B321)="","",UPPER(TRIM(B321)))</f>
        <v/>
      </c>
    </row>
    <row r="322" customFormat="false" ht="14.25" hidden="false" customHeight="true" outlineLevel="0" collapsed="false">
      <c r="D322" s="17"/>
      <c r="G322" s="17" t="str">
        <f aca="false">IF(TRIM(C322)="","",IFERROR(INDEX('Code Aliases'!$B:$B,MATCH(TRIM(C322),'Code Aliases'!$A:$A,0)),TRIM(C322)))</f>
        <v/>
      </c>
      <c r="H322" s="17" t="str">
        <f aca="false">IF(TRIM(B322)="","",UPPER(TRIM(B322)))</f>
        <v/>
      </c>
    </row>
    <row r="323" customFormat="false" ht="14.25" hidden="false" customHeight="true" outlineLevel="0" collapsed="false">
      <c r="D323" s="17"/>
      <c r="G323" s="17" t="str">
        <f aca="false">IF(TRIM(C323)="","",IFERROR(INDEX('Code Aliases'!$B:$B,MATCH(TRIM(C323),'Code Aliases'!$A:$A,0)),TRIM(C323)))</f>
        <v/>
      </c>
      <c r="H323" s="17" t="str">
        <f aca="false">IF(TRIM(B323)="","",UPPER(TRIM(B323)))</f>
        <v/>
      </c>
    </row>
    <row r="324" customFormat="false" ht="14.25" hidden="false" customHeight="true" outlineLevel="0" collapsed="false">
      <c r="D324" s="17"/>
      <c r="G324" s="17" t="str">
        <f aca="false">IF(TRIM(C324)="","",IFERROR(INDEX('Code Aliases'!$B:$B,MATCH(TRIM(C324),'Code Aliases'!$A:$A,0)),TRIM(C324)))</f>
        <v/>
      </c>
      <c r="H324" s="17" t="str">
        <f aca="false">IF(TRIM(B324)="","",UPPER(TRIM(B324)))</f>
        <v/>
      </c>
    </row>
    <row r="325" customFormat="false" ht="14.25" hidden="false" customHeight="true" outlineLevel="0" collapsed="false">
      <c r="D325" s="17"/>
      <c r="G325" s="17" t="str">
        <f aca="false">IF(TRIM(C325)="","",IFERROR(INDEX('Code Aliases'!$B:$B,MATCH(TRIM(C325),'Code Aliases'!$A:$A,0)),TRIM(C325)))</f>
        <v/>
      </c>
      <c r="H325" s="17" t="str">
        <f aca="false">IF(TRIM(B325)="","",UPPER(TRIM(B325)))</f>
        <v/>
      </c>
    </row>
    <row r="326" customFormat="false" ht="14.25" hidden="false" customHeight="true" outlineLevel="0" collapsed="false">
      <c r="D326" s="17"/>
      <c r="G326" s="17" t="str">
        <f aca="false">IF(TRIM(C326)="","",IFERROR(INDEX('Code Aliases'!$B:$B,MATCH(TRIM(C326),'Code Aliases'!$A:$A,0)),TRIM(C326)))</f>
        <v/>
      </c>
      <c r="H326" s="17" t="str">
        <f aca="false">IF(TRIM(B326)="","",UPPER(TRIM(B326)))</f>
        <v/>
      </c>
    </row>
    <row r="327" customFormat="false" ht="14.25" hidden="false" customHeight="true" outlineLevel="0" collapsed="false">
      <c r="D327" s="17"/>
      <c r="G327" s="17" t="str">
        <f aca="false">IF(TRIM(C327)="","",IFERROR(INDEX('Code Aliases'!$B:$B,MATCH(TRIM(C327),'Code Aliases'!$A:$A,0)),TRIM(C327)))</f>
        <v/>
      </c>
      <c r="H327" s="17" t="str">
        <f aca="false">IF(TRIM(B327)="","",UPPER(TRIM(B327)))</f>
        <v/>
      </c>
    </row>
    <row r="328" customFormat="false" ht="14.25" hidden="false" customHeight="true" outlineLevel="0" collapsed="false">
      <c r="D328" s="17"/>
      <c r="G328" s="17" t="str">
        <f aca="false">IF(TRIM(C328)="","",IFERROR(INDEX('Code Aliases'!$B:$B,MATCH(TRIM(C328),'Code Aliases'!$A:$A,0)),TRIM(C328)))</f>
        <v/>
      </c>
      <c r="H328" s="17" t="str">
        <f aca="false">IF(TRIM(B328)="","",UPPER(TRIM(B328)))</f>
        <v/>
      </c>
    </row>
    <row r="329" customFormat="false" ht="14.25" hidden="false" customHeight="true" outlineLevel="0" collapsed="false">
      <c r="D329" s="17"/>
      <c r="G329" s="17" t="str">
        <f aca="false">IF(TRIM(C329)="","",IFERROR(INDEX('Code Aliases'!$B:$B,MATCH(TRIM(C329),'Code Aliases'!$A:$A,0)),TRIM(C329)))</f>
        <v/>
      </c>
      <c r="H329" s="17" t="str">
        <f aca="false">IF(TRIM(B329)="","",UPPER(TRIM(B329)))</f>
        <v/>
      </c>
    </row>
    <row r="330" customFormat="false" ht="14.25" hidden="false" customHeight="true" outlineLevel="0" collapsed="false">
      <c r="D330" s="17"/>
      <c r="G330" s="17" t="str">
        <f aca="false">IF(TRIM(C330)="","",IFERROR(INDEX('Code Aliases'!$B:$B,MATCH(TRIM(C330),'Code Aliases'!$A:$A,0)),TRIM(C330)))</f>
        <v/>
      </c>
      <c r="H330" s="17" t="str">
        <f aca="false">IF(TRIM(B330)="","",UPPER(TRIM(B330)))</f>
        <v/>
      </c>
    </row>
    <row r="331" customFormat="false" ht="14.25" hidden="false" customHeight="true" outlineLevel="0" collapsed="false">
      <c r="D331" s="17"/>
      <c r="G331" s="17" t="str">
        <f aca="false">IF(TRIM(C331)="","",IFERROR(INDEX('Code Aliases'!$B:$B,MATCH(TRIM(C331),'Code Aliases'!$A:$A,0)),TRIM(C331)))</f>
        <v/>
      </c>
      <c r="H331" s="17" t="str">
        <f aca="false">IF(TRIM(B331)="","",UPPER(TRIM(B331)))</f>
        <v/>
      </c>
    </row>
    <row r="332" customFormat="false" ht="14.25" hidden="false" customHeight="true" outlineLevel="0" collapsed="false">
      <c r="D332" s="17"/>
      <c r="G332" s="17" t="str">
        <f aca="false">IF(TRIM(C332)="","",IFERROR(INDEX('Code Aliases'!$B:$B,MATCH(TRIM(C332),'Code Aliases'!$A:$A,0)),TRIM(C332)))</f>
        <v/>
      </c>
      <c r="H332" s="17" t="str">
        <f aca="false">IF(TRIM(B332)="","",UPPER(TRIM(B332)))</f>
        <v/>
      </c>
    </row>
    <row r="333" customFormat="false" ht="14.25" hidden="false" customHeight="true" outlineLevel="0" collapsed="false">
      <c r="D333" s="17"/>
      <c r="G333" s="17" t="str">
        <f aca="false">IF(TRIM(C333)="","",IFERROR(INDEX('Code Aliases'!$B:$B,MATCH(TRIM(C333),'Code Aliases'!$A:$A,0)),TRIM(C333)))</f>
        <v/>
      </c>
      <c r="H333" s="17" t="str">
        <f aca="false">IF(TRIM(B333)="","",UPPER(TRIM(B333)))</f>
        <v/>
      </c>
    </row>
    <row r="334" customFormat="false" ht="14.25" hidden="false" customHeight="true" outlineLevel="0" collapsed="false">
      <c r="D334" s="17"/>
      <c r="G334" s="17" t="str">
        <f aca="false">IF(TRIM(C334)="","",IFERROR(INDEX('Code Aliases'!$B:$B,MATCH(TRIM(C334),'Code Aliases'!$A:$A,0)),TRIM(C334)))</f>
        <v/>
      </c>
      <c r="H334" s="17" t="str">
        <f aca="false">IF(TRIM(B334)="","",UPPER(TRIM(B334)))</f>
        <v/>
      </c>
    </row>
    <row r="335" customFormat="false" ht="14.25" hidden="false" customHeight="true" outlineLevel="0" collapsed="false">
      <c r="D335" s="17"/>
      <c r="G335" s="17" t="str">
        <f aca="false">IF(TRIM(C335)="","",IFERROR(INDEX('Code Aliases'!$B:$B,MATCH(TRIM(C335),'Code Aliases'!$A:$A,0)),TRIM(C335)))</f>
        <v/>
      </c>
      <c r="H335" s="17" t="str">
        <f aca="false">IF(TRIM(B335)="","",UPPER(TRIM(B335)))</f>
        <v/>
      </c>
    </row>
    <row r="336" customFormat="false" ht="14.25" hidden="false" customHeight="true" outlineLevel="0" collapsed="false">
      <c r="D336" s="17"/>
      <c r="G336" s="17" t="str">
        <f aca="false">IF(TRIM(C336)="","",IFERROR(INDEX('Code Aliases'!$B:$B,MATCH(TRIM(C336),'Code Aliases'!$A:$A,0)),TRIM(C336)))</f>
        <v/>
      </c>
      <c r="H336" s="17" t="str">
        <f aca="false">IF(TRIM(B336)="","",UPPER(TRIM(B336)))</f>
        <v/>
      </c>
    </row>
    <row r="337" customFormat="false" ht="14.25" hidden="false" customHeight="true" outlineLevel="0" collapsed="false">
      <c r="D337" s="17"/>
      <c r="G337" s="17" t="str">
        <f aca="false">IF(TRIM(C337)="","",IFERROR(INDEX('Code Aliases'!$B:$B,MATCH(TRIM(C337),'Code Aliases'!$A:$A,0)),TRIM(C337)))</f>
        <v/>
      </c>
      <c r="H337" s="17" t="str">
        <f aca="false">IF(TRIM(B337)="","",UPPER(TRIM(B337)))</f>
        <v/>
      </c>
    </row>
    <row r="338" customFormat="false" ht="14.25" hidden="false" customHeight="true" outlineLevel="0" collapsed="false">
      <c r="D338" s="17"/>
      <c r="G338" s="17" t="str">
        <f aca="false">IF(TRIM(C338)="","",IFERROR(INDEX('Code Aliases'!$B:$B,MATCH(TRIM(C338),'Code Aliases'!$A:$A,0)),TRIM(C338)))</f>
        <v/>
      </c>
      <c r="H338" s="17" t="str">
        <f aca="false">IF(TRIM(B338)="","",UPPER(TRIM(B338)))</f>
        <v/>
      </c>
    </row>
    <row r="339" customFormat="false" ht="14.25" hidden="false" customHeight="true" outlineLevel="0" collapsed="false">
      <c r="D339" s="17"/>
      <c r="G339" s="17" t="str">
        <f aca="false">IF(TRIM(C339)="","",IFERROR(INDEX('Code Aliases'!$B:$B,MATCH(TRIM(C339),'Code Aliases'!$A:$A,0)),TRIM(C339)))</f>
        <v/>
      </c>
      <c r="H339" s="17" t="str">
        <f aca="false">IF(TRIM(B339)="","",UPPER(TRIM(B339)))</f>
        <v/>
      </c>
    </row>
    <row r="340" customFormat="false" ht="14.25" hidden="false" customHeight="true" outlineLevel="0" collapsed="false">
      <c r="D340" s="17"/>
      <c r="G340" s="17" t="str">
        <f aca="false">IF(TRIM(C340)="","",IFERROR(INDEX('Code Aliases'!$B:$B,MATCH(TRIM(C340),'Code Aliases'!$A:$A,0)),TRIM(C340)))</f>
        <v/>
      </c>
      <c r="H340" s="17" t="str">
        <f aca="false">IF(TRIM(B340)="","",UPPER(TRIM(B340)))</f>
        <v/>
      </c>
    </row>
    <row r="341" customFormat="false" ht="14.25" hidden="false" customHeight="true" outlineLevel="0" collapsed="false">
      <c r="D341" s="17"/>
      <c r="G341" s="17" t="str">
        <f aca="false">IF(TRIM(C341)="","",IFERROR(INDEX('Code Aliases'!$B:$B,MATCH(TRIM(C341),'Code Aliases'!$A:$A,0)),TRIM(C341)))</f>
        <v/>
      </c>
      <c r="H341" s="17" t="str">
        <f aca="false">IF(TRIM(B341)="","",UPPER(TRIM(B341)))</f>
        <v/>
      </c>
    </row>
    <row r="342" customFormat="false" ht="14.25" hidden="false" customHeight="true" outlineLevel="0" collapsed="false">
      <c r="D342" s="17"/>
      <c r="G342" s="17" t="str">
        <f aca="false">IF(TRIM(C342)="","",IFERROR(INDEX('Code Aliases'!$B:$B,MATCH(TRIM(C342),'Code Aliases'!$A:$A,0)),TRIM(C342)))</f>
        <v/>
      </c>
      <c r="H342" s="17" t="str">
        <f aca="false">IF(TRIM(B342)="","",UPPER(TRIM(B342)))</f>
        <v/>
      </c>
    </row>
    <row r="343" customFormat="false" ht="14.25" hidden="false" customHeight="true" outlineLevel="0" collapsed="false">
      <c r="D343" s="17"/>
      <c r="G343" s="17" t="str">
        <f aca="false">IF(TRIM(C343)="","",IFERROR(INDEX('Code Aliases'!$B:$B,MATCH(TRIM(C343),'Code Aliases'!$A:$A,0)),TRIM(C343)))</f>
        <v/>
      </c>
      <c r="H343" s="17" t="str">
        <f aca="false">IF(TRIM(B343)="","",UPPER(TRIM(B343)))</f>
        <v/>
      </c>
    </row>
    <row r="344" customFormat="false" ht="14.25" hidden="false" customHeight="true" outlineLevel="0" collapsed="false">
      <c r="D344" s="17"/>
      <c r="G344" s="17" t="str">
        <f aca="false">IF(TRIM(C344)="","",IFERROR(INDEX('Code Aliases'!$B:$B,MATCH(TRIM(C344),'Code Aliases'!$A:$A,0)),TRIM(C344)))</f>
        <v/>
      </c>
      <c r="H344" s="17" t="str">
        <f aca="false">IF(TRIM(B344)="","",UPPER(TRIM(B344)))</f>
        <v/>
      </c>
    </row>
    <row r="345" customFormat="false" ht="14.25" hidden="false" customHeight="true" outlineLevel="0" collapsed="false">
      <c r="D345" s="17"/>
      <c r="G345" s="17" t="str">
        <f aca="false">IF(TRIM(C345)="","",IFERROR(INDEX('Code Aliases'!$B:$B,MATCH(TRIM(C345),'Code Aliases'!$A:$A,0)),TRIM(C345)))</f>
        <v/>
      </c>
      <c r="H345" s="17" t="str">
        <f aca="false">IF(TRIM(B345)="","",UPPER(TRIM(B345)))</f>
        <v/>
      </c>
    </row>
    <row r="346" customFormat="false" ht="14.25" hidden="false" customHeight="true" outlineLevel="0" collapsed="false">
      <c r="D346" s="17"/>
      <c r="G346" s="17" t="str">
        <f aca="false">IF(TRIM(C346)="","",IFERROR(INDEX('Code Aliases'!$B:$B,MATCH(TRIM(C346),'Code Aliases'!$A:$A,0)),TRIM(C346)))</f>
        <v/>
      </c>
      <c r="H346" s="17" t="str">
        <f aca="false">IF(TRIM(B346)="","",UPPER(TRIM(B346)))</f>
        <v/>
      </c>
    </row>
    <row r="347" customFormat="false" ht="14.25" hidden="false" customHeight="true" outlineLevel="0" collapsed="false">
      <c r="D347" s="17"/>
      <c r="G347" s="17" t="str">
        <f aca="false">IF(TRIM(C347)="","",IFERROR(INDEX('Code Aliases'!$B:$B,MATCH(TRIM(C347),'Code Aliases'!$A:$A,0)),TRIM(C347)))</f>
        <v/>
      </c>
      <c r="H347" s="17" t="str">
        <f aca="false">IF(TRIM(B347)="","",UPPER(TRIM(B347)))</f>
        <v/>
      </c>
    </row>
    <row r="348" customFormat="false" ht="14.25" hidden="false" customHeight="true" outlineLevel="0" collapsed="false">
      <c r="D348" s="17"/>
      <c r="G348" s="17" t="str">
        <f aca="false">IF(TRIM(C348)="","",IFERROR(INDEX('Code Aliases'!$B:$B,MATCH(TRIM(C348),'Code Aliases'!$A:$A,0)),TRIM(C348)))</f>
        <v/>
      </c>
      <c r="H348" s="17" t="str">
        <f aca="false">IF(TRIM(B348)="","",UPPER(TRIM(B348)))</f>
        <v/>
      </c>
    </row>
    <row r="349" customFormat="false" ht="14.25" hidden="false" customHeight="true" outlineLevel="0" collapsed="false">
      <c r="D349" s="17"/>
      <c r="G349" s="17" t="str">
        <f aca="false">IF(TRIM(C349)="","",IFERROR(INDEX('Code Aliases'!$B:$B,MATCH(TRIM(C349),'Code Aliases'!$A:$A,0)),TRIM(C349)))</f>
        <v/>
      </c>
      <c r="H349" s="17" t="str">
        <f aca="false">IF(TRIM(B349)="","",UPPER(TRIM(B349)))</f>
        <v/>
      </c>
    </row>
    <row r="350" customFormat="false" ht="14.25" hidden="false" customHeight="true" outlineLevel="0" collapsed="false">
      <c r="D350" s="17"/>
      <c r="G350" s="17" t="str">
        <f aca="false">IF(TRIM(C350)="","",IFERROR(INDEX('Code Aliases'!$B:$B,MATCH(TRIM(C350),'Code Aliases'!$A:$A,0)),TRIM(C350)))</f>
        <v/>
      </c>
      <c r="H350" s="17" t="str">
        <f aca="false">IF(TRIM(B350)="","",UPPER(TRIM(B350)))</f>
        <v/>
      </c>
    </row>
    <row r="351" customFormat="false" ht="14.25" hidden="false" customHeight="true" outlineLevel="0" collapsed="false">
      <c r="D351" s="17"/>
      <c r="G351" s="17" t="str">
        <f aca="false">IF(TRIM(C351)="","",IFERROR(INDEX('Code Aliases'!$B:$B,MATCH(TRIM(C351),'Code Aliases'!$A:$A,0)),TRIM(C351)))</f>
        <v/>
      </c>
      <c r="H351" s="17" t="str">
        <f aca="false">IF(TRIM(B351)="","",UPPER(TRIM(B351)))</f>
        <v/>
      </c>
    </row>
    <row r="352" customFormat="false" ht="14.25" hidden="false" customHeight="true" outlineLevel="0" collapsed="false">
      <c r="D352" s="17"/>
      <c r="G352" s="17" t="str">
        <f aca="false">IF(TRIM(C352)="","",IFERROR(INDEX('Code Aliases'!$B:$B,MATCH(TRIM(C352),'Code Aliases'!$A:$A,0)),TRIM(C352)))</f>
        <v/>
      </c>
      <c r="H352" s="17" t="str">
        <f aca="false">IF(TRIM(B352)="","",UPPER(TRIM(B352)))</f>
        <v/>
      </c>
    </row>
    <row r="353" customFormat="false" ht="14.25" hidden="false" customHeight="true" outlineLevel="0" collapsed="false">
      <c r="D353" s="17"/>
      <c r="G353" s="17" t="str">
        <f aca="false">IF(TRIM(C353)="","",IFERROR(INDEX('Code Aliases'!$B:$B,MATCH(TRIM(C353),'Code Aliases'!$A:$A,0)),TRIM(C353)))</f>
        <v/>
      </c>
      <c r="H353" s="17" t="str">
        <f aca="false">IF(TRIM(B353)="","",UPPER(TRIM(B353)))</f>
        <v/>
      </c>
    </row>
    <row r="354" customFormat="false" ht="14.25" hidden="false" customHeight="true" outlineLevel="0" collapsed="false">
      <c r="D354" s="17"/>
      <c r="G354" s="17" t="str">
        <f aca="false">IF(TRIM(C354)="","",IFERROR(INDEX('Code Aliases'!$B:$B,MATCH(TRIM(C354),'Code Aliases'!$A:$A,0)),TRIM(C354)))</f>
        <v/>
      </c>
      <c r="H354" s="17" t="str">
        <f aca="false">IF(TRIM(B354)="","",UPPER(TRIM(B354)))</f>
        <v/>
      </c>
    </row>
    <row r="355" customFormat="false" ht="14.25" hidden="false" customHeight="true" outlineLevel="0" collapsed="false">
      <c r="D355" s="17"/>
      <c r="G355" s="17" t="str">
        <f aca="false">IF(TRIM(C355)="","",IFERROR(INDEX('Code Aliases'!$B:$B,MATCH(TRIM(C355),'Code Aliases'!$A:$A,0)),TRIM(C355)))</f>
        <v/>
      </c>
      <c r="H355" s="17" t="str">
        <f aca="false">IF(TRIM(B355)="","",UPPER(TRIM(B355)))</f>
        <v/>
      </c>
    </row>
    <row r="356" customFormat="false" ht="14.25" hidden="false" customHeight="true" outlineLevel="0" collapsed="false">
      <c r="D356" s="17"/>
      <c r="G356" s="17" t="str">
        <f aca="false">IF(TRIM(C356)="","",IFERROR(INDEX('Code Aliases'!$B:$B,MATCH(TRIM(C356),'Code Aliases'!$A:$A,0)),TRIM(C356)))</f>
        <v/>
      </c>
      <c r="H356" s="17" t="str">
        <f aca="false">IF(TRIM(B356)="","",UPPER(TRIM(B356)))</f>
        <v/>
      </c>
    </row>
    <row r="357" customFormat="false" ht="14.25" hidden="false" customHeight="true" outlineLevel="0" collapsed="false">
      <c r="D357" s="17"/>
      <c r="G357" s="17" t="str">
        <f aca="false">IF(TRIM(C357)="","",IFERROR(INDEX('Code Aliases'!$B:$B,MATCH(TRIM(C357),'Code Aliases'!$A:$A,0)),TRIM(C357)))</f>
        <v/>
      </c>
      <c r="H357" s="17" t="str">
        <f aca="false">IF(TRIM(B357)="","",UPPER(TRIM(B357)))</f>
        <v/>
      </c>
    </row>
    <row r="358" customFormat="false" ht="14.25" hidden="false" customHeight="true" outlineLevel="0" collapsed="false">
      <c r="D358" s="17"/>
      <c r="G358" s="17" t="str">
        <f aca="false">IF(TRIM(C358)="","",IFERROR(INDEX('Code Aliases'!$B:$B,MATCH(TRIM(C358),'Code Aliases'!$A:$A,0)),TRIM(C358)))</f>
        <v/>
      </c>
      <c r="H358" s="17" t="str">
        <f aca="false">IF(TRIM(B358)="","",UPPER(TRIM(B358)))</f>
        <v/>
      </c>
    </row>
    <row r="359" customFormat="false" ht="14.25" hidden="false" customHeight="true" outlineLevel="0" collapsed="false">
      <c r="D359" s="17"/>
      <c r="G359" s="17" t="str">
        <f aca="false">IF(TRIM(C359)="","",IFERROR(INDEX('Code Aliases'!$B:$B,MATCH(TRIM(C359),'Code Aliases'!$A:$A,0)),TRIM(C359)))</f>
        <v/>
      </c>
      <c r="H359" s="17" t="str">
        <f aca="false">IF(TRIM(B359)="","",UPPER(TRIM(B359)))</f>
        <v/>
      </c>
    </row>
    <row r="360" customFormat="false" ht="14.25" hidden="false" customHeight="true" outlineLevel="0" collapsed="false">
      <c r="D360" s="17"/>
      <c r="G360" s="17" t="str">
        <f aca="false">IF(TRIM(C360)="","",IFERROR(INDEX('Code Aliases'!$B:$B,MATCH(TRIM(C360),'Code Aliases'!$A:$A,0)),TRIM(C360)))</f>
        <v/>
      </c>
      <c r="H360" s="17" t="str">
        <f aca="false">IF(TRIM(B360)="","",UPPER(TRIM(B360)))</f>
        <v/>
      </c>
    </row>
    <row r="361" customFormat="false" ht="14.25" hidden="false" customHeight="true" outlineLevel="0" collapsed="false">
      <c r="D361" s="17"/>
      <c r="G361" s="17" t="str">
        <f aca="false">IF(TRIM(C361)="","",IFERROR(INDEX('Code Aliases'!$B:$B,MATCH(TRIM(C361),'Code Aliases'!$A:$A,0)),TRIM(C361)))</f>
        <v/>
      </c>
      <c r="H361" s="17" t="str">
        <f aca="false">IF(TRIM(B361)="","",UPPER(TRIM(B361)))</f>
        <v/>
      </c>
    </row>
    <row r="362" customFormat="false" ht="14.25" hidden="false" customHeight="true" outlineLevel="0" collapsed="false">
      <c r="D362" s="17"/>
      <c r="G362" s="17" t="str">
        <f aca="false">IF(TRIM(C362)="","",IFERROR(INDEX('Code Aliases'!$B:$B,MATCH(TRIM(C362),'Code Aliases'!$A:$A,0)),TRIM(C362)))</f>
        <v/>
      </c>
      <c r="H362" s="17" t="str">
        <f aca="false">IF(TRIM(B362)="","",UPPER(TRIM(B362)))</f>
        <v/>
      </c>
    </row>
    <row r="363" customFormat="false" ht="14.25" hidden="false" customHeight="true" outlineLevel="0" collapsed="false">
      <c r="D363" s="17"/>
      <c r="G363" s="17" t="str">
        <f aca="false">IF(TRIM(C363)="","",IFERROR(INDEX('Code Aliases'!$B:$B,MATCH(TRIM(C363),'Code Aliases'!$A:$A,0)),TRIM(C363)))</f>
        <v/>
      </c>
      <c r="H363" s="17" t="str">
        <f aca="false">IF(TRIM(B363)="","",UPPER(TRIM(B363)))</f>
        <v/>
      </c>
    </row>
    <row r="364" customFormat="false" ht="14.25" hidden="false" customHeight="true" outlineLevel="0" collapsed="false">
      <c r="D364" s="17"/>
      <c r="G364" s="17" t="str">
        <f aca="false">IF(TRIM(C364)="","",IFERROR(INDEX('Code Aliases'!$B:$B,MATCH(TRIM(C364),'Code Aliases'!$A:$A,0)),TRIM(C364)))</f>
        <v/>
      </c>
      <c r="H364" s="17" t="str">
        <f aca="false">IF(TRIM(B364)="","",UPPER(TRIM(B364)))</f>
        <v/>
      </c>
    </row>
    <row r="365" customFormat="false" ht="14.25" hidden="false" customHeight="true" outlineLevel="0" collapsed="false">
      <c r="D365" s="17"/>
      <c r="G365" s="17" t="str">
        <f aca="false">IF(TRIM(C365)="","",IFERROR(INDEX('Code Aliases'!$B:$B,MATCH(TRIM(C365),'Code Aliases'!$A:$A,0)),TRIM(C365)))</f>
        <v/>
      </c>
      <c r="H365" s="17" t="str">
        <f aca="false">IF(TRIM(B365)="","",UPPER(TRIM(B365)))</f>
        <v/>
      </c>
    </row>
    <row r="366" customFormat="false" ht="14.25" hidden="false" customHeight="true" outlineLevel="0" collapsed="false">
      <c r="D366" s="17"/>
      <c r="G366" s="17" t="str">
        <f aca="false">IF(TRIM(C366)="","",IFERROR(INDEX('Code Aliases'!$B:$B,MATCH(TRIM(C366),'Code Aliases'!$A:$A,0)),TRIM(C366)))</f>
        <v/>
      </c>
      <c r="H366" s="17" t="str">
        <f aca="false">IF(TRIM(B366)="","",UPPER(TRIM(B366)))</f>
        <v/>
      </c>
    </row>
    <row r="367" customFormat="false" ht="14.25" hidden="false" customHeight="true" outlineLevel="0" collapsed="false">
      <c r="D367" s="17"/>
      <c r="G367" s="17" t="str">
        <f aca="false">IF(TRIM(C367)="","",IFERROR(INDEX('Code Aliases'!$B:$B,MATCH(TRIM(C367),'Code Aliases'!$A:$A,0)),TRIM(C367)))</f>
        <v/>
      </c>
      <c r="H367" s="17" t="str">
        <f aca="false">IF(TRIM(B367)="","",UPPER(TRIM(B367)))</f>
        <v/>
      </c>
    </row>
    <row r="368" customFormat="false" ht="14.25" hidden="false" customHeight="true" outlineLevel="0" collapsed="false">
      <c r="D368" s="17"/>
      <c r="G368" s="17" t="str">
        <f aca="false">IF(TRIM(C368)="","",IFERROR(INDEX('Code Aliases'!$B:$B,MATCH(TRIM(C368),'Code Aliases'!$A:$A,0)),TRIM(C368)))</f>
        <v/>
      </c>
      <c r="H368" s="17" t="str">
        <f aca="false">IF(TRIM(B368)="","",UPPER(TRIM(B368)))</f>
        <v/>
      </c>
    </row>
    <row r="369" customFormat="false" ht="14.25" hidden="false" customHeight="true" outlineLevel="0" collapsed="false">
      <c r="D369" s="17"/>
      <c r="G369" s="17" t="str">
        <f aca="false">IF(TRIM(C369)="","",IFERROR(INDEX('Code Aliases'!$B:$B,MATCH(TRIM(C369),'Code Aliases'!$A:$A,0)),TRIM(C369)))</f>
        <v/>
      </c>
      <c r="H369" s="17" t="str">
        <f aca="false">IF(TRIM(B369)="","",UPPER(TRIM(B369)))</f>
        <v/>
      </c>
    </row>
    <row r="370" customFormat="false" ht="14.25" hidden="false" customHeight="true" outlineLevel="0" collapsed="false">
      <c r="D370" s="17"/>
      <c r="G370" s="17" t="str">
        <f aca="false">IF(TRIM(C370)="","",IFERROR(INDEX('Code Aliases'!$B:$B,MATCH(TRIM(C370),'Code Aliases'!$A:$A,0)),TRIM(C370)))</f>
        <v/>
      </c>
      <c r="H370" s="17" t="str">
        <f aca="false">IF(TRIM(B370)="","",UPPER(TRIM(B370)))</f>
        <v/>
      </c>
    </row>
    <row r="371" customFormat="false" ht="14.25" hidden="false" customHeight="true" outlineLevel="0" collapsed="false">
      <c r="D371" s="17"/>
      <c r="G371" s="17" t="str">
        <f aca="false">IF(TRIM(C371)="","",IFERROR(INDEX('Code Aliases'!$B:$B,MATCH(TRIM(C371),'Code Aliases'!$A:$A,0)),TRIM(C371)))</f>
        <v/>
      </c>
      <c r="H371" s="17" t="str">
        <f aca="false">IF(TRIM(B371)="","",UPPER(TRIM(B371)))</f>
        <v/>
      </c>
    </row>
    <row r="372" customFormat="false" ht="14.25" hidden="false" customHeight="true" outlineLevel="0" collapsed="false">
      <c r="D372" s="17"/>
      <c r="G372" s="17" t="str">
        <f aca="false">IF(TRIM(C372)="","",IFERROR(INDEX('Code Aliases'!$B:$B,MATCH(TRIM(C372),'Code Aliases'!$A:$A,0)),TRIM(C372)))</f>
        <v/>
      </c>
      <c r="H372" s="17" t="str">
        <f aca="false">IF(TRIM(B372)="","",UPPER(TRIM(B372)))</f>
        <v/>
      </c>
    </row>
    <row r="373" customFormat="false" ht="14.25" hidden="false" customHeight="true" outlineLevel="0" collapsed="false">
      <c r="D373" s="17"/>
      <c r="G373" s="17" t="str">
        <f aca="false">IF(TRIM(C373)="","",IFERROR(INDEX('Code Aliases'!$B:$B,MATCH(TRIM(C373),'Code Aliases'!$A:$A,0)),TRIM(C373)))</f>
        <v/>
      </c>
      <c r="H373" s="17" t="str">
        <f aca="false">IF(TRIM(B373)="","",UPPER(TRIM(B373)))</f>
        <v/>
      </c>
    </row>
    <row r="374" customFormat="false" ht="14.25" hidden="false" customHeight="true" outlineLevel="0" collapsed="false">
      <c r="D374" s="17"/>
      <c r="G374" s="17" t="str">
        <f aca="false">IF(TRIM(C374)="","",IFERROR(INDEX('Code Aliases'!$B:$B,MATCH(TRIM(C374),'Code Aliases'!$A:$A,0)),TRIM(C374)))</f>
        <v/>
      </c>
      <c r="H374" s="17" t="str">
        <f aca="false">IF(TRIM(B374)="","",UPPER(TRIM(B374)))</f>
        <v/>
      </c>
    </row>
    <row r="375" customFormat="false" ht="14.25" hidden="false" customHeight="true" outlineLevel="0" collapsed="false">
      <c r="D375" s="17"/>
      <c r="G375" s="17" t="str">
        <f aca="false">IF(TRIM(C375)="","",IFERROR(INDEX('Code Aliases'!$B:$B,MATCH(TRIM(C375),'Code Aliases'!$A:$A,0)),TRIM(C375)))</f>
        <v/>
      </c>
      <c r="H375" s="17" t="str">
        <f aca="false">IF(TRIM(B375)="","",UPPER(TRIM(B375)))</f>
        <v/>
      </c>
    </row>
    <row r="376" customFormat="false" ht="14.25" hidden="false" customHeight="true" outlineLevel="0" collapsed="false">
      <c r="D376" s="17"/>
      <c r="G376" s="17" t="str">
        <f aca="false">IF(TRIM(C376)="","",IFERROR(INDEX('Code Aliases'!$B:$B,MATCH(TRIM(C376),'Code Aliases'!$A:$A,0)),TRIM(C376)))</f>
        <v/>
      </c>
      <c r="H376" s="17" t="str">
        <f aca="false">IF(TRIM(B376)="","",UPPER(TRIM(B376)))</f>
        <v/>
      </c>
    </row>
    <row r="377" customFormat="false" ht="14.25" hidden="false" customHeight="true" outlineLevel="0" collapsed="false">
      <c r="D377" s="17"/>
      <c r="G377" s="17" t="str">
        <f aca="false">IF(TRIM(C377)="","",IFERROR(INDEX('Code Aliases'!$B:$B,MATCH(TRIM(C377),'Code Aliases'!$A:$A,0)),TRIM(C377)))</f>
        <v/>
      </c>
      <c r="H377" s="17" t="str">
        <f aca="false">IF(TRIM(B377)="","",UPPER(TRIM(B377)))</f>
        <v/>
      </c>
    </row>
    <row r="378" customFormat="false" ht="14.25" hidden="false" customHeight="true" outlineLevel="0" collapsed="false">
      <c r="D378" s="17"/>
      <c r="G378" s="17" t="str">
        <f aca="false">IF(TRIM(C378)="","",IFERROR(INDEX('Code Aliases'!$B:$B,MATCH(TRIM(C378),'Code Aliases'!$A:$A,0)),TRIM(C378)))</f>
        <v/>
      </c>
      <c r="H378" s="17" t="str">
        <f aca="false">IF(TRIM(B378)="","",UPPER(TRIM(B378)))</f>
        <v/>
      </c>
    </row>
    <row r="379" customFormat="false" ht="14.25" hidden="false" customHeight="true" outlineLevel="0" collapsed="false">
      <c r="D379" s="17"/>
      <c r="G379" s="17" t="str">
        <f aca="false">IF(TRIM(C379)="","",IFERROR(INDEX('Code Aliases'!$B:$B,MATCH(TRIM(C379),'Code Aliases'!$A:$A,0)),TRIM(C379)))</f>
        <v/>
      </c>
      <c r="H379" s="17" t="str">
        <f aca="false">IF(TRIM(B379)="","",UPPER(TRIM(B379)))</f>
        <v/>
      </c>
    </row>
    <row r="380" customFormat="false" ht="14.25" hidden="false" customHeight="true" outlineLevel="0" collapsed="false">
      <c r="D380" s="17"/>
      <c r="G380" s="17" t="str">
        <f aca="false">IF(TRIM(C380)="","",IFERROR(INDEX('Code Aliases'!$B:$B,MATCH(TRIM(C380),'Code Aliases'!$A:$A,0)),TRIM(C380)))</f>
        <v/>
      </c>
      <c r="H380" s="17" t="str">
        <f aca="false">IF(TRIM(B380)="","",UPPER(TRIM(B380)))</f>
        <v/>
      </c>
    </row>
    <row r="381" customFormat="false" ht="14.25" hidden="false" customHeight="true" outlineLevel="0" collapsed="false">
      <c r="D381" s="17"/>
      <c r="G381" s="17" t="str">
        <f aca="false">IF(TRIM(C381)="","",IFERROR(INDEX('Code Aliases'!$B:$B,MATCH(TRIM(C381),'Code Aliases'!$A:$A,0)),TRIM(C381)))</f>
        <v/>
      </c>
      <c r="H381" s="17" t="str">
        <f aca="false">IF(TRIM(B381)="","",UPPER(TRIM(B381)))</f>
        <v/>
      </c>
    </row>
    <row r="382" customFormat="false" ht="14.25" hidden="false" customHeight="true" outlineLevel="0" collapsed="false">
      <c r="D382" s="17"/>
      <c r="G382" s="17" t="str">
        <f aca="false">IF(TRIM(C382)="","",IFERROR(INDEX('Code Aliases'!$B:$B,MATCH(TRIM(C382),'Code Aliases'!$A:$A,0)),TRIM(C382)))</f>
        <v/>
      </c>
      <c r="H382" s="17" t="str">
        <f aca="false">IF(TRIM(B382)="","",UPPER(TRIM(B382)))</f>
        <v/>
      </c>
    </row>
    <row r="383" customFormat="false" ht="14.25" hidden="false" customHeight="true" outlineLevel="0" collapsed="false">
      <c r="D383" s="17"/>
      <c r="G383" s="17" t="str">
        <f aca="false">IF(TRIM(C383)="","",IFERROR(INDEX('Code Aliases'!$B:$B,MATCH(TRIM(C383),'Code Aliases'!$A:$A,0)),TRIM(C383)))</f>
        <v/>
      </c>
      <c r="H383" s="17" t="str">
        <f aca="false">IF(TRIM(B383)="","",UPPER(TRIM(B383)))</f>
        <v/>
      </c>
    </row>
    <row r="384" customFormat="false" ht="14.25" hidden="false" customHeight="true" outlineLevel="0" collapsed="false">
      <c r="D384" s="17"/>
      <c r="G384" s="17" t="str">
        <f aca="false">IF(TRIM(C384)="","",IFERROR(INDEX('Code Aliases'!$B:$B,MATCH(TRIM(C384),'Code Aliases'!$A:$A,0)),TRIM(C384)))</f>
        <v/>
      </c>
      <c r="H384" s="17" t="str">
        <f aca="false">IF(TRIM(B384)="","",UPPER(TRIM(B384)))</f>
        <v/>
      </c>
    </row>
    <row r="385" customFormat="false" ht="14.25" hidden="false" customHeight="true" outlineLevel="0" collapsed="false">
      <c r="D385" s="17"/>
      <c r="G385" s="17" t="str">
        <f aca="false">IF(TRIM(C385)="","",IFERROR(INDEX('Code Aliases'!$B:$B,MATCH(TRIM(C385),'Code Aliases'!$A:$A,0)),TRIM(C385)))</f>
        <v/>
      </c>
      <c r="H385" s="17" t="str">
        <f aca="false">IF(TRIM(B385)="","",UPPER(TRIM(B385)))</f>
        <v/>
      </c>
    </row>
    <row r="386" customFormat="false" ht="14.25" hidden="false" customHeight="true" outlineLevel="0" collapsed="false">
      <c r="D386" s="17"/>
      <c r="G386" s="17" t="str">
        <f aca="false">IF(TRIM(C386)="","",IFERROR(INDEX('Code Aliases'!$B:$B,MATCH(TRIM(C386),'Code Aliases'!$A:$A,0)),TRIM(C386)))</f>
        <v/>
      </c>
      <c r="H386" s="17" t="str">
        <f aca="false">IF(TRIM(B386)="","",UPPER(TRIM(B386)))</f>
        <v/>
      </c>
    </row>
    <row r="387" customFormat="false" ht="14.25" hidden="false" customHeight="true" outlineLevel="0" collapsed="false">
      <c r="D387" s="17"/>
      <c r="G387" s="17" t="str">
        <f aca="false">IF(TRIM(C387)="","",IFERROR(INDEX('Code Aliases'!$B:$B,MATCH(TRIM(C387),'Code Aliases'!$A:$A,0)),TRIM(C387)))</f>
        <v/>
      </c>
      <c r="H387" s="17" t="str">
        <f aca="false">IF(TRIM(B387)="","",UPPER(TRIM(B387)))</f>
        <v/>
      </c>
    </row>
    <row r="388" customFormat="false" ht="14.25" hidden="false" customHeight="true" outlineLevel="0" collapsed="false">
      <c r="D388" s="17"/>
      <c r="G388" s="17" t="str">
        <f aca="false">IF(TRIM(C388)="","",IFERROR(INDEX('Code Aliases'!$B:$B,MATCH(TRIM(C388),'Code Aliases'!$A:$A,0)),TRIM(C388)))</f>
        <v/>
      </c>
      <c r="H388" s="17" t="str">
        <f aca="false">IF(TRIM(B388)="","",UPPER(TRIM(B388)))</f>
        <v/>
      </c>
    </row>
    <row r="389" customFormat="false" ht="14.25" hidden="false" customHeight="true" outlineLevel="0" collapsed="false">
      <c r="D389" s="17"/>
      <c r="G389" s="17" t="str">
        <f aca="false">IF(TRIM(C389)="","",IFERROR(INDEX('Code Aliases'!$B:$B,MATCH(TRIM(C389),'Code Aliases'!$A:$A,0)),TRIM(C389)))</f>
        <v/>
      </c>
      <c r="H389" s="17" t="str">
        <f aca="false">IF(TRIM(B389)="","",UPPER(TRIM(B389)))</f>
        <v/>
      </c>
    </row>
    <row r="390" customFormat="false" ht="14.25" hidden="false" customHeight="true" outlineLevel="0" collapsed="false">
      <c r="D390" s="17"/>
      <c r="G390" s="17" t="str">
        <f aca="false">IF(TRIM(C390)="","",IFERROR(INDEX('Code Aliases'!$B:$B,MATCH(TRIM(C390),'Code Aliases'!$A:$A,0)),TRIM(C390)))</f>
        <v/>
      </c>
      <c r="H390" s="17" t="str">
        <f aca="false">IF(TRIM(B390)="","",UPPER(TRIM(B390)))</f>
        <v/>
      </c>
    </row>
    <row r="391" customFormat="false" ht="14.25" hidden="false" customHeight="true" outlineLevel="0" collapsed="false">
      <c r="D391" s="17"/>
      <c r="G391" s="17" t="str">
        <f aca="false">IF(TRIM(C391)="","",IFERROR(INDEX('Code Aliases'!$B:$B,MATCH(TRIM(C391),'Code Aliases'!$A:$A,0)),TRIM(C391)))</f>
        <v/>
      </c>
      <c r="H391" s="17" t="str">
        <f aca="false">IF(TRIM(B391)="","",UPPER(TRIM(B391)))</f>
        <v/>
      </c>
    </row>
    <row r="392" customFormat="false" ht="14.25" hidden="false" customHeight="true" outlineLevel="0" collapsed="false">
      <c r="D392" s="17"/>
      <c r="G392" s="17" t="str">
        <f aca="false">IF(TRIM(C392)="","",IFERROR(INDEX('Code Aliases'!$B:$B,MATCH(TRIM(C392),'Code Aliases'!$A:$A,0)),TRIM(C392)))</f>
        <v/>
      </c>
      <c r="H392" s="17" t="str">
        <f aca="false">IF(TRIM(B392)="","",UPPER(TRIM(B392)))</f>
        <v/>
      </c>
    </row>
    <row r="393" customFormat="false" ht="14.25" hidden="false" customHeight="true" outlineLevel="0" collapsed="false">
      <c r="D393" s="17"/>
      <c r="G393" s="17" t="str">
        <f aca="false">IF(TRIM(C393)="","",IFERROR(INDEX('Code Aliases'!$B:$B,MATCH(TRIM(C393),'Code Aliases'!$A:$A,0)),TRIM(C393)))</f>
        <v/>
      </c>
      <c r="H393" s="17" t="str">
        <f aca="false">IF(TRIM(B393)="","",UPPER(TRIM(B393)))</f>
        <v/>
      </c>
    </row>
    <row r="394" customFormat="false" ht="14.25" hidden="false" customHeight="true" outlineLevel="0" collapsed="false">
      <c r="D394" s="17"/>
      <c r="G394" s="17" t="str">
        <f aca="false">IF(TRIM(C394)="","",IFERROR(INDEX('Code Aliases'!$B:$B,MATCH(TRIM(C394),'Code Aliases'!$A:$A,0)),TRIM(C394)))</f>
        <v/>
      </c>
      <c r="H394" s="17" t="str">
        <f aca="false">IF(TRIM(B394)="","",UPPER(TRIM(B394)))</f>
        <v/>
      </c>
    </row>
    <row r="395" customFormat="false" ht="14.25" hidden="false" customHeight="true" outlineLevel="0" collapsed="false">
      <c r="D395" s="17"/>
      <c r="G395" s="17" t="str">
        <f aca="false">IF(TRIM(C395)="","",IFERROR(INDEX('Code Aliases'!$B:$B,MATCH(TRIM(C395),'Code Aliases'!$A:$A,0)),TRIM(C395)))</f>
        <v/>
      </c>
      <c r="H395" s="17" t="str">
        <f aca="false">IF(TRIM(B395)="","",UPPER(TRIM(B395)))</f>
        <v/>
      </c>
    </row>
    <row r="396" customFormat="false" ht="14.25" hidden="false" customHeight="true" outlineLevel="0" collapsed="false">
      <c r="D396" s="17"/>
      <c r="G396" s="17" t="str">
        <f aca="false">IF(TRIM(C396)="","",IFERROR(INDEX('Code Aliases'!$B:$B,MATCH(TRIM(C396),'Code Aliases'!$A:$A,0)),TRIM(C396)))</f>
        <v/>
      </c>
      <c r="H396" s="17" t="str">
        <f aca="false">IF(TRIM(B396)="","",UPPER(TRIM(B396)))</f>
        <v/>
      </c>
    </row>
    <row r="397" customFormat="false" ht="14.25" hidden="false" customHeight="true" outlineLevel="0" collapsed="false">
      <c r="D397" s="17"/>
      <c r="G397" s="17" t="str">
        <f aca="false">IF(TRIM(C397)="","",IFERROR(INDEX('Code Aliases'!$B:$B,MATCH(TRIM(C397),'Code Aliases'!$A:$A,0)),TRIM(C397)))</f>
        <v/>
      </c>
      <c r="H397" s="17" t="str">
        <f aca="false">IF(TRIM(B397)="","",UPPER(TRIM(B397)))</f>
        <v/>
      </c>
    </row>
    <row r="398" customFormat="false" ht="14.25" hidden="false" customHeight="true" outlineLevel="0" collapsed="false">
      <c r="D398" s="17"/>
      <c r="G398" s="17" t="str">
        <f aca="false">IF(TRIM(C398)="","",IFERROR(INDEX('Code Aliases'!$B:$B,MATCH(TRIM(C398),'Code Aliases'!$A:$A,0)),TRIM(C398)))</f>
        <v/>
      </c>
      <c r="H398" s="17" t="str">
        <f aca="false">IF(TRIM(B398)="","",UPPER(TRIM(B398)))</f>
        <v/>
      </c>
    </row>
    <row r="399" customFormat="false" ht="14.25" hidden="false" customHeight="true" outlineLevel="0" collapsed="false">
      <c r="D399" s="17"/>
      <c r="G399" s="17" t="str">
        <f aca="false">IF(TRIM(C399)="","",IFERROR(INDEX('Code Aliases'!$B:$B,MATCH(TRIM(C399),'Code Aliases'!$A:$A,0)),TRIM(C399)))</f>
        <v/>
      </c>
      <c r="H399" s="17" t="str">
        <f aca="false">IF(TRIM(B399)="","",UPPER(TRIM(B399)))</f>
        <v/>
      </c>
    </row>
    <row r="400" customFormat="false" ht="14.25" hidden="false" customHeight="true" outlineLevel="0" collapsed="false">
      <c r="D400" s="17"/>
      <c r="G400" s="17" t="str">
        <f aca="false">IF(TRIM(C400)="","",IFERROR(INDEX('Code Aliases'!$B:$B,MATCH(TRIM(C400),'Code Aliases'!$A:$A,0)),TRIM(C400)))</f>
        <v/>
      </c>
      <c r="H400" s="17" t="str">
        <f aca="false">IF(TRIM(B400)="","",UPPER(TRIM(B400)))</f>
        <v/>
      </c>
    </row>
    <row r="401" customFormat="false" ht="14.25" hidden="false" customHeight="true" outlineLevel="0" collapsed="false">
      <c r="D401" s="17"/>
      <c r="G401" s="17" t="str">
        <f aca="false">IF(TRIM(C401)="","",IFERROR(INDEX('Code Aliases'!$B:$B,MATCH(TRIM(C401),'Code Aliases'!$A:$A,0)),TRIM(C401)))</f>
        <v/>
      </c>
      <c r="H401" s="17" t="str">
        <f aca="false">IF(TRIM(B401)="","",UPPER(TRIM(B401)))</f>
        <v/>
      </c>
    </row>
    <row r="402" customFormat="false" ht="14.25" hidden="false" customHeight="true" outlineLevel="0" collapsed="false">
      <c r="D402" s="17"/>
      <c r="G402" s="17" t="str">
        <f aca="false">IF(TRIM(C402)="","",IFERROR(INDEX('Code Aliases'!$B:$B,MATCH(TRIM(C402),'Code Aliases'!$A:$A,0)),TRIM(C402)))</f>
        <v/>
      </c>
      <c r="H402" s="17" t="str">
        <f aca="false">IF(TRIM(B402)="","",UPPER(TRIM(B402)))</f>
        <v/>
      </c>
    </row>
    <row r="403" customFormat="false" ht="14.25" hidden="false" customHeight="true" outlineLevel="0" collapsed="false">
      <c r="D403" s="17"/>
      <c r="G403" s="17" t="str">
        <f aca="false">IF(TRIM(C403)="","",IFERROR(INDEX('Code Aliases'!$B:$B,MATCH(TRIM(C403),'Code Aliases'!$A:$A,0)),TRIM(C403)))</f>
        <v/>
      </c>
      <c r="H403" s="17" t="str">
        <f aca="false">IF(TRIM(B403)="","",UPPER(TRIM(B403)))</f>
        <v/>
      </c>
    </row>
    <row r="404" customFormat="false" ht="14.25" hidden="false" customHeight="true" outlineLevel="0" collapsed="false">
      <c r="D404" s="17"/>
      <c r="G404" s="17" t="str">
        <f aca="false">IF(TRIM(C404)="","",IFERROR(INDEX('Code Aliases'!$B:$B,MATCH(TRIM(C404),'Code Aliases'!$A:$A,0)),TRIM(C404)))</f>
        <v/>
      </c>
      <c r="H404" s="17" t="str">
        <f aca="false">IF(TRIM(B404)="","",UPPER(TRIM(B404)))</f>
        <v/>
      </c>
    </row>
    <row r="405" customFormat="false" ht="14.25" hidden="false" customHeight="true" outlineLevel="0" collapsed="false">
      <c r="D405" s="17"/>
      <c r="G405" s="17" t="str">
        <f aca="false">IF(TRIM(C405)="","",IFERROR(INDEX('Code Aliases'!$B:$B,MATCH(TRIM(C405),'Code Aliases'!$A:$A,0)),TRIM(C405)))</f>
        <v/>
      </c>
      <c r="H405" s="17" t="str">
        <f aca="false">IF(TRIM(B405)="","",UPPER(TRIM(B405)))</f>
        <v/>
      </c>
    </row>
    <row r="406" customFormat="false" ht="14.25" hidden="false" customHeight="true" outlineLevel="0" collapsed="false">
      <c r="D406" s="17"/>
      <c r="G406" s="17" t="str">
        <f aca="false">IF(TRIM(C406)="","",IFERROR(INDEX('Code Aliases'!$B:$B,MATCH(TRIM(C406),'Code Aliases'!$A:$A,0)),TRIM(C406)))</f>
        <v/>
      </c>
      <c r="H406" s="17" t="str">
        <f aca="false">IF(TRIM(B406)="","",UPPER(TRIM(B406)))</f>
        <v/>
      </c>
    </row>
    <row r="407" customFormat="false" ht="14.25" hidden="false" customHeight="true" outlineLevel="0" collapsed="false">
      <c r="D407" s="17"/>
      <c r="G407" s="17" t="str">
        <f aca="false">IF(TRIM(C407)="","",IFERROR(INDEX('Code Aliases'!$B:$B,MATCH(TRIM(C407),'Code Aliases'!$A:$A,0)),TRIM(C407)))</f>
        <v/>
      </c>
      <c r="H407" s="17" t="str">
        <f aca="false">IF(TRIM(B407)="","",UPPER(TRIM(B407)))</f>
        <v/>
      </c>
    </row>
    <row r="408" customFormat="false" ht="14.25" hidden="false" customHeight="true" outlineLevel="0" collapsed="false">
      <c r="D408" s="17"/>
      <c r="G408" s="17" t="str">
        <f aca="false">IF(TRIM(C408)="","",IFERROR(INDEX('Code Aliases'!$B:$B,MATCH(TRIM(C408),'Code Aliases'!$A:$A,0)),TRIM(C408)))</f>
        <v/>
      </c>
      <c r="H408" s="17" t="str">
        <f aca="false">IF(TRIM(B408)="","",UPPER(TRIM(B408)))</f>
        <v/>
      </c>
    </row>
    <row r="409" customFormat="false" ht="14.25" hidden="false" customHeight="true" outlineLevel="0" collapsed="false">
      <c r="D409" s="17"/>
      <c r="G409" s="17" t="str">
        <f aca="false">IF(TRIM(C409)="","",IFERROR(INDEX('Code Aliases'!$B:$B,MATCH(TRIM(C409),'Code Aliases'!$A:$A,0)),TRIM(C409)))</f>
        <v/>
      </c>
      <c r="H409" s="17" t="str">
        <f aca="false">IF(TRIM(B409)="","",UPPER(TRIM(B409)))</f>
        <v/>
      </c>
    </row>
    <row r="410" customFormat="false" ht="14.25" hidden="false" customHeight="true" outlineLevel="0" collapsed="false">
      <c r="D410" s="17"/>
      <c r="G410" s="17" t="str">
        <f aca="false">IF(TRIM(C410)="","",IFERROR(INDEX('Code Aliases'!$B:$B,MATCH(TRIM(C410),'Code Aliases'!$A:$A,0)),TRIM(C410)))</f>
        <v/>
      </c>
      <c r="H410" s="17" t="str">
        <f aca="false">IF(TRIM(B410)="","",UPPER(TRIM(B410)))</f>
        <v/>
      </c>
    </row>
    <row r="411" customFormat="false" ht="14.25" hidden="false" customHeight="true" outlineLevel="0" collapsed="false">
      <c r="D411" s="17"/>
      <c r="G411" s="17" t="str">
        <f aca="false">IF(TRIM(C411)="","",IFERROR(INDEX('Code Aliases'!$B:$B,MATCH(TRIM(C411),'Code Aliases'!$A:$A,0)),TRIM(C411)))</f>
        <v/>
      </c>
      <c r="H411" s="17" t="str">
        <f aca="false">IF(TRIM(B411)="","",UPPER(TRIM(B411)))</f>
        <v/>
      </c>
    </row>
    <row r="412" customFormat="false" ht="14.25" hidden="false" customHeight="true" outlineLevel="0" collapsed="false">
      <c r="D412" s="17"/>
      <c r="G412" s="17" t="str">
        <f aca="false">IF(TRIM(C412)="","",IFERROR(INDEX('Code Aliases'!$B:$B,MATCH(TRIM(C412),'Code Aliases'!$A:$A,0)),TRIM(C412)))</f>
        <v/>
      </c>
      <c r="H412" s="17" t="str">
        <f aca="false">IF(TRIM(B412)="","",UPPER(TRIM(B412)))</f>
        <v/>
      </c>
    </row>
    <row r="413" customFormat="false" ht="14.25" hidden="false" customHeight="true" outlineLevel="0" collapsed="false">
      <c r="D413" s="17"/>
      <c r="G413" s="17" t="str">
        <f aca="false">IF(TRIM(C413)="","",IFERROR(INDEX('Code Aliases'!$B:$B,MATCH(TRIM(C413),'Code Aliases'!$A:$A,0)),TRIM(C413)))</f>
        <v/>
      </c>
      <c r="H413" s="17" t="str">
        <f aca="false">IF(TRIM(B413)="","",UPPER(TRIM(B413)))</f>
        <v/>
      </c>
    </row>
    <row r="414" customFormat="false" ht="14.25" hidden="false" customHeight="true" outlineLevel="0" collapsed="false">
      <c r="D414" s="17"/>
      <c r="G414" s="17" t="str">
        <f aca="false">IF(TRIM(C414)="","",IFERROR(INDEX('Code Aliases'!$B:$B,MATCH(TRIM(C414),'Code Aliases'!$A:$A,0)),TRIM(C414)))</f>
        <v/>
      </c>
      <c r="H414" s="17" t="str">
        <f aca="false">IF(TRIM(B414)="","",UPPER(TRIM(B414)))</f>
        <v/>
      </c>
    </row>
    <row r="415" customFormat="false" ht="14.25" hidden="false" customHeight="true" outlineLevel="0" collapsed="false">
      <c r="D415" s="17"/>
      <c r="G415" s="17" t="str">
        <f aca="false">IF(TRIM(C415)="","",IFERROR(INDEX('Code Aliases'!$B:$B,MATCH(TRIM(C415),'Code Aliases'!$A:$A,0)),TRIM(C415)))</f>
        <v/>
      </c>
      <c r="H415" s="17" t="str">
        <f aca="false">IF(TRIM(B415)="","",UPPER(TRIM(B415)))</f>
        <v/>
      </c>
    </row>
    <row r="416" customFormat="false" ht="14.25" hidden="false" customHeight="true" outlineLevel="0" collapsed="false">
      <c r="D416" s="17"/>
      <c r="G416" s="17" t="str">
        <f aca="false">IF(TRIM(C416)="","",IFERROR(INDEX('Code Aliases'!$B:$B,MATCH(TRIM(C416),'Code Aliases'!$A:$A,0)),TRIM(C416)))</f>
        <v/>
      </c>
      <c r="H416" s="17" t="str">
        <f aca="false">IF(TRIM(B416)="","",UPPER(TRIM(B416)))</f>
        <v/>
      </c>
    </row>
    <row r="417" customFormat="false" ht="14.25" hidden="false" customHeight="true" outlineLevel="0" collapsed="false">
      <c r="D417" s="17"/>
      <c r="G417" s="17" t="str">
        <f aca="false">IF(TRIM(C417)="","",IFERROR(INDEX('Code Aliases'!$B:$B,MATCH(TRIM(C417),'Code Aliases'!$A:$A,0)),TRIM(C417)))</f>
        <v/>
      </c>
      <c r="H417" s="17" t="str">
        <f aca="false">IF(TRIM(B417)="","",UPPER(TRIM(B417)))</f>
        <v/>
      </c>
    </row>
    <row r="418" customFormat="false" ht="14.25" hidden="false" customHeight="true" outlineLevel="0" collapsed="false">
      <c r="D418" s="17"/>
      <c r="G418" s="17" t="str">
        <f aca="false">IF(TRIM(C418)="","",IFERROR(INDEX('Code Aliases'!$B:$B,MATCH(TRIM(C418),'Code Aliases'!$A:$A,0)),TRIM(C418)))</f>
        <v/>
      </c>
      <c r="H418" s="17" t="str">
        <f aca="false">IF(TRIM(B418)="","",UPPER(TRIM(B418)))</f>
        <v/>
      </c>
    </row>
    <row r="419" customFormat="false" ht="14.25" hidden="false" customHeight="true" outlineLevel="0" collapsed="false">
      <c r="D419" s="17"/>
      <c r="G419" s="17" t="str">
        <f aca="false">IF(TRIM(C419)="","",IFERROR(INDEX('Code Aliases'!$B:$B,MATCH(TRIM(C419),'Code Aliases'!$A:$A,0)),TRIM(C419)))</f>
        <v/>
      </c>
      <c r="H419" s="17" t="str">
        <f aca="false">IF(TRIM(B419)="","",UPPER(TRIM(B419)))</f>
        <v/>
      </c>
    </row>
    <row r="420" customFormat="false" ht="14.25" hidden="false" customHeight="true" outlineLevel="0" collapsed="false">
      <c r="D420" s="17"/>
      <c r="G420" s="17" t="str">
        <f aca="false">IF(TRIM(C420)="","",IFERROR(INDEX('Code Aliases'!$B:$B,MATCH(TRIM(C420),'Code Aliases'!$A:$A,0)),TRIM(C420)))</f>
        <v/>
      </c>
      <c r="H420" s="17" t="str">
        <f aca="false">IF(TRIM(B420)="","",UPPER(TRIM(B420)))</f>
        <v/>
      </c>
    </row>
    <row r="421" customFormat="false" ht="14.25" hidden="false" customHeight="true" outlineLevel="0" collapsed="false">
      <c r="D421" s="17"/>
      <c r="G421" s="17" t="str">
        <f aca="false">IF(TRIM(C421)="","",IFERROR(INDEX('Code Aliases'!$B:$B,MATCH(TRIM(C421),'Code Aliases'!$A:$A,0)),TRIM(C421)))</f>
        <v/>
      </c>
      <c r="H421" s="17" t="str">
        <f aca="false">IF(TRIM(B421)="","",UPPER(TRIM(B421)))</f>
        <v/>
      </c>
    </row>
    <row r="422" customFormat="false" ht="14.25" hidden="false" customHeight="true" outlineLevel="0" collapsed="false">
      <c r="D422" s="17"/>
      <c r="G422" s="17" t="str">
        <f aca="false">IF(TRIM(C422)="","",IFERROR(INDEX('Code Aliases'!$B:$B,MATCH(TRIM(C422),'Code Aliases'!$A:$A,0)),TRIM(C422)))</f>
        <v/>
      </c>
      <c r="H422" s="17" t="str">
        <f aca="false">IF(TRIM(B422)="","",UPPER(TRIM(B422)))</f>
        <v/>
      </c>
    </row>
    <row r="423" customFormat="false" ht="14.25" hidden="false" customHeight="true" outlineLevel="0" collapsed="false">
      <c r="D423" s="17"/>
      <c r="G423" s="17" t="str">
        <f aca="false">IF(TRIM(C423)="","",IFERROR(INDEX('Code Aliases'!$B:$B,MATCH(TRIM(C423),'Code Aliases'!$A:$A,0)),TRIM(C423)))</f>
        <v/>
      </c>
      <c r="H423" s="17" t="str">
        <f aca="false">IF(TRIM(B423)="","",UPPER(TRIM(B423)))</f>
        <v/>
      </c>
    </row>
    <row r="424" customFormat="false" ht="14.25" hidden="false" customHeight="true" outlineLevel="0" collapsed="false">
      <c r="D424" s="17"/>
      <c r="G424" s="17" t="str">
        <f aca="false">IF(TRIM(C424)="","",IFERROR(INDEX('Code Aliases'!$B:$B,MATCH(TRIM(C424),'Code Aliases'!$A:$A,0)),TRIM(C424)))</f>
        <v/>
      </c>
      <c r="H424" s="17" t="str">
        <f aca="false">IF(TRIM(B424)="","",UPPER(TRIM(B424)))</f>
        <v/>
      </c>
    </row>
    <row r="425" customFormat="false" ht="14.25" hidden="false" customHeight="true" outlineLevel="0" collapsed="false">
      <c r="D425" s="17"/>
      <c r="G425" s="17" t="str">
        <f aca="false">IF(TRIM(C425)="","",IFERROR(INDEX('Code Aliases'!$B:$B,MATCH(TRIM(C425),'Code Aliases'!$A:$A,0)),TRIM(C425)))</f>
        <v/>
      </c>
      <c r="H425" s="17" t="str">
        <f aca="false">IF(TRIM(B425)="","",UPPER(TRIM(B425)))</f>
        <v/>
      </c>
    </row>
    <row r="426" customFormat="false" ht="14.25" hidden="false" customHeight="true" outlineLevel="0" collapsed="false">
      <c r="D426" s="17"/>
      <c r="G426" s="17" t="str">
        <f aca="false">IF(TRIM(C426)="","",IFERROR(INDEX('Code Aliases'!$B:$B,MATCH(TRIM(C426),'Code Aliases'!$A:$A,0)),TRIM(C426)))</f>
        <v/>
      </c>
      <c r="H426" s="17" t="str">
        <f aca="false">IF(TRIM(B426)="","",UPPER(TRIM(B426)))</f>
        <v/>
      </c>
    </row>
    <row r="427" customFormat="false" ht="14.25" hidden="false" customHeight="true" outlineLevel="0" collapsed="false">
      <c r="D427" s="17"/>
      <c r="G427" s="17" t="str">
        <f aca="false">IF(TRIM(C427)="","",IFERROR(INDEX('Code Aliases'!$B:$B,MATCH(TRIM(C427),'Code Aliases'!$A:$A,0)),TRIM(C427)))</f>
        <v/>
      </c>
      <c r="H427" s="17" t="str">
        <f aca="false">IF(TRIM(B427)="","",UPPER(TRIM(B427)))</f>
        <v/>
      </c>
    </row>
    <row r="428" customFormat="false" ht="14.25" hidden="false" customHeight="true" outlineLevel="0" collapsed="false">
      <c r="D428" s="17"/>
      <c r="G428" s="17" t="str">
        <f aca="false">IF(TRIM(C428)="","",IFERROR(INDEX('Code Aliases'!$B:$B,MATCH(TRIM(C428),'Code Aliases'!$A:$A,0)),TRIM(C428)))</f>
        <v/>
      </c>
      <c r="H428" s="17" t="str">
        <f aca="false">IF(TRIM(B428)="","",UPPER(TRIM(B428)))</f>
        <v/>
      </c>
    </row>
    <row r="429" customFormat="false" ht="14.25" hidden="false" customHeight="true" outlineLevel="0" collapsed="false">
      <c r="D429" s="17"/>
      <c r="G429" s="17" t="str">
        <f aca="false">IF(TRIM(C429)="","",IFERROR(INDEX('Code Aliases'!$B:$B,MATCH(TRIM(C429),'Code Aliases'!$A:$A,0)),TRIM(C429)))</f>
        <v/>
      </c>
      <c r="H429" s="17" t="str">
        <f aca="false">IF(TRIM(B429)="","",UPPER(TRIM(B429)))</f>
        <v/>
      </c>
    </row>
    <row r="430" customFormat="false" ht="14.25" hidden="false" customHeight="true" outlineLevel="0" collapsed="false">
      <c r="D430" s="17"/>
      <c r="G430" s="17" t="str">
        <f aca="false">IF(TRIM(C430)="","",IFERROR(INDEX('Code Aliases'!$B:$B,MATCH(TRIM(C430),'Code Aliases'!$A:$A,0)),TRIM(C430)))</f>
        <v/>
      </c>
      <c r="H430" s="17" t="str">
        <f aca="false">IF(TRIM(B430)="","",UPPER(TRIM(B430)))</f>
        <v/>
      </c>
    </row>
    <row r="431" customFormat="false" ht="14.25" hidden="false" customHeight="true" outlineLevel="0" collapsed="false">
      <c r="D431" s="17"/>
      <c r="G431" s="17" t="str">
        <f aca="false">IF(TRIM(C431)="","",IFERROR(INDEX('Code Aliases'!$B:$B,MATCH(TRIM(C431),'Code Aliases'!$A:$A,0)),TRIM(C431)))</f>
        <v/>
      </c>
      <c r="H431" s="17" t="str">
        <f aca="false">IF(TRIM(B431)="","",UPPER(TRIM(B431)))</f>
        <v/>
      </c>
    </row>
    <row r="432" customFormat="false" ht="14.25" hidden="false" customHeight="true" outlineLevel="0" collapsed="false">
      <c r="D432" s="17"/>
      <c r="G432" s="17" t="str">
        <f aca="false">IF(TRIM(C432)="","",IFERROR(INDEX('Code Aliases'!$B:$B,MATCH(TRIM(C432),'Code Aliases'!$A:$A,0)),TRIM(C432)))</f>
        <v/>
      </c>
      <c r="H432" s="17" t="str">
        <f aca="false">IF(TRIM(B432)="","",UPPER(TRIM(B432)))</f>
        <v/>
      </c>
    </row>
    <row r="433" customFormat="false" ht="14.25" hidden="false" customHeight="true" outlineLevel="0" collapsed="false">
      <c r="D433" s="17"/>
      <c r="G433" s="17" t="str">
        <f aca="false">IF(TRIM(C433)="","",IFERROR(INDEX('Code Aliases'!$B:$B,MATCH(TRIM(C433),'Code Aliases'!$A:$A,0)),TRIM(C433)))</f>
        <v/>
      </c>
      <c r="H433" s="17" t="str">
        <f aca="false">IF(TRIM(B433)="","",UPPER(TRIM(B433)))</f>
        <v/>
      </c>
    </row>
    <row r="434" customFormat="false" ht="14.25" hidden="false" customHeight="true" outlineLevel="0" collapsed="false">
      <c r="D434" s="17"/>
      <c r="G434" s="17" t="str">
        <f aca="false">IF(TRIM(C434)="","",IFERROR(INDEX('Code Aliases'!$B:$B,MATCH(TRIM(C434),'Code Aliases'!$A:$A,0)),TRIM(C434)))</f>
        <v/>
      </c>
      <c r="H434" s="17" t="str">
        <f aca="false">IF(TRIM(B434)="","",UPPER(TRIM(B434)))</f>
        <v/>
      </c>
    </row>
    <row r="435" customFormat="false" ht="14.25" hidden="false" customHeight="true" outlineLevel="0" collapsed="false">
      <c r="D435" s="17"/>
      <c r="G435" s="17" t="str">
        <f aca="false">IF(TRIM(C435)="","",IFERROR(INDEX('Code Aliases'!$B:$B,MATCH(TRIM(C435),'Code Aliases'!$A:$A,0)),TRIM(C435)))</f>
        <v/>
      </c>
      <c r="H435" s="17" t="str">
        <f aca="false">IF(TRIM(B435)="","",UPPER(TRIM(B435)))</f>
        <v/>
      </c>
    </row>
    <row r="436" customFormat="false" ht="14.25" hidden="false" customHeight="true" outlineLevel="0" collapsed="false">
      <c r="D436" s="17"/>
      <c r="G436" s="17" t="str">
        <f aca="false">IF(TRIM(C436)="","",IFERROR(INDEX('Code Aliases'!$B:$B,MATCH(TRIM(C436),'Code Aliases'!$A:$A,0)),TRIM(C436)))</f>
        <v/>
      </c>
      <c r="H436" s="17" t="str">
        <f aca="false">IF(TRIM(B436)="","",UPPER(TRIM(B436)))</f>
        <v/>
      </c>
    </row>
    <row r="437" customFormat="false" ht="14.25" hidden="false" customHeight="true" outlineLevel="0" collapsed="false">
      <c r="D437" s="17"/>
      <c r="G437" s="17" t="str">
        <f aca="false">IF(TRIM(C437)="","",IFERROR(INDEX('Code Aliases'!$B:$B,MATCH(TRIM(C437),'Code Aliases'!$A:$A,0)),TRIM(C437)))</f>
        <v/>
      </c>
      <c r="H437" s="17" t="str">
        <f aca="false">IF(TRIM(B437)="","",UPPER(TRIM(B437)))</f>
        <v/>
      </c>
    </row>
    <row r="438" customFormat="false" ht="14.25" hidden="false" customHeight="true" outlineLevel="0" collapsed="false">
      <c r="D438" s="17"/>
      <c r="G438" s="17" t="str">
        <f aca="false">IF(TRIM(C438)="","",IFERROR(INDEX('Code Aliases'!$B:$B,MATCH(TRIM(C438),'Code Aliases'!$A:$A,0)),TRIM(C438)))</f>
        <v/>
      </c>
      <c r="H438" s="17" t="str">
        <f aca="false">IF(TRIM(B438)="","",UPPER(TRIM(B438)))</f>
        <v/>
      </c>
    </row>
    <row r="439" customFormat="false" ht="14.25" hidden="false" customHeight="true" outlineLevel="0" collapsed="false">
      <c r="D439" s="17"/>
      <c r="G439" s="17" t="str">
        <f aca="false">IF(TRIM(C439)="","",IFERROR(INDEX('Code Aliases'!$B:$B,MATCH(TRIM(C439),'Code Aliases'!$A:$A,0)),TRIM(C439)))</f>
        <v/>
      </c>
      <c r="H439" s="17" t="str">
        <f aca="false">IF(TRIM(B439)="","",UPPER(TRIM(B439)))</f>
        <v/>
      </c>
    </row>
    <row r="440" customFormat="false" ht="14.25" hidden="false" customHeight="true" outlineLevel="0" collapsed="false">
      <c r="D440" s="17"/>
      <c r="G440" s="17" t="str">
        <f aca="false">IF(TRIM(C440)="","",IFERROR(INDEX('Code Aliases'!$B:$B,MATCH(TRIM(C440),'Code Aliases'!$A:$A,0)),TRIM(C440)))</f>
        <v/>
      </c>
      <c r="H440" s="17" t="str">
        <f aca="false">IF(TRIM(B440)="","",UPPER(TRIM(B440)))</f>
        <v/>
      </c>
    </row>
    <row r="441" customFormat="false" ht="14.25" hidden="false" customHeight="true" outlineLevel="0" collapsed="false">
      <c r="D441" s="17"/>
      <c r="G441" s="17" t="str">
        <f aca="false">IF(TRIM(C441)="","",IFERROR(INDEX('Code Aliases'!$B:$B,MATCH(TRIM(C441),'Code Aliases'!$A:$A,0)),TRIM(C441)))</f>
        <v/>
      </c>
      <c r="H441" s="17" t="str">
        <f aca="false">IF(TRIM(B441)="","",UPPER(TRIM(B441)))</f>
        <v/>
      </c>
    </row>
    <row r="442" customFormat="false" ht="14.25" hidden="false" customHeight="true" outlineLevel="0" collapsed="false">
      <c r="D442" s="17"/>
      <c r="G442" s="17" t="str">
        <f aca="false">IF(TRIM(C442)="","",IFERROR(INDEX('Code Aliases'!$B:$B,MATCH(TRIM(C442),'Code Aliases'!$A:$A,0)),TRIM(C442)))</f>
        <v/>
      </c>
      <c r="H442" s="17" t="str">
        <f aca="false">IF(TRIM(B442)="","",UPPER(TRIM(B442)))</f>
        <v/>
      </c>
    </row>
    <row r="443" customFormat="false" ht="14.25" hidden="false" customHeight="true" outlineLevel="0" collapsed="false">
      <c r="D443" s="17"/>
      <c r="G443" s="17" t="str">
        <f aca="false">IF(TRIM(C443)="","",IFERROR(INDEX('Code Aliases'!$B:$B,MATCH(TRIM(C443),'Code Aliases'!$A:$A,0)),TRIM(C443)))</f>
        <v/>
      </c>
      <c r="H443" s="17" t="str">
        <f aca="false">IF(TRIM(B443)="","",UPPER(TRIM(B443)))</f>
        <v/>
      </c>
    </row>
    <row r="444" customFormat="false" ht="14.25" hidden="false" customHeight="true" outlineLevel="0" collapsed="false">
      <c r="D444" s="17"/>
      <c r="G444" s="17" t="str">
        <f aca="false">IF(TRIM(C444)="","",IFERROR(INDEX('Code Aliases'!$B:$B,MATCH(TRIM(C444),'Code Aliases'!$A:$A,0)),TRIM(C444)))</f>
        <v/>
      </c>
      <c r="H444" s="17" t="str">
        <f aca="false">IF(TRIM(B444)="","",UPPER(TRIM(B444)))</f>
        <v/>
      </c>
    </row>
    <row r="445" customFormat="false" ht="14.25" hidden="false" customHeight="true" outlineLevel="0" collapsed="false">
      <c r="D445" s="17"/>
      <c r="G445" s="17" t="str">
        <f aca="false">IF(TRIM(C445)="","",IFERROR(INDEX('Code Aliases'!$B:$B,MATCH(TRIM(C445),'Code Aliases'!$A:$A,0)),TRIM(C445)))</f>
        <v/>
      </c>
      <c r="H445" s="17" t="str">
        <f aca="false">IF(TRIM(B445)="","",UPPER(TRIM(B445)))</f>
        <v/>
      </c>
    </row>
    <row r="446" customFormat="false" ht="14.25" hidden="false" customHeight="true" outlineLevel="0" collapsed="false">
      <c r="D446" s="17"/>
      <c r="G446" s="17" t="str">
        <f aca="false">IF(TRIM(C446)="","",IFERROR(INDEX('Code Aliases'!$B:$B,MATCH(TRIM(C446),'Code Aliases'!$A:$A,0)),TRIM(C446)))</f>
        <v/>
      </c>
      <c r="H446" s="17" t="str">
        <f aca="false">IF(TRIM(B446)="","",UPPER(TRIM(B446)))</f>
        <v/>
      </c>
    </row>
    <row r="447" customFormat="false" ht="14.25" hidden="false" customHeight="true" outlineLevel="0" collapsed="false">
      <c r="D447" s="17"/>
      <c r="G447" s="17" t="str">
        <f aca="false">IF(TRIM(C447)="","",IFERROR(INDEX('Code Aliases'!$B:$B,MATCH(TRIM(C447),'Code Aliases'!$A:$A,0)),TRIM(C447)))</f>
        <v/>
      </c>
      <c r="H447" s="17" t="str">
        <f aca="false">IF(TRIM(B447)="","",UPPER(TRIM(B447)))</f>
        <v/>
      </c>
    </row>
    <row r="448" customFormat="false" ht="14.25" hidden="false" customHeight="true" outlineLevel="0" collapsed="false">
      <c r="D448" s="17"/>
      <c r="G448" s="17" t="str">
        <f aca="false">IF(TRIM(C448)="","",IFERROR(INDEX('Code Aliases'!$B:$B,MATCH(TRIM(C448),'Code Aliases'!$A:$A,0)),TRIM(C448)))</f>
        <v/>
      </c>
      <c r="H448" s="17" t="str">
        <f aca="false">IF(TRIM(B448)="","",UPPER(TRIM(B448)))</f>
        <v/>
      </c>
    </row>
    <row r="449" customFormat="false" ht="14.25" hidden="false" customHeight="true" outlineLevel="0" collapsed="false">
      <c r="D449" s="17"/>
      <c r="G449" s="17" t="str">
        <f aca="false">IF(TRIM(C449)="","",IFERROR(INDEX('Code Aliases'!$B:$B,MATCH(TRIM(C449),'Code Aliases'!$A:$A,0)),TRIM(C449)))</f>
        <v/>
      </c>
      <c r="H449" s="17" t="str">
        <f aca="false">IF(TRIM(B449)="","",UPPER(TRIM(B449)))</f>
        <v/>
      </c>
    </row>
    <row r="450" customFormat="false" ht="14.25" hidden="false" customHeight="true" outlineLevel="0" collapsed="false">
      <c r="D450" s="17"/>
      <c r="G450" s="17" t="str">
        <f aca="false">IF(TRIM(C450)="","",IFERROR(INDEX('Code Aliases'!$B:$B,MATCH(TRIM(C450),'Code Aliases'!$A:$A,0)),TRIM(C450)))</f>
        <v/>
      </c>
      <c r="H450" s="17" t="str">
        <f aca="false">IF(TRIM(B450)="","",UPPER(TRIM(B450)))</f>
        <v/>
      </c>
    </row>
    <row r="451" customFormat="false" ht="14.25" hidden="false" customHeight="true" outlineLevel="0" collapsed="false">
      <c r="D451" s="17"/>
      <c r="G451" s="17" t="str">
        <f aca="false">IF(TRIM(C451)="","",IFERROR(INDEX('Code Aliases'!$B:$B,MATCH(TRIM(C451),'Code Aliases'!$A:$A,0)),TRIM(C451)))</f>
        <v/>
      </c>
      <c r="H451" s="17" t="str">
        <f aca="false">IF(TRIM(B451)="","",UPPER(TRIM(B451)))</f>
        <v/>
      </c>
    </row>
    <row r="452" customFormat="false" ht="14.25" hidden="false" customHeight="true" outlineLevel="0" collapsed="false">
      <c r="D452" s="17"/>
      <c r="G452" s="17" t="str">
        <f aca="false">IF(TRIM(C452)="","",IFERROR(INDEX('Code Aliases'!$B:$B,MATCH(TRIM(C452),'Code Aliases'!$A:$A,0)),TRIM(C452)))</f>
        <v/>
      </c>
      <c r="H452" s="17" t="str">
        <f aca="false">IF(TRIM(B452)="","",UPPER(TRIM(B452)))</f>
        <v/>
      </c>
    </row>
    <row r="453" customFormat="false" ht="14.25" hidden="false" customHeight="true" outlineLevel="0" collapsed="false">
      <c r="D453" s="17"/>
      <c r="G453" s="17" t="str">
        <f aca="false">IF(TRIM(C453)="","",IFERROR(INDEX('Code Aliases'!$B:$B,MATCH(TRIM(C453),'Code Aliases'!$A:$A,0)),TRIM(C453)))</f>
        <v/>
      </c>
      <c r="H453" s="17" t="str">
        <f aca="false">IF(TRIM(B453)="","",UPPER(TRIM(B453)))</f>
        <v/>
      </c>
    </row>
    <row r="454" customFormat="false" ht="14.25" hidden="false" customHeight="true" outlineLevel="0" collapsed="false">
      <c r="D454" s="17"/>
      <c r="G454" s="17" t="str">
        <f aca="false">IF(TRIM(C454)="","",IFERROR(INDEX('Code Aliases'!$B:$B,MATCH(TRIM(C454),'Code Aliases'!$A:$A,0)),TRIM(C454)))</f>
        <v/>
      </c>
      <c r="H454" s="17" t="str">
        <f aca="false">IF(TRIM(B454)="","",UPPER(TRIM(B454)))</f>
        <v/>
      </c>
    </row>
    <row r="455" customFormat="false" ht="14.25" hidden="false" customHeight="true" outlineLevel="0" collapsed="false">
      <c r="D455" s="17"/>
      <c r="G455" s="17" t="str">
        <f aca="false">IF(TRIM(C455)="","",IFERROR(INDEX('Code Aliases'!$B:$B,MATCH(TRIM(C455),'Code Aliases'!$A:$A,0)),TRIM(C455)))</f>
        <v/>
      </c>
      <c r="H455" s="17" t="str">
        <f aca="false">IF(TRIM(B455)="","",UPPER(TRIM(B455)))</f>
        <v/>
      </c>
    </row>
    <row r="456" customFormat="false" ht="14.25" hidden="false" customHeight="true" outlineLevel="0" collapsed="false">
      <c r="D456" s="17"/>
      <c r="G456" s="17" t="str">
        <f aca="false">IF(TRIM(C456)="","",IFERROR(INDEX('Code Aliases'!$B:$B,MATCH(TRIM(C456),'Code Aliases'!$A:$A,0)),TRIM(C456)))</f>
        <v/>
      </c>
      <c r="H456" s="17" t="str">
        <f aca="false">IF(TRIM(B456)="","",UPPER(TRIM(B456)))</f>
        <v/>
      </c>
    </row>
    <row r="457" customFormat="false" ht="14.25" hidden="false" customHeight="true" outlineLevel="0" collapsed="false">
      <c r="D457" s="17"/>
      <c r="G457" s="17" t="str">
        <f aca="false">IF(TRIM(C457)="","",IFERROR(INDEX('Code Aliases'!$B:$B,MATCH(TRIM(C457),'Code Aliases'!$A:$A,0)),TRIM(C457)))</f>
        <v/>
      </c>
      <c r="H457" s="17" t="str">
        <f aca="false">IF(TRIM(B457)="","",UPPER(TRIM(B457)))</f>
        <v/>
      </c>
    </row>
    <row r="458" customFormat="false" ht="14.25" hidden="false" customHeight="true" outlineLevel="0" collapsed="false">
      <c r="D458" s="17"/>
      <c r="G458" s="17" t="str">
        <f aca="false">IF(TRIM(C458)="","",IFERROR(INDEX('Code Aliases'!$B:$B,MATCH(TRIM(C458),'Code Aliases'!$A:$A,0)),TRIM(C458)))</f>
        <v/>
      </c>
      <c r="H458" s="17" t="str">
        <f aca="false">IF(TRIM(B458)="","",UPPER(TRIM(B458)))</f>
        <v/>
      </c>
    </row>
    <row r="459" customFormat="false" ht="14.25" hidden="false" customHeight="true" outlineLevel="0" collapsed="false">
      <c r="D459" s="17"/>
      <c r="G459" s="17" t="str">
        <f aca="false">IF(TRIM(C459)="","",IFERROR(INDEX('Code Aliases'!$B:$B,MATCH(TRIM(C459),'Code Aliases'!$A:$A,0)),TRIM(C459)))</f>
        <v/>
      </c>
      <c r="H459" s="17" t="str">
        <f aca="false">IF(TRIM(B459)="","",UPPER(TRIM(B459)))</f>
        <v/>
      </c>
    </row>
    <row r="460" customFormat="false" ht="14.25" hidden="false" customHeight="true" outlineLevel="0" collapsed="false">
      <c r="D460" s="17"/>
      <c r="G460" s="17" t="str">
        <f aca="false">IF(TRIM(C460)="","",IFERROR(INDEX('Code Aliases'!$B:$B,MATCH(TRIM(C460),'Code Aliases'!$A:$A,0)),TRIM(C460)))</f>
        <v/>
      </c>
      <c r="H460" s="17" t="str">
        <f aca="false">IF(TRIM(B460)="","",UPPER(TRIM(B460)))</f>
        <v/>
      </c>
    </row>
    <row r="461" customFormat="false" ht="14.25" hidden="false" customHeight="true" outlineLevel="0" collapsed="false">
      <c r="D461" s="17"/>
      <c r="G461" s="17" t="str">
        <f aca="false">IF(TRIM(C461)="","",IFERROR(INDEX('Code Aliases'!$B:$B,MATCH(TRIM(C461),'Code Aliases'!$A:$A,0)),TRIM(C461)))</f>
        <v/>
      </c>
      <c r="H461" s="17" t="str">
        <f aca="false">IF(TRIM(B461)="","",UPPER(TRIM(B461)))</f>
        <v/>
      </c>
    </row>
    <row r="462" customFormat="false" ht="14.25" hidden="false" customHeight="true" outlineLevel="0" collapsed="false">
      <c r="D462" s="17"/>
      <c r="G462" s="17" t="str">
        <f aca="false">IF(TRIM(C462)="","",IFERROR(INDEX('Code Aliases'!$B:$B,MATCH(TRIM(C462),'Code Aliases'!$A:$A,0)),TRIM(C462)))</f>
        <v/>
      </c>
      <c r="H462" s="17" t="str">
        <f aca="false">IF(TRIM(B462)="","",UPPER(TRIM(B462)))</f>
        <v/>
      </c>
    </row>
    <row r="463" customFormat="false" ht="14.25" hidden="false" customHeight="true" outlineLevel="0" collapsed="false">
      <c r="D463" s="17"/>
      <c r="G463" s="17" t="str">
        <f aca="false">IF(TRIM(C463)="","",IFERROR(INDEX('Code Aliases'!$B:$B,MATCH(TRIM(C463),'Code Aliases'!$A:$A,0)),TRIM(C463)))</f>
        <v/>
      </c>
      <c r="H463" s="17" t="str">
        <f aca="false">IF(TRIM(B463)="","",UPPER(TRIM(B463)))</f>
        <v/>
      </c>
    </row>
    <row r="464" customFormat="false" ht="14.25" hidden="false" customHeight="true" outlineLevel="0" collapsed="false">
      <c r="D464" s="17"/>
      <c r="G464" s="17" t="str">
        <f aca="false">IF(TRIM(C464)="","",IFERROR(INDEX('Code Aliases'!$B:$B,MATCH(TRIM(C464),'Code Aliases'!$A:$A,0)),TRIM(C464)))</f>
        <v/>
      </c>
      <c r="H464" s="17" t="str">
        <f aca="false">IF(TRIM(B464)="","",UPPER(TRIM(B464)))</f>
        <v/>
      </c>
    </row>
    <row r="465" customFormat="false" ht="14.25" hidden="false" customHeight="true" outlineLevel="0" collapsed="false">
      <c r="D465" s="17"/>
      <c r="G465" s="17" t="str">
        <f aca="false">IF(TRIM(C465)="","",IFERROR(INDEX('Code Aliases'!$B:$B,MATCH(TRIM(C465),'Code Aliases'!$A:$A,0)),TRIM(C465)))</f>
        <v/>
      </c>
      <c r="H465" s="17" t="str">
        <f aca="false">IF(TRIM(B465)="","",UPPER(TRIM(B465)))</f>
        <v/>
      </c>
    </row>
    <row r="466" customFormat="false" ht="14.25" hidden="false" customHeight="true" outlineLevel="0" collapsed="false">
      <c r="D466" s="17"/>
      <c r="G466" s="17" t="str">
        <f aca="false">IF(TRIM(C466)="","",IFERROR(INDEX('Code Aliases'!$B:$B,MATCH(TRIM(C466),'Code Aliases'!$A:$A,0)),TRIM(C466)))</f>
        <v/>
      </c>
      <c r="H466" s="17" t="str">
        <f aca="false">IF(TRIM(B466)="","",UPPER(TRIM(B466)))</f>
        <v/>
      </c>
    </row>
    <row r="467" customFormat="false" ht="14.25" hidden="false" customHeight="true" outlineLevel="0" collapsed="false">
      <c r="D467" s="17"/>
      <c r="G467" s="17" t="str">
        <f aca="false">IF(TRIM(C467)="","",IFERROR(INDEX('Code Aliases'!$B:$B,MATCH(TRIM(C467),'Code Aliases'!$A:$A,0)),TRIM(C467)))</f>
        <v/>
      </c>
      <c r="H467" s="17" t="str">
        <f aca="false">IF(TRIM(B467)="","",UPPER(TRIM(B467)))</f>
        <v/>
      </c>
    </row>
    <row r="468" customFormat="false" ht="14.25" hidden="false" customHeight="true" outlineLevel="0" collapsed="false">
      <c r="D468" s="17"/>
      <c r="G468" s="17" t="str">
        <f aca="false">IF(TRIM(C468)="","",IFERROR(INDEX('Code Aliases'!$B:$B,MATCH(TRIM(C468),'Code Aliases'!$A:$A,0)),TRIM(C468)))</f>
        <v/>
      </c>
      <c r="H468" s="17" t="str">
        <f aca="false">IF(TRIM(B468)="","",UPPER(TRIM(B468)))</f>
        <v/>
      </c>
    </row>
    <row r="469" customFormat="false" ht="14.25" hidden="false" customHeight="true" outlineLevel="0" collapsed="false">
      <c r="D469" s="17"/>
      <c r="G469" s="17" t="str">
        <f aca="false">IF(TRIM(C469)="","",IFERROR(INDEX('Code Aliases'!$B:$B,MATCH(TRIM(C469),'Code Aliases'!$A:$A,0)),TRIM(C469)))</f>
        <v/>
      </c>
      <c r="H469" s="17" t="str">
        <f aca="false">IF(TRIM(B469)="","",UPPER(TRIM(B469)))</f>
        <v/>
      </c>
    </row>
    <row r="470" customFormat="false" ht="14.25" hidden="false" customHeight="true" outlineLevel="0" collapsed="false">
      <c r="D470" s="17"/>
      <c r="G470" s="17" t="str">
        <f aca="false">IF(TRIM(C470)="","",IFERROR(INDEX('Code Aliases'!$B:$B,MATCH(TRIM(C470),'Code Aliases'!$A:$A,0)),TRIM(C470)))</f>
        <v/>
      </c>
      <c r="H470" s="17" t="str">
        <f aca="false">IF(TRIM(B470)="","",UPPER(TRIM(B470)))</f>
        <v/>
      </c>
    </row>
    <row r="471" customFormat="false" ht="14.25" hidden="false" customHeight="true" outlineLevel="0" collapsed="false">
      <c r="D471" s="17"/>
      <c r="G471" s="17" t="str">
        <f aca="false">IF(TRIM(C471)="","",IFERROR(INDEX('Code Aliases'!$B:$B,MATCH(TRIM(C471),'Code Aliases'!$A:$A,0)),TRIM(C471)))</f>
        <v/>
      </c>
      <c r="H471" s="17" t="str">
        <f aca="false">IF(TRIM(B471)="","",UPPER(TRIM(B471)))</f>
        <v/>
      </c>
    </row>
    <row r="472" customFormat="false" ht="14.25" hidden="false" customHeight="true" outlineLevel="0" collapsed="false">
      <c r="D472" s="17"/>
      <c r="G472" s="17" t="str">
        <f aca="false">IF(TRIM(C472)="","",IFERROR(INDEX('Code Aliases'!$B:$B,MATCH(TRIM(C472),'Code Aliases'!$A:$A,0)),TRIM(C472)))</f>
        <v/>
      </c>
      <c r="H472" s="17" t="str">
        <f aca="false">IF(TRIM(B472)="","",UPPER(TRIM(B472)))</f>
        <v/>
      </c>
    </row>
    <row r="473" customFormat="false" ht="14.25" hidden="false" customHeight="true" outlineLevel="0" collapsed="false">
      <c r="D473" s="17"/>
      <c r="G473" s="17" t="str">
        <f aca="false">IF(TRIM(C473)="","",IFERROR(INDEX('Code Aliases'!$B:$B,MATCH(TRIM(C473),'Code Aliases'!$A:$A,0)),TRIM(C473)))</f>
        <v/>
      </c>
      <c r="H473" s="17" t="str">
        <f aca="false">IF(TRIM(B473)="","",UPPER(TRIM(B473)))</f>
        <v/>
      </c>
    </row>
    <row r="474" customFormat="false" ht="14.25" hidden="false" customHeight="true" outlineLevel="0" collapsed="false">
      <c r="D474" s="17"/>
      <c r="G474" s="17" t="str">
        <f aca="false">IF(TRIM(C474)="","",IFERROR(INDEX('Code Aliases'!$B:$B,MATCH(TRIM(C474),'Code Aliases'!$A:$A,0)),TRIM(C474)))</f>
        <v/>
      </c>
      <c r="H474" s="17" t="str">
        <f aca="false">IF(TRIM(B474)="","",UPPER(TRIM(B474)))</f>
        <v/>
      </c>
    </row>
    <row r="475" customFormat="false" ht="14.25" hidden="false" customHeight="true" outlineLevel="0" collapsed="false">
      <c r="D475" s="17"/>
      <c r="G475" s="17" t="str">
        <f aca="false">IF(TRIM(C475)="","",IFERROR(INDEX('Code Aliases'!$B:$B,MATCH(TRIM(C475),'Code Aliases'!$A:$A,0)),TRIM(C475)))</f>
        <v/>
      </c>
      <c r="H475" s="17" t="str">
        <f aca="false">IF(TRIM(B475)="","",UPPER(TRIM(B475)))</f>
        <v/>
      </c>
    </row>
    <row r="476" customFormat="false" ht="14.25" hidden="false" customHeight="true" outlineLevel="0" collapsed="false">
      <c r="D476" s="17"/>
      <c r="G476" s="17" t="str">
        <f aca="false">IF(TRIM(C476)="","",IFERROR(INDEX('Code Aliases'!$B:$B,MATCH(TRIM(C476),'Code Aliases'!$A:$A,0)),TRIM(C476)))</f>
        <v/>
      </c>
      <c r="H476" s="17" t="str">
        <f aca="false">IF(TRIM(B476)="","",UPPER(TRIM(B476)))</f>
        <v/>
      </c>
    </row>
    <row r="477" customFormat="false" ht="14.25" hidden="false" customHeight="true" outlineLevel="0" collapsed="false">
      <c r="D477" s="17"/>
      <c r="G477" s="17" t="str">
        <f aca="false">IF(TRIM(C477)="","",IFERROR(INDEX('Code Aliases'!$B:$B,MATCH(TRIM(C477),'Code Aliases'!$A:$A,0)),TRIM(C477)))</f>
        <v/>
      </c>
      <c r="H477" s="17" t="str">
        <f aca="false">IF(TRIM(B477)="","",UPPER(TRIM(B477)))</f>
        <v/>
      </c>
    </row>
    <row r="478" customFormat="false" ht="14.25" hidden="false" customHeight="true" outlineLevel="0" collapsed="false">
      <c r="D478" s="17"/>
      <c r="G478" s="17" t="str">
        <f aca="false">IF(TRIM(C478)="","",IFERROR(INDEX('Code Aliases'!$B:$B,MATCH(TRIM(C478),'Code Aliases'!$A:$A,0)),TRIM(C478)))</f>
        <v/>
      </c>
      <c r="H478" s="17" t="str">
        <f aca="false">IF(TRIM(B478)="","",UPPER(TRIM(B478)))</f>
        <v/>
      </c>
    </row>
    <row r="479" customFormat="false" ht="14.25" hidden="false" customHeight="true" outlineLevel="0" collapsed="false">
      <c r="D479" s="17"/>
      <c r="G479" s="17" t="str">
        <f aca="false">IF(TRIM(C479)="","",IFERROR(INDEX('Code Aliases'!$B:$B,MATCH(TRIM(C479),'Code Aliases'!$A:$A,0)),TRIM(C479)))</f>
        <v/>
      </c>
      <c r="H479" s="17" t="str">
        <f aca="false">IF(TRIM(B479)="","",UPPER(TRIM(B479)))</f>
        <v/>
      </c>
    </row>
    <row r="480" customFormat="false" ht="14.25" hidden="false" customHeight="true" outlineLevel="0" collapsed="false">
      <c r="D480" s="17"/>
      <c r="G480" s="17" t="str">
        <f aca="false">IF(TRIM(C480)="","",IFERROR(INDEX('Code Aliases'!$B:$B,MATCH(TRIM(C480),'Code Aliases'!$A:$A,0)),TRIM(C480)))</f>
        <v/>
      </c>
      <c r="H480" s="17" t="str">
        <f aca="false">IF(TRIM(B480)="","",UPPER(TRIM(B480)))</f>
        <v/>
      </c>
    </row>
    <row r="481" customFormat="false" ht="14.25" hidden="false" customHeight="true" outlineLevel="0" collapsed="false">
      <c r="D481" s="17"/>
      <c r="G481" s="17" t="str">
        <f aca="false">IF(TRIM(C481)="","",IFERROR(INDEX('Code Aliases'!$B:$B,MATCH(TRIM(C481),'Code Aliases'!$A:$A,0)),TRIM(C481)))</f>
        <v/>
      </c>
      <c r="H481" s="17" t="str">
        <f aca="false">IF(TRIM(B481)="","",UPPER(TRIM(B481)))</f>
        <v/>
      </c>
    </row>
    <row r="482" customFormat="false" ht="14.25" hidden="false" customHeight="true" outlineLevel="0" collapsed="false">
      <c r="D482" s="17"/>
      <c r="G482" s="17" t="str">
        <f aca="false">IF(TRIM(C482)="","",IFERROR(INDEX('Code Aliases'!$B:$B,MATCH(TRIM(C482),'Code Aliases'!$A:$A,0)),TRIM(C482)))</f>
        <v/>
      </c>
      <c r="H482" s="17" t="str">
        <f aca="false">IF(TRIM(B482)="","",UPPER(TRIM(B482)))</f>
        <v/>
      </c>
    </row>
    <row r="483" customFormat="false" ht="14.25" hidden="false" customHeight="true" outlineLevel="0" collapsed="false">
      <c r="D483" s="17"/>
      <c r="G483" s="17" t="str">
        <f aca="false">IF(TRIM(C483)="","",IFERROR(INDEX('Code Aliases'!$B:$B,MATCH(TRIM(C483),'Code Aliases'!$A:$A,0)),TRIM(C483)))</f>
        <v/>
      </c>
      <c r="H483" s="17" t="str">
        <f aca="false">IF(TRIM(B483)="","",UPPER(TRIM(B483)))</f>
        <v/>
      </c>
    </row>
    <row r="484" customFormat="false" ht="14.25" hidden="false" customHeight="true" outlineLevel="0" collapsed="false">
      <c r="D484" s="17"/>
      <c r="G484" s="17" t="str">
        <f aca="false">IF(TRIM(C484)="","",IFERROR(INDEX('Code Aliases'!$B:$B,MATCH(TRIM(C484),'Code Aliases'!$A:$A,0)),TRIM(C484)))</f>
        <v/>
      </c>
      <c r="H484" s="17" t="str">
        <f aca="false">IF(TRIM(B484)="","",UPPER(TRIM(B484)))</f>
        <v/>
      </c>
    </row>
    <row r="485" customFormat="false" ht="14.25" hidden="false" customHeight="true" outlineLevel="0" collapsed="false">
      <c r="D485" s="17"/>
      <c r="G485" s="17" t="str">
        <f aca="false">IF(TRIM(C485)="","",IFERROR(INDEX('Code Aliases'!$B:$B,MATCH(TRIM(C485),'Code Aliases'!$A:$A,0)),TRIM(C485)))</f>
        <v/>
      </c>
      <c r="H485" s="17" t="str">
        <f aca="false">IF(TRIM(B485)="","",UPPER(TRIM(B485)))</f>
        <v/>
      </c>
    </row>
    <row r="486" customFormat="false" ht="14.25" hidden="false" customHeight="true" outlineLevel="0" collapsed="false">
      <c r="D486" s="17"/>
      <c r="G486" s="17" t="str">
        <f aca="false">IF(TRIM(C486)="","",IFERROR(INDEX('Code Aliases'!$B:$B,MATCH(TRIM(C486),'Code Aliases'!$A:$A,0)),TRIM(C486)))</f>
        <v/>
      </c>
      <c r="H486" s="17" t="str">
        <f aca="false">IF(TRIM(B486)="","",UPPER(TRIM(B486)))</f>
        <v/>
      </c>
    </row>
    <row r="487" customFormat="false" ht="14.25" hidden="false" customHeight="true" outlineLevel="0" collapsed="false">
      <c r="D487" s="17"/>
      <c r="G487" s="17" t="str">
        <f aca="false">IF(TRIM(C487)="","",IFERROR(INDEX('Code Aliases'!$B:$B,MATCH(TRIM(C487),'Code Aliases'!$A:$A,0)),TRIM(C487)))</f>
        <v/>
      </c>
      <c r="H487" s="17" t="str">
        <f aca="false">IF(TRIM(B487)="","",UPPER(TRIM(B487)))</f>
        <v/>
      </c>
    </row>
    <row r="488" customFormat="false" ht="14.25" hidden="false" customHeight="true" outlineLevel="0" collapsed="false">
      <c r="D488" s="17"/>
      <c r="G488" s="17" t="str">
        <f aca="false">IF(TRIM(C488)="","",IFERROR(INDEX('Code Aliases'!$B:$B,MATCH(TRIM(C488),'Code Aliases'!$A:$A,0)),TRIM(C488)))</f>
        <v/>
      </c>
      <c r="H488" s="17" t="str">
        <f aca="false">IF(TRIM(B488)="","",UPPER(TRIM(B488)))</f>
        <v/>
      </c>
    </row>
    <row r="489" customFormat="false" ht="14.25" hidden="false" customHeight="true" outlineLevel="0" collapsed="false">
      <c r="D489" s="17"/>
      <c r="G489" s="17" t="str">
        <f aca="false">IF(TRIM(C489)="","",IFERROR(INDEX('Code Aliases'!$B:$B,MATCH(TRIM(C489),'Code Aliases'!$A:$A,0)),TRIM(C489)))</f>
        <v/>
      </c>
      <c r="H489" s="17" t="str">
        <f aca="false">IF(TRIM(B489)="","",UPPER(TRIM(B489)))</f>
        <v/>
      </c>
    </row>
    <row r="490" customFormat="false" ht="14.25" hidden="false" customHeight="true" outlineLevel="0" collapsed="false">
      <c r="D490" s="17"/>
      <c r="G490" s="17" t="str">
        <f aca="false">IF(TRIM(C490)="","",IFERROR(INDEX('Code Aliases'!$B:$B,MATCH(TRIM(C490),'Code Aliases'!$A:$A,0)),TRIM(C490)))</f>
        <v/>
      </c>
      <c r="H490" s="17" t="str">
        <f aca="false">IF(TRIM(B490)="","",UPPER(TRIM(B490)))</f>
        <v/>
      </c>
    </row>
    <row r="491" customFormat="false" ht="14.25" hidden="false" customHeight="true" outlineLevel="0" collapsed="false">
      <c r="D491" s="17"/>
      <c r="G491" s="17" t="str">
        <f aca="false">IF(TRIM(C491)="","",IFERROR(INDEX('Code Aliases'!$B:$B,MATCH(TRIM(C491),'Code Aliases'!$A:$A,0)),TRIM(C491)))</f>
        <v/>
      </c>
      <c r="H491" s="17" t="str">
        <f aca="false">IF(TRIM(B491)="","",UPPER(TRIM(B491)))</f>
        <v/>
      </c>
    </row>
    <row r="492" customFormat="false" ht="14.25" hidden="false" customHeight="true" outlineLevel="0" collapsed="false">
      <c r="D492" s="17"/>
      <c r="G492" s="17" t="str">
        <f aca="false">IF(TRIM(C492)="","",IFERROR(INDEX('Code Aliases'!$B:$B,MATCH(TRIM(C492),'Code Aliases'!$A:$A,0)),TRIM(C492)))</f>
        <v/>
      </c>
      <c r="H492" s="17" t="str">
        <f aca="false">IF(TRIM(B492)="","",UPPER(TRIM(B492)))</f>
        <v/>
      </c>
    </row>
    <row r="493" customFormat="false" ht="14.25" hidden="false" customHeight="true" outlineLevel="0" collapsed="false">
      <c r="D493" s="17"/>
      <c r="G493" s="17" t="str">
        <f aca="false">IF(TRIM(C493)="","",IFERROR(INDEX('Code Aliases'!$B:$B,MATCH(TRIM(C493),'Code Aliases'!$A:$A,0)),TRIM(C493)))</f>
        <v/>
      </c>
      <c r="H493" s="17" t="str">
        <f aca="false">IF(TRIM(B493)="","",UPPER(TRIM(B493)))</f>
        <v/>
      </c>
    </row>
    <row r="494" customFormat="false" ht="14.25" hidden="false" customHeight="true" outlineLevel="0" collapsed="false">
      <c r="D494" s="17"/>
      <c r="G494" s="17" t="str">
        <f aca="false">IF(TRIM(C494)="","",IFERROR(INDEX('Code Aliases'!$B:$B,MATCH(TRIM(C494),'Code Aliases'!$A:$A,0)),TRIM(C494)))</f>
        <v/>
      </c>
      <c r="H494" s="17" t="str">
        <f aca="false">IF(TRIM(B494)="","",UPPER(TRIM(B494)))</f>
        <v/>
      </c>
    </row>
    <row r="495" customFormat="false" ht="14.25" hidden="false" customHeight="true" outlineLevel="0" collapsed="false">
      <c r="D495" s="17"/>
      <c r="G495" s="17" t="str">
        <f aca="false">IF(TRIM(C495)="","",IFERROR(INDEX('Code Aliases'!$B:$B,MATCH(TRIM(C495),'Code Aliases'!$A:$A,0)),TRIM(C495)))</f>
        <v/>
      </c>
      <c r="H495" s="17" t="str">
        <f aca="false">IF(TRIM(B495)="","",UPPER(TRIM(B495)))</f>
        <v/>
      </c>
    </row>
    <row r="496" customFormat="false" ht="14.25" hidden="false" customHeight="true" outlineLevel="0" collapsed="false">
      <c r="D496" s="17"/>
      <c r="G496" s="17" t="str">
        <f aca="false">IF(TRIM(C496)="","",IFERROR(INDEX('Code Aliases'!$B:$B,MATCH(TRIM(C496),'Code Aliases'!$A:$A,0)),TRIM(C496)))</f>
        <v/>
      </c>
      <c r="H496" s="17" t="str">
        <f aca="false">IF(TRIM(B496)="","",UPPER(TRIM(B496)))</f>
        <v/>
      </c>
    </row>
    <row r="497" customFormat="false" ht="14.25" hidden="false" customHeight="true" outlineLevel="0" collapsed="false">
      <c r="D497" s="17"/>
      <c r="G497" s="17" t="str">
        <f aca="false">IF(TRIM(C497)="","",IFERROR(INDEX('Code Aliases'!$B:$B,MATCH(TRIM(C497),'Code Aliases'!$A:$A,0)),TRIM(C497)))</f>
        <v/>
      </c>
      <c r="H497" s="17" t="str">
        <f aca="false">IF(TRIM(B497)="","",UPPER(TRIM(B497)))</f>
        <v/>
      </c>
    </row>
    <row r="498" customFormat="false" ht="14.25" hidden="false" customHeight="true" outlineLevel="0" collapsed="false">
      <c r="D498" s="17"/>
      <c r="G498" s="17" t="str">
        <f aca="false">IF(TRIM(C498)="","",IFERROR(INDEX('Code Aliases'!$B:$B,MATCH(TRIM(C498),'Code Aliases'!$A:$A,0)),TRIM(C498)))</f>
        <v/>
      </c>
      <c r="H498" s="17" t="str">
        <f aca="false">IF(TRIM(B498)="","",UPPER(TRIM(B498)))</f>
        <v/>
      </c>
    </row>
    <row r="499" customFormat="false" ht="14.25" hidden="false" customHeight="true" outlineLevel="0" collapsed="false">
      <c r="D499" s="17"/>
      <c r="G499" s="17" t="str">
        <f aca="false">IF(TRIM(C499)="","",IFERROR(INDEX('Code Aliases'!$B:$B,MATCH(TRIM(C499),'Code Aliases'!$A:$A,0)),TRIM(C499)))</f>
        <v/>
      </c>
      <c r="H499" s="17" t="str">
        <f aca="false">IF(TRIM(B499)="","",UPPER(TRIM(B499)))</f>
        <v/>
      </c>
    </row>
    <row r="500" customFormat="false" ht="14.25" hidden="false" customHeight="true" outlineLevel="0" collapsed="false">
      <c r="D500" s="17"/>
      <c r="G500" s="17" t="str">
        <f aca="false">IF(TRIM(C500)="","",IFERROR(INDEX('Code Aliases'!$B:$B,MATCH(TRIM(C500),'Code Aliases'!$A:$A,0)),TRIM(C500)))</f>
        <v/>
      </c>
      <c r="H500" s="17" t="str">
        <f aca="false">IF(TRIM(B500)="","",UPPER(TRIM(B500)))</f>
        <v/>
      </c>
    </row>
    <row r="501" customFormat="false" ht="14.25" hidden="false" customHeight="true" outlineLevel="0" collapsed="false">
      <c r="D501" s="17"/>
      <c r="G501" s="17" t="str">
        <f aca="false">IF(TRIM(C501)="","",IFERROR(INDEX('Code Aliases'!$B:$B,MATCH(TRIM(C501),'Code Aliases'!$A:$A,0)),TRIM(C501)))</f>
        <v/>
      </c>
      <c r="H501" s="17" t="str">
        <f aca="false">IF(TRIM(B501)="","",UPPER(TRIM(B501)))</f>
        <v/>
      </c>
    </row>
    <row r="502" customFormat="false" ht="14.25" hidden="false" customHeight="true" outlineLevel="0" collapsed="false">
      <c r="D502" s="17"/>
      <c r="G502" s="17" t="str">
        <f aca="false">IF(TRIM(C502)="","",IFERROR(INDEX('Code Aliases'!$B:$B,MATCH(TRIM(C502),'Code Aliases'!$A:$A,0)),TRIM(C502)))</f>
        <v/>
      </c>
      <c r="H502" s="17" t="str">
        <f aca="false">IF(TRIM(B502)="","",UPPER(TRIM(B502)))</f>
        <v/>
      </c>
    </row>
    <row r="503" customFormat="false" ht="14.25" hidden="false" customHeight="true" outlineLevel="0" collapsed="false">
      <c r="D503" s="17"/>
      <c r="G503" s="17" t="str">
        <f aca="false">IF(TRIM(C503)="","",IFERROR(INDEX('Code Aliases'!$B:$B,MATCH(TRIM(C503),'Code Aliases'!$A:$A,0)),TRIM(C503)))</f>
        <v/>
      </c>
      <c r="H503" s="17" t="str">
        <f aca="false">IF(TRIM(B503)="","",UPPER(TRIM(B503)))</f>
        <v/>
      </c>
    </row>
    <row r="504" customFormat="false" ht="14.25" hidden="false" customHeight="true" outlineLevel="0" collapsed="false">
      <c r="D504" s="17"/>
      <c r="G504" s="17" t="str">
        <f aca="false">IF(TRIM(C504)="","",IFERROR(INDEX('Code Aliases'!$B:$B,MATCH(TRIM(C504),'Code Aliases'!$A:$A,0)),TRIM(C504)))</f>
        <v/>
      </c>
      <c r="H504" s="17" t="str">
        <f aca="false">IF(TRIM(B504)="","",UPPER(TRIM(B504)))</f>
        <v/>
      </c>
    </row>
    <row r="505" customFormat="false" ht="14.25" hidden="false" customHeight="true" outlineLevel="0" collapsed="false">
      <c r="D505" s="17"/>
      <c r="G505" s="17" t="str">
        <f aca="false">IF(TRIM(C505)="","",IFERROR(INDEX('Code Aliases'!$B:$B,MATCH(TRIM(C505),'Code Aliases'!$A:$A,0)),TRIM(C505)))</f>
        <v/>
      </c>
      <c r="H505" s="17" t="str">
        <f aca="false">IF(TRIM(B505)="","",UPPER(TRIM(B505)))</f>
        <v/>
      </c>
    </row>
    <row r="506" customFormat="false" ht="14.25" hidden="false" customHeight="true" outlineLevel="0" collapsed="false">
      <c r="D506" s="17"/>
      <c r="G506" s="17" t="str">
        <f aca="false">IF(TRIM(C506)="","",IFERROR(INDEX('Code Aliases'!$B:$B,MATCH(TRIM(C506),'Code Aliases'!$A:$A,0)),TRIM(C506)))</f>
        <v/>
      </c>
      <c r="H506" s="17" t="str">
        <f aca="false">IF(TRIM(B506)="","",UPPER(TRIM(B506)))</f>
        <v/>
      </c>
    </row>
    <row r="507" customFormat="false" ht="14.25" hidden="false" customHeight="true" outlineLevel="0" collapsed="false">
      <c r="D507" s="17"/>
      <c r="G507" s="17" t="str">
        <f aca="false">IF(TRIM(C507)="","",IFERROR(INDEX('Code Aliases'!$B:$B,MATCH(TRIM(C507),'Code Aliases'!$A:$A,0)),TRIM(C507)))</f>
        <v/>
      </c>
      <c r="H507" s="17" t="str">
        <f aca="false">IF(TRIM(B507)="","",UPPER(TRIM(B507)))</f>
        <v/>
      </c>
    </row>
    <row r="508" customFormat="false" ht="14.25" hidden="false" customHeight="true" outlineLevel="0" collapsed="false">
      <c r="D508" s="17"/>
      <c r="G508" s="17" t="str">
        <f aca="false">IF(TRIM(C508)="","",IFERROR(INDEX('Code Aliases'!$B:$B,MATCH(TRIM(C508),'Code Aliases'!$A:$A,0)),TRIM(C508)))</f>
        <v/>
      </c>
      <c r="H508" s="17" t="str">
        <f aca="false">IF(TRIM(B508)="","",UPPER(TRIM(B508)))</f>
        <v/>
      </c>
    </row>
    <row r="509" customFormat="false" ht="14.25" hidden="false" customHeight="true" outlineLevel="0" collapsed="false">
      <c r="D509" s="17"/>
      <c r="G509" s="17" t="str">
        <f aca="false">IF(TRIM(C509)="","",IFERROR(INDEX('Code Aliases'!$B:$B,MATCH(TRIM(C509),'Code Aliases'!$A:$A,0)),TRIM(C509)))</f>
        <v/>
      </c>
      <c r="H509" s="17" t="str">
        <f aca="false">IF(TRIM(B509)="","",UPPER(TRIM(B509)))</f>
        <v/>
      </c>
    </row>
    <row r="510" customFormat="false" ht="14.25" hidden="false" customHeight="true" outlineLevel="0" collapsed="false">
      <c r="D510" s="17"/>
      <c r="G510" s="17" t="str">
        <f aca="false">IF(TRIM(C510)="","",IFERROR(INDEX('Code Aliases'!$B:$B,MATCH(TRIM(C510),'Code Aliases'!$A:$A,0)),TRIM(C510)))</f>
        <v/>
      </c>
      <c r="H510" s="17" t="str">
        <f aca="false">IF(TRIM(B510)="","",UPPER(TRIM(B510)))</f>
        <v/>
      </c>
    </row>
    <row r="511" customFormat="false" ht="14.25" hidden="false" customHeight="true" outlineLevel="0" collapsed="false">
      <c r="D511" s="17"/>
      <c r="G511" s="17" t="str">
        <f aca="false">IF(TRIM(C511)="","",IFERROR(INDEX('Code Aliases'!$B:$B,MATCH(TRIM(C511),'Code Aliases'!$A:$A,0)),TRIM(C511)))</f>
        <v/>
      </c>
      <c r="H511" s="17" t="str">
        <f aca="false">IF(TRIM(B511)="","",UPPER(TRIM(B511)))</f>
        <v/>
      </c>
    </row>
    <row r="512" customFormat="false" ht="14.25" hidden="false" customHeight="true" outlineLevel="0" collapsed="false">
      <c r="D512" s="17"/>
      <c r="G512" s="17" t="str">
        <f aca="false">IF(TRIM(C512)="","",IFERROR(INDEX('Code Aliases'!$B:$B,MATCH(TRIM(C512),'Code Aliases'!$A:$A,0)),TRIM(C512)))</f>
        <v/>
      </c>
      <c r="H512" s="17" t="str">
        <f aca="false">IF(TRIM(B512)="","",UPPER(TRIM(B512)))</f>
        <v/>
      </c>
    </row>
    <row r="513" customFormat="false" ht="14.25" hidden="false" customHeight="true" outlineLevel="0" collapsed="false">
      <c r="D513" s="17"/>
      <c r="G513" s="17" t="str">
        <f aca="false">IF(TRIM(C513)="","",IFERROR(INDEX('Code Aliases'!$B:$B,MATCH(TRIM(C513),'Code Aliases'!$A:$A,0)),TRIM(C513)))</f>
        <v/>
      </c>
      <c r="H513" s="17" t="str">
        <f aca="false">IF(TRIM(B513)="","",UPPER(TRIM(B513)))</f>
        <v/>
      </c>
    </row>
    <row r="514" customFormat="false" ht="14.25" hidden="false" customHeight="true" outlineLevel="0" collapsed="false">
      <c r="D514" s="17"/>
      <c r="G514" s="17" t="str">
        <f aca="false">IF(TRIM(C514)="","",IFERROR(INDEX('Code Aliases'!$B:$B,MATCH(TRIM(C514),'Code Aliases'!$A:$A,0)),TRIM(C514)))</f>
        <v/>
      </c>
      <c r="H514" s="17" t="str">
        <f aca="false">IF(TRIM(B514)="","",UPPER(TRIM(B514)))</f>
        <v/>
      </c>
    </row>
    <row r="515" customFormat="false" ht="14.25" hidden="false" customHeight="true" outlineLevel="0" collapsed="false">
      <c r="D515" s="17"/>
      <c r="G515" s="17" t="str">
        <f aca="false">IF(TRIM(C515)="","",IFERROR(INDEX('Code Aliases'!$B:$B,MATCH(TRIM(C515),'Code Aliases'!$A:$A,0)),TRIM(C515)))</f>
        <v/>
      </c>
      <c r="H515" s="17" t="str">
        <f aca="false">IF(TRIM(B515)="","",UPPER(TRIM(B515)))</f>
        <v/>
      </c>
    </row>
    <row r="516" customFormat="false" ht="14.25" hidden="false" customHeight="true" outlineLevel="0" collapsed="false">
      <c r="D516" s="17"/>
      <c r="G516" s="17" t="str">
        <f aca="false">IF(TRIM(C516)="","",IFERROR(INDEX('Code Aliases'!$B:$B,MATCH(TRIM(C516),'Code Aliases'!$A:$A,0)),TRIM(C516)))</f>
        <v/>
      </c>
      <c r="H516" s="17" t="str">
        <f aca="false">IF(TRIM(B516)="","",UPPER(TRIM(B516)))</f>
        <v/>
      </c>
    </row>
    <row r="517" customFormat="false" ht="14.25" hidden="false" customHeight="true" outlineLevel="0" collapsed="false">
      <c r="D517" s="17"/>
      <c r="G517" s="17" t="str">
        <f aca="false">IF(TRIM(C517)="","",IFERROR(INDEX('Code Aliases'!$B:$B,MATCH(TRIM(C517),'Code Aliases'!$A:$A,0)),TRIM(C517)))</f>
        <v/>
      </c>
      <c r="H517" s="17" t="str">
        <f aca="false">IF(TRIM(B517)="","",UPPER(TRIM(B517)))</f>
        <v/>
      </c>
    </row>
    <row r="518" customFormat="false" ht="14.25" hidden="false" customHeight="true" outlineLevel="0" collapsed="false">
      <c r="D518" s="17"/>
      <c r="G518" s="17" t="str">
        <f aca="false">IF(TRIM(C518)="","",IFERROR(INDEX('Code Aliases'!$B:$B,MATCH(TRIM(C518),'Code Aliases'!$A:$A,0)),TRIM(C518)))</f>
        <v/>
      </c>
      <c r="H518" s="17" t="str">
        <f aca="false">IF(TRIM(B518)="","",UPPER(TRIM(B518)))</f>
        <v/>
      </c>
    </row>
    <row r="519" customFormat="false" ht="14.25" hidden="false" customHeight="true" outlineLevel="0" collapsed="false">
      <c r="D519" s="17"/>
      <c r="G519" s="17" t="str">
        <f aca="false">IF(TRIM(C519)="","",IFERROR(INDEX('Code Aliases'!$B:$B,MATCH(TRIM(C519),'Code Aliases'!$A:$A,0)),TRIM(C519)))</f>
        <v/>
      </c>
      <c r="H519" s="17" t="str">
        <f aca="false">IF(TRIM(B519)="","",UPPER(TRIM(B519)))</f>
        <v/>
      </c>
    </row>
    <row r="520" customFormat="false" ht="14.25" hidden="false" customHeight="true" outlineLevel="0" collapsed="false">
      <c r="D520" s="17"/>
      <c r="G520" s="17" t="str">
        <f aca="false">IF(TRIM(C520)="","",IFERROR(INDEX('Code Aliases'!$B:$B,MATCH(TRIM(C520),'Code Aliases'!$A:$A,0)),TRIM(C520)))</f>
        <v/>
      </c>
      <c r="H520" s="17" t="str">
        <f aca="false">IF(TRIM(B520)="","",UPPER(TRIM(B520)))</f>
        <v/>
      </c>
    </row>
    <row r="521" customFormat="false" ht="14.25" hidden="false" customHeight="true" outlineLevel="0" collapsed="false">
      <c r="D521" s="17"/>
      <c r="G521" s="17" t="str">
        <f aca="false">IF(TRIM(C521)="","",IFERROR(INDEX('Code Aliases'!$B:$B,MATCH(TRIM(C521),'Code Aliases'!$A:$A,0)),TRIM(C521)))</f>
        <v/>
      </c>
      <c r="H521" s="17" t="str">
        <f aca="false">IF(TRIM(B521)="","",UPPER(TRIM(B521)))</f>
        <v/>
      </c>
    </row>
    <row r="522" customFormat="false" ht="14.25" hidden="false" customHeight="true" outlineLevel="0" collapsed="false">
      <c r="D522" s="17"/>
      <c r="G522" s="17" t="str">
        <f aca="false">IF(TRIM(C522)="","",IFERROR(INDEX('Code Aliases'!$B:$B,MATCH(TRIM(C522),'Code Aliases'!$A:$A,0)),TRIM(C522)))</f>
        <v/>
      </c>
      <c r="H522" s="17" t="str">
        <f aca="false">IF(TRIM(B522)="","",UPPER(TRIM(B522)))</f>
        <v/>
      </c>
    </row>
    <row r="523" customFormat="false" ht="14.25" hidden="false" customHeight="true" outlineLevel="0" collapsed="false">
      <c r="D523" s="17"/>
      <c r="G523" s="17" t="str">
        <f aca="false">IF(TRIM(C523)="","",IFERROR(INDEX('Code Aliases'!$B:$B,MATCH(TRIM(C523),'Code Aliases'!$A:$A,0)),TRIM(C523)))</f>
        <v/>
      </c>
      <c r="H523" s="17" t="str">
        <f aca="false">IF(TRIM(B523)="","",UPPER(TRIM(B523)))</f>
        <v/>
      </c>
    </row>
    <row r="524" customFormat="false" ht="14.25" hidden="false" customHeight="true" outlineLevel="0" collapsed="false">
      <c r="D524" s="17"/>
      <c r="G524" s="17" t="str">
        <f aca="false">IF(TRIM(C524)="","",IFERROR(INDEX('Code Aliases'!$B:$B,MATCH(TRIM(C524),'Code Aliases'!$A:$A,0)),TRIM(C524)))</f>
        <v/>
      </c>
      <c r="H524" s="17" t="str">
        <f aca="false">IF(TRIM(B524)="","",UPPER(TRIM(B524)))</f>
        <v/>
      </c>
    </row>
    <row r="525" customFormat="false" ht="14.25" hidden="false" customHeight="true" outlineLevel="0" collapsed="false">
      <c r="D525" s="17"/>
      <c r="G525" s="17" t="str">
        <f aca="false">IF(TRIM(C525)="","",IFERROR(INDEX('Code Aliases'!$B:$B,MATCH(TRIM(C525),'Code Aliases'!$A:$A,0)),TRIM(C525)))</f>
        <v/>
      </c>
      <c r="H525" s="17" t="str">
        <f aca="false">IF(TRIM(B525)="","",UPPER(TRIM(B525)))</f>
        <v/>
      </c>
    </row>
    <row r="526" customFormat="false" ht="14.25" hidden="false" customHeight="true" outlineLevel="0" collapsed="false">
      <c r="D526" s="17"/>
      <c r="G526" s="17" t="str">
        <f aca="false">IF(TRIM(C526)="","",IFERROR(INDEX('Code Aliases'!$B:$B,MATCH(TRIM(C526),'Code Aliases'!$A:$A,0)),TRIM(C526)))</f>
        <v/>
      </c>
      <c r="H526" s="17" t="str">
        <f aca="false">IF(TRIM(B526)="","",UPPER(TRIM(B526)))</f>
        <v/>
      </c>
    </row>
    <row r="527" customFormat="false" ht="14.25" hidden="false" customHeight="true" outlineLevel="0" collapsed="false">
      <c r="D527" s="17"/>
      <c r="G527" s="17" t="str">
        <f aca="false">IF(TRIM(C527)="","",IFERROR(INDEX('Code Aliases'!$B:$B,MATCH(TRIM(C527),'Code Aliases'!$A:$A,0)),TRIM(C527)))</f>
        <v/>
      </c>
      <c r="H527" s="17" t="str">
        <f aca="false">IF(TRIM(B527)="","",UPPER(TRIM(B527)))</f>
        <v/>
      </c>
    </row>
    <row r="528" customFormat="false" ht="14.25" hidden="false" customHeight="true" outlineLevel="0" collapsed="false">
      <c r="D528" s="17"/>
      <c r="G528" s="17" t="str">
        <f aca="false">IF(TRIM(C528)="","",IFERROR(INDEX('Code Aliases'!$B:$B,MATCH(TRIM(C528),'Code Aliases'!$A:$A,0)),TRIM(C528)))</f>
        <v/>
      </c>
      <c r="H528" s="17" t="str">
        <f aca="false">IF(TRIM(B528)="","",UPPER(TRIM(B528)))</f>
        <v/>
      </c>
    </row>
    <row r="529" customFormat="false" ht="14.25" hidden="false" customHeight="true" outlineLevel="0" collapsed="false">
      <c r="D529" s="17"/>
      <c r="G529" s="17" t="str">
        <f aca="false">IF(TRIM(C529)="","",IFERROR(INDEX('Code Aliases'!$B:$B,MATCH(TRIM(C529),'Code Aliases'!$A:$A,0)),TRIM(C529)))</f>
        <v/>
      </c>
      <c r="H529" s="17" t="str">
        <f aca="false">IF(TRIM(B529)="","",UPPER(TRIM(B529)))</f>
        <v/>
      </c>
    </row>
    <row r="530" customFormat="false" ht="14.25" hidden="false" customHeight="true" outlineLevel="0" collapsed="false">
      <c r="D530" s="17"/>
      <c r="G530" s="17" t="str">
        <f aca="false">IF(TRIM(C530)="","",IFERROR(INDEX('Code Aliases'!$B:$B,MATCH(TRIM(C530),'Code Aliases'!$A:$A,0)),TRIM(C530)))</f>
        <v/>
      </c>
      <c r="H530" s="17" t="str">
        <f aca="false">IF(TRIM(B530)="","",UPPER(TRIM(B530)))</f>
        <v/>
      </c>
    </row>
    <row r="531" customFormat="false" ht="14.25" hidden="false" customHeight="true" outlineLevel="0" collapsed="false">
      <c r="D531" s="17"/>
      <c r="G531" s="17" t="str">
        <f aca="false">IF(TRIM(C531)="","",IFERROR(INDEX('Code Aliases'!$B:$B,MATCH(TRIM(C531),'Code Aliases'!$A:$A,0)),TRIM(C531)))</f>
        <v/>
      </c>
      <c r="H531" s="17" t="str">
        <f aca="false">IF(TRIM(B531)="","",UPPER(TRIM(B531)))</f>
        <v/>
      </c>
    </row>
    <row r="532" customFormat="false" ht="14.25" hidden="false" customHeight="true" outlineLevel="0" collapsed="false">
      <c r="D532" s="17"/>
      <c r="G532" s="17" t="str">
        <f aca="false">IF(TRIM(C532)="","",IFERROR(INDEX('Code Aliases'!$B:$B,MATCH(TRIM(C532),'Code Aliases'!$A:$A,0)),TRIM(C532)))</f>
        <v/>
      </c>
      <c r="H532" s="17" t="str">
        <f aca="false">IF(TRIM(B532)="","",UPPER(TRIM(B532)))</f>
        <v/>
      </c>
    </row>
    <row r="533" customFormat="false" ht="14.25" hidden="false" customHeight="true" outlineLevel="0" collapsed="false">
      <c r="D533" s="17"/>
      <c r="G533" s="17" t="str">
        <f aca="false">IF(TRIM(C533)="","",IFERROR(INDEX('Code Aliases'!$B:$B,MATCH(TRIM(C533),'Code Aliases'!$A:$A,0)),TRIM(C533)))</f>
        <v/>
      </c>
      <c r="H533" s="17" t="str">
        <f aca="false">IF(TRIM(B533)="","",UPPER(TRIM(B533)))</f>
        <v/>
      </c>
    </row>
    <row r="534" customFormat="false" ht="14.25" hidden="false" customHeight="true" outlineLevel="0" collapsed="false">
      <c r="D534" s="17"/>
      <c r="G534" s="17" t="str">
        <f aca="false">IF(TRIM(C534)="","",IFERROR(INDEX('Code Aliases'!$B:$B,MATCH(TRIM(C534),'Code Aliases'!$A:$A,0)),TRIM(C534)))</f>
        <v/>
      </c>
      <c r="H534" s="17" t="str">
        <f aca="false">IF(TRIM(B534)="","",UPPER(TRIM(B534)))</f>
        <v/>
      </c>
    </row>
    <row r="535" customFormat="false" ht="14.25" hidden="false" customHeight="true" outlineLevel="0" collapsed="false">
      <c r="D535" s="17"/>
      <c r="G535" s="17" t="str">
        <f aca="false">IF(TRIM(C535)="","",IFERROR(INDEX('Code Aliases'!$B:$B,MATCH(TRIM(C535),'Code Aliases'!$A:$A,0)),TRIM(C535)))</f>
        <v/>
      </c>
      <c r="H535" s="17" t="str">
        <f aca="false">IF(TRIM(B535)="","",UPPER(TRIM(B535)))</f>
        <v/>
      </c>
    </row>
    <row r="536" customFormat="false" ht="14.25" hidden="false" customHeight="true" outlineLevel="0" collapsed="false">
      <c r="D536" s="17"/>
      <c r="G536" s="17" t="str">
        <f aca="false">IF(TRIM(C536)="","",IFERROR(INDEX('Code Aliases'!$B:$B,MATCH(TRIM(C536),'Code Aliases'!$A:$A,0)),TRIM(C536)))</f>
        <v/>
      </c>
      <c r="H536" s="17" t="str">
        <f aca="false">IF(TRIM(B536)="","",UPPER(TRIM(B536)))</f>
        <v/>
      </c>
    </row>
    <row r="537" customFormat="false" ht="14.25" hidden="false" customHeight="true" outlineLevel="0" collapsed="false">
      <c r="D537" s="17"/>
      <c r="G537" s="17" t="str">
        <f aca="false">IF(TRIM(C537)="","",IFERROR(INDEX('Code Aliases'!$B:$B,MATCH(TRIM(C537),'Code Aliases'!$A:$A,0)),TRIM(C537)))</f>
        <v/>
      </c>
      <c r="H537" s="17" t="str">
        <f aca="false">IF(TRIM(B537)="","",UPPER(TRIM(B537)))</f>
        <v/>
      </c>
    </row>
    <row r="538" customFormat="false" ht="14.25" hidden="false" customHeight="true" outlineLevel="0" collapsed="false">
      <c r="D538" s="17"/>
      <c r="G538" s="17" t="str">
        <f aca="false">IF(TRIM(C538)="","",IFERROR(INDEX('Code Aliases'!$B:$B,MATCH(TRIM(C538),'Code Aliases'!$A:$A,0)),TRIM(C538)))</f>
        <v/>
      </c>
      <c r="H538" s="17" t="str">
        <f aca="false">IF(TRIM(B538)="","",UPPER(TRIM(B538)))</f>
        <v/>
      </c>
    </row>
    <row r="539" customFormat="false" ht="14.25" hidden="false" customHeight="true" outlineLevel="0" collapsed="false">
      <c r="D539" s="17"/>
      <c r="G539" s="17" t="str">
        <f aca="false">IF(TRIM(C539)="","",IFERROR(INDEX('Code Aliases'!$B:$B,MATCH(TRIM(C539),'Code Aliases'!$A:$A,0)),TRIM(C539)))</f>
        <v/>
      </c>
      <c r="H539" s="17" t="str">
        <f aca="false">IF(TRIM(B539)="","",UPPER(TRIM(B539)))</f>
        <v/>
      </c>
    </row>
    <row r="540" customFormat="false" ht="14.25" hidden="false" customHeight="true" outlineLevel="0" collapsed="false">
      <c r="D540" s="17"/>
      <c r="G540" s="17" t="str">
        <f aca="false">IF(TRIM(C540)="","",IFERROR(INDEX('Code Aliases'!$B:$B,MATCH(TRIM(C540),'Code Aliases'!$A:$A,0)),TRIM(C540)))</f>
        <v/>
      </c>
      <c r="H540" s="17" t="str">
        <f aca="false">IF(TRIM(B540)="","",UPPER(TRIM(B540)))</f>
        <v/>
      </c>
    </row>
    <row r="541" customFormat="false" ht="14.25" hidden="false" customHeight="true" outlineLevel="0" collapsed="false">
      <c r="D541" s="17"/>
      <c r="G541" s="17" t="str">
        <f aca="false">IF(TRIM(C541)="","",IFERROR(INDEX('Code Aliases'!$B:$B,MATCH(TRIM(C541),'Code Aliases'!$A:$A,0)),TRIM(C541)))</f>
        <v/>
      </c>
      <c r="H541" s="17" t="str">
        <f aca="false">IF(TRIM(B541)="","",UPPER(TRIM(B541)))</f>
        <v/>
      </c>
    </row>
    <row r="542" customFormat="false" ht="14.25" hidden="false" customHeight="true" outlineLevel="0" collapsed="false">
      <c r="D542" s="17"/>
      <c r="G542" s="17" t="str">
        <f aca="false">IF(TRIM(C542)="","",IFERROR(INDEX('Code Aliases'!$B:$B,MATCH(TRIM(C542),'Code Aliases'!$A:$A,0)),TRIM(C542)))</f>
        <v/>
      </c>
      <c r="H542" s="17" t="str">
        <f aca="false">IF(TRIM(B542)="","",UPPER(TRIM(B542)))</f>
        <v/>
      </c>
    </row>
    <row r="543" customFormat="false" ht="14.25" hidden="false" customHeight="true" outlineLevel="0" collapsed="false">
      <c r="D543" s="17"/>
      <c r="G543" s="17" t="str">
        <f aca="false">IF(TRIM(C543)="","",IFERROR(INDEX('Code Aliases'!$B:$B,MATCH(TRIM(C543),'Code Aliases'!$A:$A,0)),TRIM(C543)))</f>
        <v/>
      </c>
      <c r="H543" s="17" t="str">
        <f aca="false">IF(TRIM(B543)="","",UPPER(TRIM(B543)))</f>
        <v/>
      </c>
    </row>
    <row r="544" customFormat="false" ht="14.25" hidden="false" customHeight="true" outlineLevel="0" collapsed="false">
      <c r="D544" s="17"/>
      <c r="G544" s="17" t="str">
        <f aca="false">IF(TRIM(C544)="","",IFERROR(INDEX('Code Aliases'!$B:$B,MATCH(TRIM(C544),'Code Aliases'!$A:$A,0)),TRIM(C544)))</f>
        <v/>
      </c>
      <c r="H544" s="17" t="str">
        <f aca="false">IF(TRIM(B544)="","",UPPER(TRIM(B544)))</f>
        <v/>
      </c>
    </row>
    <row r="545" customFormat="false" ht="14.25" hidden="false" customHeight="true" outlineLevel="0" collapsed="false">
      <c r="D545" s="17"/>
      <c r="G545" s="17" t="str">
        <f aca="false">IF(TRIM(C545)="","",IFERROR(INDEX('Code Aliases'!$B:$B,MATCH(TRIM(C545),'Code Aliases'!$A:$A,0)),TRIM(C545)))</f>
        <v/>
      </c>
      <c r="H545" s="17" t="str">
        <f aca="false">IF(TRIM(B545)="","",UPPER(TRIM(B545)))</f>
        <v/>
      </c>
    </row>
    <row r="546" customFormat="false" ht="14.25" hidden="false" customHeight="true" outlineLevel="0" collapsed="false">
      <c r="D546" s="17"/>
      <c r="G546" s="17" t="str">
        <f aca="false">IF(TRIM(C546)="","",IFERROR(INDEX('Code Aliases'!$B:$B,MATCH(TRIM(C546),'Code Aliases'!$A:$A,0)),TRIM(C546)))</f>
        <v/>
      </c>
      <c r="H546" s="17" t="str">
        <f aca="false">IF(TRIM(B546)="","",UPPER(TRIM(B546)))</f>
        <v/>
      </c>
    </row>
    <row r="547" customFormat="false" ht="14.25" hidden="false" customHeight="true" outlineLevel="0" collapsed="false">
      <c r="D547" s="17"/>
      <c r="G547" s="17" t="str">
        <f aca="false">IF(TRIM(C547)="","",IFERROR(INDEX('Code Aliases'!$B:$B,MATCH(TRIM(C547),'Code Aliases'!$A:$A,0)),TRIM(C547)))</f>
        <v/>
      </c>
      <c r="H547" s="17" t="str">
        <f aca="false">IF(TRIM(B547)="","",UPPER(TRIM(B547)))</f>
        <v/>
      </c>
    </row>
    <row r="548" customFormat="false" ht="14.25" hidden="false" customHeight="true" outlineLevel="0" collapsed="false">
      <c r="D548" s="17"/>
      <c r="G548" s="17" t="str">
        <f aca="false">IF(TRIM(C548)="","",IFERROR(INDEX('Code Aliases'!$B:$B,MATCH(TRIM(C548),'Code Aliases'!$A:$A,0)),TRIM(C548)))</f>
        <v/>
      </c>
      <c r="H548" s="17" t="str">
        <f aca="false">IF(TRIM(B548)="","",UPPER(TRIM(B548)))</f>
        <v/>
      </c>
    </row>
    <row r="549" customFormat="false" ht="14.25" hidden="false" customHeight="true" outlineLevel="0" collapsed="false">
      <c r="D549" s="17"/>
      <c r="G549" s="17" t="str">
        <f aca="false">IF(TRIM(C549)="","",IFERROR(INDEX('Code Aliases'!$B:$B,MATCH(TRIM(C549),'Code Aliases'!$A:$A,0)),TRIM(C549)))</f>
        <v/>
      </c>
      <c r="H549" s="17" t="str">
        <f aca="false">IF(TRIM(B549)="","",UPPER(TRIM(B549)))</f>
        <v/>
      </c>
    </row>
    <row r="550" customFormat="false" ht="14.25" hidden="false" customHeight="true" outlineLevel="0" collapsed="false">
      <c r="D550" s="17"/>
      <c r="G550" s="17" t="str">
        <f aca="false">IF(TRIM(C550)="","",IFERROR(INDEX('Code Aliases'!$B:$B,MATCH(TRIM(C550),'Code Aliases'!$A:$A,0)),TRIM(C550)))</f>
        <v/>
      </c>
      <c r="H550" s="17" t="str">
        <f aca="false">IF(TRIM(B550)="","",UPPER(TRIM(B550)))</f>
        <v/>
      </c>
    </row>
    <row r="551" customFormat="false" ht="14.25" hidden="false" customHeight="true" outlineLevel="0" collapsed="false">
      <c r="D551" s="17"/>
      <c r="G551" s="17" t="str">
        <f aca="false">IF(TRIM(C551)="","",IFERROR(INDEX('Code Aliases'!$B:$B,MATCH(TRIM(C551),'Code Aliases'!$A:$A,0)),TRIM(C551)))</f>
        <v/>
      </c>
      <c r="H551" s="17" t="str">
        <f aca="false">IF(TRIM(B551)="","",UPPER(TRIM(B551)))</f>
        <v/>
      </c>
    </row>
    <row r="552" customFormat="false" ht="14.25" hidden="false" customHeight="true" outlineLevel="0" collapsed="false">
      <c r="D552" s="17"/>
      <c r="G552" s="17" t="str">
        <f aca="false">IF(TRIM(C552)="","",IFERROR(INDEX('Code Aliases'!$B:$B,MATCH(TRIM(C552),'Code Aliases'!$A:$A,0)),TRIM(C552)))</f>
        <v/>
      </c>
      <c r="H552" s="17" t="str">
        <f aca="false">IF(TRIM(B552)="","",UPPER(TRIM(B552)))</f>
        <v/>
      </c>
    </row>
    <row r="553" customFormat="false" ht="14.25" hidden="false" customHeight="true" outlineLevel="0" collapsed="false">
      <c r="D553" s="17"/>
      <c r="G553" s="17" t="str">
        <f aca="false">IF(TRIM(C553)="","",IFERROR(INDEX('Code Aliases'!$B:$B,MATCH(TRIM(C553),'Code Aliases'!$A:$A,0)),TRIM(C553)))</f>
        <v/>
      </c>
      <c r="H553" s="17" t="str">
        <f aca="false">IF(TRIM(B553)="","",UPPER(TRIM(B553)))</f>
        <v/>
      </c>
    </row>
    <row r="554" customFormat="false" ht="14.25" hidden="false" customHeight="true" outlineLevel="0" collapsed="false">
      <c r="D554" s="17"/>
      <c r="G554" s="17" t="str">
        <f aca="false">IF(TRIM(C554)="","",IFERROR(INDEX('Code Aliases'!$B:$B,MATCH(TRIM(C554),'Code Aliases'!$A:$A,0)),TRIM(C554)))</f>
        <v/>
      </c>
      <c r="H554" s="17" t="str">
        <f aca="false">IF(TRIM(B554)="","",UPPER(TRIM(B554)))</f>
        <v/>
      </c>
    </row>
    <row r="555" customFormat="false" ht="14.25" hidden="false" customHeight="true" outlineLevel="0" collapsed="false">
      <c r="D555" s="17"/>
      <c r="G555" s="17" t="str">
        <f aca="false">IF(TRIM(C555)="","",IFERROR(INDEX('Code Aliases'!$B:$B,MATCH(TRIM(C555),'Code Aliases'!$A:$A,0)),TRIM(C555)))</f>
        <v/>
      </c>
      <c r="H555" s="17" t="str">
        <f aca="false">IF(TRIM(B555)="","",UPPER(TRIM(B555)))</f>
        <v/>
      </c>
    </row>
    <row r="556" customFormat="false" ht="14.25" hidden="false" customHeight="true" outlineLevel="0" collapsed="false">
      <c r="D556" s="17"/>
      <c r="G556" s="17" t="str">
        <f aca="false">IF(TRIM(C556)="","",IFERROR(INDEX('Code Aliases'!$B:$B,MATCH(TRIM(C556),'Code Aliases'!$A:$A,0)),TRIM(C556)))</f>
        <v/>
      </c>
      <c r="H556" s="17" t="str">
        <f aca="false">IF(TRIM(B556)="","",UPPER(TRIM(B556)))</f>
        <v/>
      </c>
    </row>
    <row r="557" customFormat="false" ht="14.25" hidden="false" customHeight="true" outlineLevel="0" collapsed="false">
      <c r="D557" s="17"/>
      <c r="G557" s="17" t="str">
        <f aca="false">IF(TRIM(C557)="","",IFERROR(INDEX('Code Aliases'!$B:$B,MATCH(TRIM(C557),'Code Aliases'!$A:$A,0)),TRIM(C557)))</f>
        <v/>
      </c>
      <c r="H557" s="17" t="str">
        <f aca="false">IF(TRIM(B557)="","",UPPER(TRIM(B557)))</f>
        <v/>
      </c>
    </row>
    <row r="558" customFormat="false" ht="14.25" hidden="false" customHeight="true" outlineLevel="0" collapsed="false">
      <c r="D558" s="17"/>
      <c r="G558" s="17" t="str">
        <f aca="false">IF(TRIM(C558)="","",IFERROR(INDEX('Code Aliases'!$B:$B,MATCH(TRIM(C558),'Code Aliases'!$A:$A,0)),TRIM(C558)))</f>
        <v/>
      </c>
      <c r="H558" s="17" t="str">
        <f aca="false">IF(TRIM(B558)="","",UPPER(TRIM(B558)))</f>
        <v/>
      </c>
    </row>
    <row r="559" customFormat="false" ht="14.25" hidden="false" customHeight="true" outlineLevel="0" collapsed="false">
      <c r="D559" s="17"/>
      <c r="G559" s="17" t="str">
        <f aca="false">IF(TRIM(C559)="","",IFERROR(INDEX('Code Aliases'!$B:$B,MATCH(TRIM(C559),'Code Aliases'!$A:$A,0)),TRIM(C559)))</f>
        <v/>
      </c>
      <c r="H559" s="17" t="str">
        <f aca="false">IF(TRIM(B559)="","",UPPER(TRIM(B559)))</f>
        <v/>
      </c>
    </row>
    <row r="560" customFormat="false" ht="14.25" hidden="false" customHeight="true" outlineLevel="0" collapsed="false">
      <c r="D560" s="17"/>
      <c r="G560" s="17" t="str">
        <f aca="false">IF(TRIM(C560)="","",IFERROR(INDEX('Code Aliases'!$B:$B,MATCH(TRIM(C560),'Code Aliases'!$A:$A,0)),TRIM(C560)))</f>
        <v/>
      </c>
      <c r="H560" s="17" t="str">
        <f aca="false">IF(TRIM(B560)="","",UPPER(TRIM(B560)))</f>
        <v/>
      </c>
    </row>
    <row r="561" customFormat="false" ht="14.25" hidden="false" customHeight="true" outlineLevel="0" collapsed="false">
      <c r="D561" s="17"/>
      <c r="G561" s="17" t="str">
        <f aca="false">IF(TRIM(C561)="","",IFERROR(INDEX('Code Aliases'!$B:$B,MATCH(TRIM(C561),'Code Aliases'!$A:$A,0)),TRIM(C561)))</f>
        <v/>
      </c>
      <c r="H561" s="17" t="str">
        <f aca="false">IF(TRIM(B561)="","",UPPER(TRIM(B561)))</f>
        <v/>
      </c>
    </row>
    <row r="562" customFormat="false" ht="14.25" hidden="false" customHeight="true" outlineLevel="0" collapsed="false">
      <c r="D562" s="17"/>
      <c r="G562" s="17" t="str">
        <f aca="false">IF(TRIM(C562)="","",IFERROR(INDEX('Code Aliases'!$B:$B,MATCH(TRIM(C562),'Code Aliases'!$A:$A,0)),TRIM(C562)))</f>
        <v/>
      </c>
      <c r="H562" s="17" t="str">
        <f aca="false">IF(TRIM(B562)="","",UPPER(TRIM(B562)))</f>
        <v/>
      </c>
    </row>
    <row r="563" customFormat="false" ht="14.25" hidden="false" customHeight="true" outlineLevel="0" collapsed="false">
      <c r="D563" s="17"/>
      <c r="G563" s="17" t="str">
        <f aca="false">IF(TRIM(C563)="","",IFERROR(INDEX('Code Aliases'!$B:$B,MATCH(TRIM(C563),'Code Aliases'!$A:$A,0)),TRIM(C563)))</f>
        <v/>
      </c>
      <c r="H563" s="17" t="str">
        <f aca="false">IF(TRIM(B563)="","",UPPER(TRIM(B563)))</f>
        <v/>
      </c>
    </row>
    <row r="564" customFormat="false" ht="14.25" hidden="false" customHeight="true" outlineLevel="0" collapsed="false">
      <c r="D564" s="17"/>
      <c r="G564" s="17" t="str">
        <f aca="false">IF(TRIM(C564)="","",IFERROR(INDEX('Code Aliases'!$B:$B,MATCH(TRIM(C564),'Code Aliases'!$A:$A,0)),TRIM(C564)))</f>
        <v/>
      </c>
      <c r="H564" s="17" t="str">
        <f aca="false">IF(TRIM(B564)="","",UPPER(TRIM(B564)))</f>
        <v/>
      </c>
    </row>
    <row r="565" customFormat="false" ht="14.25" hidden="false" customHeight="true" outlineLevel="0" collapsed="false">
      <c r="D565" s="17"/>
      <c r="G565" s="17" t="str">
        <f aca="false">IF(TRIM(C565)="","",IFERROR(INDEX('Code Aliases'!$B:$B,MATCH(TRIM(C565),'Code Aliases'!$A:$A,0)),TRIM(C565)))</f>
        <v/>
      </c>
      <c r="H565" s="17" t="str">
        <f aca="false">IF(TRIM(B565)="","",UPPER(TRIM(B565)))</f>
        <v/>
      </c>
    </row>
    <row r="566" customFormat="false" ht="14.25" hidden="false" customHeight="true" outlineLevel="0" collapsed="false">
      <c r="D566" s="17"/>
      <c r="G566" s="17" t="str">
        <f aca="false">IF(TRIM(C566)="","",IFERROR(INDEX('Code Aliases'!$B:$B,MATCH(TRIM(C566),'Code Aliases'!$A:$A,0)),TRIM(C566)))</f>
        <v/>
      </c>
      <c r="H566" s="17" t="str">
        <f aca="false">IF(TRIM(B566)="","",UPPER(TRIM(B566)))</f>
        <v/>
      </c>
    </row>
    <row r="567" customFormat="false" ht="14.25" hidden="false" customHeight="true" outlineLevel="0" collapsed="false">
      <c r="D567" s="17"/>
      <c r="G567" s="17" t="str">
        <f aca="false">IF(TRIM(C567)="","",IFERROR(INDEX('Code Aliases'!$B:$B,MATCH(TRIM(C567),'Code Aliases'!$A:$A,0)),TRIM(C567)))</f>
        <v/>
      </c>
      <c r="H567" s="17" t="str">
        <f aca="false">IF(TRIM(B567)="","",UPPER(TRIM(B567)))</f>
        <v/>
      </c>
    </row>
    <row r="568" customFormat="false" ht="14.25" hidden="false" customHeight="true" outlineLevel="0" collapsed="false">
      <c r="D568" s="17"/>
      <c r="G568" s="17" t="str">
        <f aca="false">IF(TRIM(C568)="","",IFERROR(INDEX('Code Aliases'!$B:$B,MATCH(TRIM(C568),'Code Aliases'!$A:$A,0)),TRIM(C568)))</f>
        <v/>
      </c>
      <c r="H568" s="17" t="str">
        <f aca="false">IF(TRIM(B568)="","",UPPER(TRIM(B568)))</f>
        <v/>
      </c>
    </row>
    <row r="569" customFormat="false" ht="14.25" hidden="false" customHeight="true" outlineLevel="0" collapsed="false">
      <c r="D569" s="17"/>
      <c r="G569" s="17" t="str">
        <f aca="false">IF(TRIM(C569)="","",IFERROR(INDEX('Code Aliases'!$B:$B,MATCH(TRIM(C569),'Code Aliases'!$A:$A,0)),TRIM(C569)))</f>
        <v/>
      </c>
      <c r="H569" s="17" t="str">
        <f aca="false">IF(TRIM(B569)="","",UPPER(TRIM(B569)))</f>
        <v/>
      </c>
    </row>
    <row r="570" customFormat="false" ht="14.25" hidden="false" customHeight="true" outlineLevel="0" collapsed="false">
      <c r="D570" s="17"/>
      <c r="G570" s="17" t="str">
        <f aca="false">IF(TRIM(C570)="","",IFERROR(INDEX('Code Aliases'!$B:$B,MATCH(TRIM(C570),'Code Aliases'!$A:$A,0)),TRIM(C570)))</f>
        <v/>
      </c>
      <c r="H570" s="17" t="str">
        <f aca="false">IF(TRIM(B570)="","",UPPER(TRIM(B570)))</f>
        <v/>
      </c>
    </row>
    <row r="571" customFormat="false" ht="14.25" hidden="false" customHeight="true" outlineLevel="0" collapsed="false">
      <c r="D571" s="17"/>
      <c r="G571" s="17" t="str">
        <f aca="false">IF(TRIM(C571)="","",IFERROR(INDEX('Code Aliases'!$B:$B,MATCH(TRIM(C571),'Code Aliases'!$A:$A,0)),TRIM(C571)))</f>
        <v/>
      </c>
      <c r="H571" s="17" t="str">
        <f aca="false">IF(TRIM(B571)="","",UPPER(TRIM(B571)))</f>
        <v/>
      </c>
    </row>
    <row r="572" customFormat="false" ht="14.25" hidden="false" customHeight="true" outlineLevel="0" collapsed="false">
      <c r="D572" s="17"/>
      <c r="G572" s="17" t="str">
        <f aca="false">IF(TRIM(C572)="","",IFERROR(INDEX('Code Aliases'!$B:$B,MATCH(TRIM(C572),'Code Aliases'!$A:$A,0)),TRIM(C572)))</f>
        <v/>
      </c>
      <c r="H572" s="17" t="str">
        <f aca="false">IF(TRIM(B572)="","",UPPER(TRIM(B572)))</f>
        <v/>
      </c>
    </row>
    <row r="573" customFormat="false" ht="14.25" hidden="false" customHeight="true" outlineLevel="0" collapsed="false">
      <c r="D573" s="17"/>
      <c r="G573" s="17" t="str">
        <f aca="false">IF(TRIM(C573)="","",IFERROR(INDEX('Code Aliases'!$B:$B,MATCH(TRIM(C573),'Code Aliases'!$A:$A,0)),TRIM(C573)))</f>
        <v/>
      </c>
      <c r="H573" s="17" t="str">
        <f aca="false">IF(TRIM(B573)="","",UPPER(TRIM(B573)))</f>
        <v/>
      </c>
    </row>
    <row r="574" customFormat="false" ht="14.25" hidden="false" customHeight="true" outlineLevel="0" collapsed="false">
      <c r="D574" s="17"/>
      <c r="G574" s="17" t="str">
        <f aca="false">IF(TRIM(C574)="","",IFERROR(INDEX('Code Aliases'!$B:$B,MATCH(TRIM(C574),'Code Aliases'!$A:$A,0)),TRIM(C574)))</f>
        <v/>
      </c>
      <c r="H574" s="17" t="str">
        <f aca="false">IF(TRIM(B574)="","",UPPER(TRIM(B574)))</f>
        <v/>
      </c>
    </row>
    <row r="575" customFormat="false" ht="14.25" hidden="false" customHeight="true" outlineLevel="0" collapsed="false">
      <c r="D575" s="17"/>
      <c r="G575" s="17" t="str">
        <f aca="false">IF(TRIM(C575)="","",IFERROR(INDEX('Code Aliases'!$B:$B,MATCH(TRIM(C575),'Code Aliases'!$A:$A,0)),TRIM(C575)))</f>
        <v/>
      </c>
      <c r="H575" s="17" t="str">
        <f aca="false">IF(TRIM(B575)="","",UPPER(TRIM(B575)))</f>
        <v/>
      </c>
    </row>
    <row r="576" customFormat="false" ht="14.25" hidden="false" customHeight="true" outlineLevel="0" collapsed="false">
      <c r="D576" s="17"/>
      <c r="G576" s="17" t="str">
        <f aca="false">IF(TRIM(C576)="","",IFERROR(INDEX('Code Aliases'!$B:$B,MATCH(TRIM(C576),'Code Aliases'!$A:$A,0)),TRIM(C576)))</f>
        <v/>
      </c>
      <c r="H576" s="17" t="str">
        <f aca="false">IF(TRIM(B576)="","",UPPER(TRIM(B576)))</f>
        <v/>
      </c>
    </row>
    <row r="577" customFormat="false" ht="14.25" hidden="false" customHeight="true" outlineLevel="0" collapsed="false">
      <c r="D577" s="17"/>
      <c r="G577" s="17" t="str">
        <f aca="false">IF(TRIM(C577)="","",IFERROR(INDEX('Code Aliases'!$B:$B,MATCH(TRIM(C577),'Code Aliases'!$A:$A,0)),TRIM(C577)))</f>
        <v/>
      </c>
      <c r="H577" s="17" t="str">
        <f aca="false">IF(TRIM(B577)="","",UPPER(TRIM(B577)))</f>
        <v/>
      </c>
    </row>
    <row r="578" customFormat="false" ht="14.25" hidden="false" customHeight="true" outlineLevel="0" collapsed="false">
      <c r="D578" s="17"/>
      <c r="G578" s="17" t="str">
        <f aca="false">IF(TRIM(C578)="","",IFERROR(INDEX('Code Aliases'!$B:$B,MATCH(TRIM(C578),'Code Aliases'!$A:$A,0)),TRIM(C578)))</f>
        <v/>
      </c>
      <c r="H578" s="17" t="str">
        <f aca="false">IF(TRIM(B578)="","",UPPER(TRIM(B578)))</f>
        <v/>
      </c>
    </row>
    <row r="579" customFormat="false" ht="14.25" hidden="false" customHeight="true" outlineLevel="0" collapsed="false">
      <c r="D579" s="17"/>
      <c r="G579" s="17" t="str">
        <f aca="false">IF(TRIM(C579)="","",IFERROR(INDEX('Code Aliases'!$B:$B,MATCH(TRIM(C579),'Code Aliases'!$A:$A,0)),TRIM(C579)))</f>
        <v/>
      </c>
      <c r="H579" s="17" t="str">
        <f aca="false">IF(TRIM(B579)="","",UPPER(TRIM(B579)))</f>
        <v/>
      </c>
    </row>
    <row r="580" customFormat="false" ht="14.25" hidden="false" customHeight="true" outlineLevel="0" collapsed="false">
      <c r="D580" s="17"/>
      <c r="G580" s="17" t="str">
        <f aca="false">IF(TRIM(C580)="","",IFERROR(INDEX('Code Aliases'!$B:$B,MATCH(TRIM(C580),'Code Aliases'!$A:$A,0)),TRIM(C580)))</f>
        <v/>
      </c>
      <c r="H580" s="17" t="str">
        <f aca="false">IF(TRIM(B580)="","",UPPER(TRIM(B580)))</f>
        <v/>
      </c>
    </row>
    <row r="581" customFormat="false" ht="14.25" hidden="false" customHeight="true" outlineLevel="0" collapsed="false">
      <c r="D581" s="17"/>
      <c r="G581" s="17" t="str">
        <f aca="false">IF(TRIM(C581)="","",IFERROR(INDEX('Code Aliases'!$B:$B,MATCH(TRIM(C581),'Code Aliases'!$A:$A,0)),TRIM(C581)))</f>
        <v/>
      </c>
      <c r="H581" s="17" t="str">
        <f aca="false">IF(TRIM(B581)="","",UPPER(TRIM(B581)))</f>
        <v/>
      </c>
    </row>
    <row r="582" customFormat="false" ht="14.25" hidden="false" customHeight="true" outlineLevel="0" collapsed="false">
      <c r="D582" s="17"/>
      <c r="G582" s="17" t="str">
        <f aca="false">IF(TRIM(C582)="","",IFERROR(INDEX('Code Aliases'!$B:$B,MATCH(TRIM(C582),'Code Aliases'!$A:$A,0)),TRIM(C582)))</f>
        <v/>
      </c>
      <c r="H582" s="17" t="str">
        <f aca="false">IF(TRIM(B582)="","",UPPER(TRIM(B582)))</f>
        <v/>
      </c>
    </row>
    <row r="583" customFormat="false" ht="14.25" hidden="false" customHeight="true" outlineLevel="0" collapsed="false">
      <c r="D583" s="17"/>
      <c r="G583" s="17" t="str">
        <f aca="false">IF(TRIM(C583)="","",IFERROR(INDEX('Code Aliases'!$B:$B,MATCH(TRIM(C583),'Code Aliases'!$A:$A,0)),TRIM(C583)))</f>
        <v/>
      </c>
      <c r="H583" s="17" t="str">
        <f aca="false">IF(TRIM(B583)="","",UPPER(TRIM(B583)))</f>
        <v/>
      </c>
    </row>
    <row r="584" customFormat="false" ht="14.25" hidden="false" customHeight="true" outlineLevel="0" collapsed="false">
      <c r="D584" s="17"/>
      <c r="G584" s="17" t="str">
        <f aca="false">IF(TRIM(C584)="","",IFERROR(INDEX('Code Aliases'!$B:$B,MATCH(TRIM(C584),'Code Aliases'!$A:$A,0)),TRIM(C584)))</f>
        <v/>
      </c>
      <c r="H584" s="17" t="str">
        <f aca="false">IF(TRIM(B584)="","",UPPER(TRIM(B584)))</f>
        <v/>
      </c>
    </row>
    <row r="585" customFormat="false" ht="14.25" hidden="false" customHeight="true" outlineLevel="0" collapsed="false">
      <c r="D585" s="17"/>
      <c r="G585" s="17" t="str">
        <f aca="false">IF(TRIM(C585)="","",IFERROR(INDEX('Code Aliases'!$B:$B,MATCH(TRIM(C585),'Code Aliases'!$A:$A,0)),TRIM(C585)))</f>
        <v/>
      </c>
      <c r="H585" s="17" t="str">
        <f aca="false">IF(TRIM(B585)="","",UPPER(TRIM(B585)))</f>
        <v/>
      </c>
    </row>
    <row r="586" customFormat="false" ht="14.25" hidden="false" customHeight="true" outlineLevel="0" collapsed="false">
      <c r="D586" s="17"/>
      <c r="G586" s="17" t="str">
        <f aca="false">IF(TRIM(C586)="","",IFERROR(INDEX('Code Aliases'!$B:$B,MATCH(TRIM(C586),'Code Aliases'!$A:$A,0)),TRIM(C586)))</f>
        <v/>
      </c>
      <c r="H586" s="17" t="str">
        <f aca="false">IF(TRIM(B586)="","",UPPER(TRIM(B586)))</f>
        <v/>
      </c>
    </row>
    <row r="587" customFormat="false" ht="14.25" hidden="false" customHeight="true" outlineLevel="0" collapsed="false">
      <c r="D587" s="17"/>
      <c r="G587" s="17" t="str">
        <f aca="false">IF(TRIM(C587)="","",IFERROR(INDEX('Code Aliases'!$B:$B,MATCH(TRIM(C587),'Code Aliases'!$A:$A,0)),TRIM(C587)))</f>
        <v/>
      </c>
      <c r="H587" s="17" t="str">
        <f aca="false">IF(TRIM(B587)="","",UPPER(TRIM(B587)))</f>
        <v/>
      </c>
    </row>
    <row r="588" customFormat="false" ht="14.25" hidden="false" customHeight="true" outlineLevel="0" collapsed="false">
      <c r="D588" s="17"/>
      <c r="G588" s="17" t="str">
        <f aca="false">IF(TRIM(C588)="","",IFERROR(INDEX('Code Aliases'!$B:$B,MATCH(TRIM(C588),'Code Aliases'!$A:$A,0)),TRIM(C588)))</f>
        <v/>
      </c>
      <c r="H588" s="17" t="str">
        <f aca="false">IF(TRIM(B588)="","",UPPER(TRIM(B588)))</f>
        <v/>
      </c>
    </row>
    <row r="589" customFormat="false" ht="14.25" hidden="false" customHeight="true" outlineLevel="0" collapsed="false">
      <c r="D589" s="17"/>
      <c r="G589" s="17" t="str">
        <f aca="false">IF(TRIM(C589)="","",IFERROR(INDEX('Code Aliases'!$B:$B,MATCH(TRIM(C589),'Code Aliases'!$A:$A,0)),TRIM(C589)))</f>
        <v/>
      </c>
      <c r="H589" s="17" t="str">
        <f aca="false">IF(TRIM(B589)="","",UPPER(TRIM(B589)))</f>
        <v/>
      </c>
    </row>
    <row r="590" customFormat="false" ht="14.25" hidden="false" customHeight="true" outlineLevel="0" collapsed="false">
      <c r="D590" s="17"/>
      <c r="G590" s="17" t="str">
        <f aca="false">IF(TRIM(C590)="","",IFERROR(INDEX('Code Aliases'!$B:$B,MATCH(TRIM(C590),'Code Aliases'!$A:$A,0)),TRIM(C590)))</f>
        <v/>
      </c>
      <c r="H590" s="17" t="str">
        <f aca="false">IF(TRIM(B590)="","",UPPER(TRIM(B590)))</f>
        <v/>
      </c>
    </row>
    <row r="591" customFormat="false" ht="14.25" hidden="false" customHeight="true" outlineLevel="0" collapsed="false">
      <c r="D591" s="17"/>
      <c r="G591" s="17" t="str">
        <f aca="false">IF(TRIM(C591)="","",IFERROR(INDEX('Code Aliases'!$B:$B,MATCH(TRIM(C591),'Code Aliases'!$A:$A,0)),TRIM(C591)))</f>
        <v/>
      </c>
      <c r="H591" s="17" t="str">
        <f aca="false">IF(TRIM(B591)="","",UPPER(TRIM(B591)))</f>
        <v/>
      </c>
    </row>
    <row r="592" customFormat="false" ht="14.25" hidden="false" customHeight="true" outlineLevel="0" collapsed="false">
      <c r="D592" s="17"/>
      <c r="G592" s="17" t="str">
        <f aca="false">IF(TRIM(C592)="","",IFERROR(INDEX('Code Aliases'!$B:$B,MATCH(TRIM(C592),'Code Aliases'!$A:$A,0)),TRIM(C592)))</f>
        <v/>
      </c>
      <c r="H592" s="17" t="str">
        <f aca="false">IF(TRIM(B592)="","",UPPER(TRIM(B592)))</f>
        <v/>
      </c>
    </row>
    <row r="593" customFormat="false" ht="14.25" hidden="false" customHeight="true" outlineLevel="0" collapsed="false">
      <c r="D593" s="17"/>
      <c r="G593" s="17" t="str">
        <f aca="false">IF(TRIM(C593)="","",IFERROR(INDEX('Code Aliases'!$B:$B,MATCH(TRIM(C593),'Code Aliases'!$A:$A,0)),TRIM(C593)))</f>
        <v/>
      </c>
      <c r="H593" s="17" t="str">
        <f aca="false">IF(TRIM(B593)="","",UPPER(TRIM(B593)))</f>
        <v/>
      </c>
    </row>
    <row r="594" customFormat="false" ht="14.25" hidden="false" customHeight="true" outlineLevel="0" collapsed="false">
      <c r="D594" s="17"/>
      <c r="G594" s="17" t="str">
        <f aca="false">IF(TRIM(C594)="","",IFERROR(INDEX('Code Aliases'!$B:$B,MATCH(TRIM(C594),'Code Aliases'!$A:$A,0)),TRIM(C594)))</f>
        <v/>
      </c>
      <c r="H594" s="17" t="str">
        <f aca="false">IF(TRIM(B594)="","",UPPER(TRIM(B594)))</f>
        <v/>
      </c>
    </row>
    <row r="595" customFormat="false" ht="14.25" hidden="false" customHeight="true" outlineLevel="0" collapsed="false">
      <c r="D595" s="17"/>
      <c r="G595" s="17" t="str">
        <f aca="false">IF(TRIM(C595)="","",IFERROR(INDEX('Code Aliases'!$B:$B,MATCH(TRIM(C595),'Code Aliases'!$A:$A,0)),TRIM(C595)))</f>
        <v/>
      </c>
      <c r="H595" s="17" t="str">
        <f aca="false">IF(TRIM(B595)="","",UPPER(TRIM(B595)))</f>
        <v/>
      </c>
    </row>
    <row r="596" customFormat="false" ht="14.25" hidden="false" customHeight="true" outlineLevel="0" collapsed="false">
      <c r="D596" s="17"/>
      <c r="G596" s="17" t="str">
        <f aca="false">IF(TRIM(C596)="","",IFERROR(INDEX('Code Aliases'!$B:$B,MATCH(TRIM(C596),'Code Aliases'!$A:$A,0)),TRIM(C596)))</f>
        <v/>
      </c>
      <c r="H596" s="17" t="str">
        <f aca="false">IF(TRIM(B596)="","",UPPER(TRIM(B596)))</f>
        <v/>
      </c>
    </row>
    <row r="597" customFormat="false" ht="14.25" hidden="false" customHeight="true" outlineLevel="0" collapsed="false">
      <c r="D597" s="17"/>
      <c r="G597" s="17" t="str">
        <f aca="false">IF(TRIM(C597)="","",IFERROR(INDEX('Code Aliases'!$B:$B,MATCH(TRIM(C597),'Code Aliases'!$A:$A,0)),TRIM(C597)))</f>
        <v/>
      </c>
      <c r="H597" s="17" t="str">
        <f aca="false">IF(TRIM(B597)="","",UPPER(TRIM(B597)))</f>
        <v/>
      </c>
    </row>
    <row r="598" customFormat="false" ht="14.25" hidden="false" customHeight="true" outlineLevel="0" collapsed="false">
      <c r="D598" s="17"/>
      <c r="G598" s="17" t="str">
        <f aca="false">IF(TRIM(C598)="","",IFERROR(INDEX('Code Aliases'!$B:$B,MATCH(TRIM(C598),'Code Aliases'!$A:$A,0)),TRIM(C598)))</f>
        <v/>
      </c>
      <c r="H598" s="17" t="str">
        <f aca="false">IF(TRIM(B598)="","",UPPER(TRIM(B598)))</f>
        <v/>
      </c>
    </row>
    <row r="599" customFormat="false" ht="14.25" hidden="false" customHeight="true" outlineLevel="0" collapsed="false">
      <c r="D599" s="17"/>
      <c r="G599" s="17" t="str">
        <f aca="false">IF(TRIM(C599)="","",IFERROR(INDEX('Code Aliases'!$B:$B,MATCH(TRIM(C599),'Code Aliases'!$A:$A,0)),TRIM(C599)))</f>
        <v/>
      </c>
      <c r="H599" s="17" t="str">
        <f aca="false">IF(TRIM(B599)="","",UPPER(TRIM(B599)))</f>
        <v/>
      </c>
    </row>
    <row r="600" customFormat="false" ht="14.25" hidden="false" customHeight="true" outlineLevel="0" collapsed="false">
      <c r="D600" s="17"/>
      <c r="G600" s="17" t="str">
        <f aca="false">IF(TRIM(C600)="","",IFERROR(INDEX('Code Aliases'!$B:$B,MATCH(TRIM(C600),'Code Aliases'!$A:$A,0)),TRIM(C600)))</f>
        <v/>
      </c>
      <c r="H600" s="17" t="str">
        <f aca="false">IF(TRIM(B600)="","",UPPER(TRIM(B600)))</f>
        <v/>
      </c>
    </row>
    <row r="601" customFormat="false" ht="14.25" hidden="false" customHeight="true" outlineLevel="0" collapsed="false">
      <c r="D601" s="17"/>
      <c r="G601" s="17" t="str">
        <f aca="false">IF(TRIM(C601)="","",IFERROR(INDEX('Code Aliases'!$B:$B,MATCH(TRIM(C601),'Code Aliases'!$A:$A,0)),TRIM(C601)))</f>
        <v/>
      </c>
      <c r="H601" s="17" t="str">
        <f aca="false">IF(TRIM(B601)="","",UPPER(TRIM(B601)))</f>
        <v/>
      </c>
    </row>
    <row r="602" customFormat="false" ht="14.25" hidden="false" customHeight="true" outlineLevel="0" collapsed="false">
      <c r="D602" s="17"/>
      <c r="G602" s="17" t="str">
        <f aca="false">IF(TRIM(C602)="","",IFERROR(INDEX('Code Aliases'!$B:$B,MATCH(TRIM(C602),'Code Aliases'!$A:$A,0)),TRIM(C602)))</f>
        <v/>
      </c>
      <c r="H602" s="17" t="str">
        <f aca="false">IF(TRIM(B602)="","",UPPER(TRIM(B602)))</f>
        <v/>
      </c>
    </row>
    <row r="603" customFormat="false" ht="14.25" hidden="false" customHeight="true" outlineLevel="0" collapsed="false">
      <c r="D603" s="17"/>
      <c r="G603" s="17" t="str">
        <f aca="false">IF(TRIM(C603)="","",IFERROR(INDEX('Code Aliases'!$B:$B,MATCH(TRIM(C603),'Code Aliases'!$A:$A,0)),TRIM(C603)))</f>
        <v/>
      </c>
      <c r="H603" s="17" t="str">
        <f aca="false">IF(TRIM(B603)="","",UPPER(TRIM(B603)))</f>
        <v/>
      </c>
    </row>
    <row r="604" customFormat="false" ht="14.25" hidden="false" customHeight="true" outlineLevel="0" collapsed="false">
      <c r="D604" s="17"/>
      <c r="G604" s="17" t="str">
        <f aca="false">IF(TRIM(C604)="","",IFERROR(INDEX('Code Aliases'!$B:$B,MATCH(TRIM(C604),'Code Aliases'!$A:$A,0)),TRIM(C604)))</f>
        <v/>
      </c>
      <c r="H604" s="17" t="str">
        <f aca="false">IF(TRIM(B604)="","",UPPER(TRIM(B604)))</f>
        <v/>
      </c>
    </row>
    <row r="605" customFormat="false" ht="14.25" hidden="false" customHeight="true" outlineLevel="0" collapsed="false">
      <c r="D605" s="17"/>
      <c r="G605" s="17" t="str">
        <f aca="false">IF(TRIM(C605)="","",IFERROR(INDEX('Code Aliases'!$B:$B,MATCH(TRIM(C605),'Code Aliases'!$A:$A,0)),TRIM(C605)))</f>
        <v/>
      </c>
      <c r="H605" s="17" t="str">
        <f aca="false">IF(TRIM(B605)="","",UPPER(TRIM(B605)))</f>
        <v/>
      </c>
    </row>
    <row r="606" customFormat="false" ht="14.25" hidden="false" customHeight="true" outlineLevel="0" collapsed="false">
      <c r="D606" s="17"/>
      <c r="G606" s="17" t="str">
        <f aca="false">IF(TRIM(C606)="","",IFERROR(INDEX('Code Aliases'!$B:$B,MATCH(TRIM(C606),'Code Aliases'!$A:$A,0)),TRIM(C606)))</f>
        <v/>
      </c>
      <c r="H606" s="17" t="str">
        <f aca="false">IF(TRIM(B606)="","",UPPER(TRIM(B606)))</f>
        <v/>
      </c>
    </row>
    <row r="607" customFormat="false" ht="14.25" hidden="false" customHeight="true" outlineLevel="0" collapsed="false">
      <c r="D607" s="17"/>
      <c r="G607" s="17" t="str">
        <f aca="false">IF(TRIM(C607)="","",IFERROR(INDEX('Code Aliases'!$B:$B,MATCH(TRIM(C607),'Code Aliases'!$A:$A,0)),TRIM(C607)))</f>
        <v/>
      </c>
      <c r="H607" s="17" t="str">
        <f aca="false">IF(TRIM(B607)="","",UPPER(TRIM(B607)))</f>
        <v/>
      </c>
    </row>
    <row r="608" customFormat="false" ht="14.25" hidden="false" customHeight="true" outlineLevel="0" collapsed="false">
      <c r="D608" s="17"/>
      <c r="G608" s="17" t="str">
        <f aca="false">IF(TRIM(C608)="","",IFERROR(INDEX('Code Aliases'!$B:$B,MATCH(TRIM(C608),'Code Aliases'!$A:$A,0)),TRIM(C608)))</f>
        <v/>
      </c>
      <c r="H608" s="17" t="str">
        <f aca="false">IF(TRIM(B608)="","",UPPER(TRIM(B608)))</f>
        <v/>
      </c>
    </row>
    <row r="609" customFormat="false" ht="14.25" hidden="false" customHeight="true" outlineLevel="0" collapsed="false">
      <c r="D609" s="17"/>
      <c r="G609" s="17" t="str">
        <f aca="false">IF(TRIM(C609)="","",IFERROR(INDEX('Code Aliases'!$B:$B,MATCH(TRIM(C609),'Code Aliases'!$A:$A,0)),TRIM(C609)))</f>
        <v/>
      </c>
      <c r="H609" s="17" t="str">
        <f aca="false">IF(TRIM(B609)="","",UPPER(TRIM(B609)))</f>
        <v/>
      </c>
    </row>
    <row r="610" customFormat="false" ht="14.25" hidden="false" customHeight="true" outlineLevel="0" collapsed="false">
      <c r="D610" s="17"/>
      <c r="G610" s="17" t="str">
        <f aca="false">IF(TRIM(C610)="","",IFERROR(INDEX('Code Aliases'!$B:$B,MATCH(TRIM(C610),'Code Aliases'!$A:$A,0)),TRIM(C610)))</f>
        <v/>
      </c>
      <c r="H610" s="17" t="str">
        <f aca="false">IF(TRIM(B610)="","",UPPER(TRIM(B610)))</f>
        <v/>
      </c>
    </row>
    <row r="611" customFormat="false" ht="14.25" hidden="false" customHeight="true" outlineLevel="0" collapsed="false">
      <c r="D611" s="17"/>
      <c r="G611" s="17" t="str">
        <f aca="false">IF(TRIM(C611)="","",IFERROR(INDEX('Code Aliases'!$B:$B,MATCH(TRIM(C611),'Code Aliases'!$A:$A,0)),TRIM(C611)))</f>
        <v/>
      </c>
      <c r="H611" s="17" t="str">
        <f aca="false">IF(TRIM(B611)="","",UPPER(TRIM(B611)))</f>
        <v/>
      </c>
    </row>
    <row r="612" customFormat="false" ht="14.25" hidden="false" customHeight="true" outlineLevel="0" collapsed="false">
      <c r="D612" s="17"/>
      <c r="G612" s="17" t="str">
        <f aca="false">IF(TRIM(C612)="","",IFERROR(INDEX('Code Aliases'!$B:$B,MATCH(TRIM(C612),'Code Aliases'!$A:$A,0)),TRIM(C612)))</f>
        <v/>
      </c>
      <c r="H612" s="17" t="str">
        <f aca="false">IF(TRIM(B612)="","",UPPER(TRIM(B612)))</f>
        <v/>
      </c>
    </row>
    <row r="613" customFormat="false" ht="14.25" hidden="false" customHeight="true" outlineLevel="0" collapsed="false">
      <c r="D613" s="17"/>
      <c r="G613" s="17" t="str">
        <f aca="false">IF(TRIM(C613)="","",IFERROR(INDEX('Code Aliases'!$B:$B,MATCH(TRIM(C613),'Code Aliases'!$A:$A,0)),TRIM(C613)))</f>
        <v/>
      </c>
      <c r="H613" s="17" t="str">
        <f aca="false">IF(TRIM(B613)="","",UPPER(TRIM(B613)))</f>
        <v/>
      </c>
    </row>
    <row r="614" customFormat="false" ht="14.25" hidden="false" customHeight="true" outlineLevel="0" collapsed="false">
      <c r="D614" s="17"/>
      <c r="G614" s="17" t="str">
        <f aca="false">IF(TRIM(C614)="","",IFERROR(INDEX('Code Aliases'!$B:$B,MATCH(TRIM(C614),'Code Aliases'!$A:$A,0)),TRIM(C614)))</f>
        <v/>
      </c>
      <c r="H614" s="17" t="str">
        <f aca="false">IF(TRIM(B614)="","",UPPER(TRIM(B614)))</f>
        <v/>
      </c>
    </row>
    <row r="615" customFormat="false" ht="14.25" hidden="false" customHeight="true" outlineLevel="0" collapsed="false">
      <c r="D615" s="17"/>
      <c r="G615" s="17" t="str">
        <f aca="false">IF(TRIM(C615)="","",IFERROR(INDEX('Code Aliases'!$B:$B,MATCH(TRIM(C615),'Code Aliases'!$A:$A,0)),TRIM(C615)))</f>
        <v/>
      </c>
      <c r="H615" s="17" t="str">
        <f aca="false">IF(TRIM(B615)="","",UPPER(TRIM(B615)))</f>
        <v/>
      </c>
    </row>
    <row r="616" customFormat="false" ht="14.25" hidden="false" customHeight="true" outlineLevel="0" collapsed="false">
      <c r="D616" s="17"/>
      <c r="G616" s="17" t="str">
        <f aca="false">IF(TRIM(C616)="","",IFERROR(INDEX('Code Aliases'!$B:$B,MATCH(TRIM(C616),'Code Aliases'!$A:$A,0)),TRIM(C616)))</f>
        <v/>
      </c>
      <c r="H616" s="17" t="str">
        <f aca="false">IF(TRIM(B616)="","",UPPER(TRIM(B616)))</f>
        <v/>
      </c>
    </row>
    <row r="617" customFormat="false" ht="14.25" hidden="false" customHeight="true" outlineLevel="0" collapsed="false">
      <c r="D617" s="17"/>
      <c r="G617" s="17" t="str">
        <f aca="false">IF(TRIM(C617)="","",IFERROR(INDEX('Code Aliases'!$B:$B,MATCH(TRIM(C617),'Code Aliases'!$A:$A,0)),TRIM(C617)))</f>
        <v/>
      </c>
      <c r="H617" s="17" t="str">
        <f aca="false">IF(TRIM(B617)="","",UPPER(TRIM(B617)))</f>
        <v/>
      </c>
    </row>
    <row r="618" customFormat="false" ht="14.25" hidden="false" customHeight="true" outlineLevel="0" collapsed="false">
      <c r="D618" s="17"/>
      <c r="G618" s="17" t="str">
        <f aca="false">IF(TRIM(C618)="","",IFERROR(INDEX('Code Aliases'!$B:$B,MATCH(TRIM(C618),'Code Aliases'!$A:$A,0)),TRIM(C618)))</f>
        <v/>
      </c>
      <c r="H618" s="17" t="str">
        <f aca="false">IF(TRIM(B618)="","",UPPER(TRIM(B618)))</f>
        <v/>
      </c>
    </row>
    <row r="619" customFormat="false" ht="14.25" hidden="false" customHeight="true" outlineLevel="0" collapsed="false">
      <c r="D619" s="17"/>
      <c r="G619" s="17" t="str">
        <f aca="false">IF(TRIM(C619)="","",IFERROR(INDEX('Code Aliases'!$B:$B,MATCH(TRIM(C619),'Code Aliases'!$A:$A,0)),TRIM(C619)))</f>
        <v/>
      </c>
      <c r="H619" s="17" t="str">
        <f aca="false">IF(TRIM(B619)="","",UPPER(TRIM(B619)))</f>
        <v/>
      </c>
    </row>
    <row r="620" customFormat="false" ht="14.25" hidden="false" customHeight="true" outlineLevel="0" collapsed="false">
      <c r="D620" s="17"/>
      <c r="G620" s="17" t="str">
        <f aca="false">IF(TRIM(C620)="","",IFERROR(INDEX('Code Aliases'!$B:$B,MATCH(TRIM(C620),'Code Aliases'!$A:$A,0)),TRIM(C620)))</f>
        <v/>
      </c>
      <c r="H620" s="17" t="str">
        <f aca="false">IF(TRIM(B620)="","",UPPER(TRIM(B620)))</f>
        <v/>
      </c>
    </row>
    <row r="621" customFormat="false" ht="14.25" hidden="false" customHeight="true" outlineLevel="0" collapsed="false">
      <c r="D621" s="17"/>
      <c r="G621" s="17" t="str">
        <f aca="false">IF(TRIM(C621)="","",IFERROR(INDEX('Code Aliases'!$B:$B,MATCH(TRIM(C621),'Code Aliases'!$A:$A,0)),TRIM(C621)))</f>
        <v/>
      </c>
      <c r="H621" s="17" t="str">
        <f aca="false">IF(TRIM(B621)="","",UPPER(TRIM(B621)))</f>
        <v/>
      </c>
    </row>
    <row r="622" customFormat="false" ht="14.25" hidden="false" customHeight="true" outlineLevel="0" collapsed="false">
      <c r="D622" s="17"/>
      <c r="G622" s="17" t="str">
        <f aca="false">IF(TRIM(C622)="","",IFERROR(INDEX('Code Aliases'!$B:$B,MATCH(TRIM(C622),'Code Aliases'!$A:$A,0)),TRIM(C622)))</f>
        <v/>
      </c>
      <c r="H622" s="17" t="str">
        <f aca="false">IF(TRIM(B622)="","",UPPER(TRIM(B622)))</f>
        <v/>
      </c>
    </row>
    <row r="623" customFormat="false" ht="14.25" hidden="false" customHeight="true" outlineLevel="0" collapsed="false">
      <c r="D623" s="17"/>
      <c r="G623" s="17" t="str">
        <f aca="false">IF(TRIM(C623)="","",IFERROR(INDEX('Code Aliases'!$B:$B,MATCH(TRIM(C623),'Code Aliases'!$A:$A,0)),TRIM(C623)))</f>
        <v/>
      </c>
      <c r="H623" s="17" t="str">
        <f aca="false">IF(TRIM(B623)="","",UPPER(TRIM(B623)))</f>
        <v/>
      </c>
    </row>
    <row r="624" customFormat="false" ht="14.25" hidden="false" customHeight="true" outlineLevel="0" collapsed="false">
      <c r="D624" s="17"/>
      <c r="G624" s="17" t="str">
        <f aca="false">IF(TRIM(C624)="","",IFERROR(INDEX('Code Aliases'!$B:$B,MATCH(TRIM(C624),'Code Aliases'!$A:$A,0)),TRIM(C624)))</f>
        <v/>
      </c>
      <c r="H624" s="17" t="str">
        <f aca="false">IF(TRIM(B624)="","",UPPER(TRIM(B624)))</f>
        <v/>
      </c>
    </row>
    <row r="625" customFormat="false" ht="14.25" hidden="false" customHeight="true" outlineLevel="0" collapsed="false">
      <c r="D625" s="17"/>
      <c r="G625" s="17" t="str">
        <f aca="false">IF(TRIM(C625)="","",IFERROR(INDEX('Code Aliases'!$B:$B,MATCH(TRIM(C625),'Code Aliases'!$A:$A,0)),TRIM(C625)))</f>
        <v/>
      </c>
      <c r="H625" s="17" t="str">
        <f aca="false">IF(TRIM(B625)="","",UPPER(TRIM(B625)))</f>
        <v/>
      </c>
    </row>
    <row r="626" customFormat="false" ht="14.25" hidden="false" customHeight="true" outlineLevel="0" collapsed="false">
      <c r="D626" s="17"/>
      <c r="G626" s="17" t="str">
        <f aca="false">IF(TRIM(C626)="","",IFERROR(INDEX('Code Aliases'!$B:$B,MATCH(TRIM(C626),'Code Aliases'!$A:$A,0)),TRIM(C626)))</f>
        <v/>
      </c>
      <c r="H626" s="17" t="str">
        <f aca="false">IF(TRIM(B626)="","",UPPER(TRIM(B626)))</f>
        <v/>
      </c>
    </row>
    <row r="627" customFormat="false" ht="14.25" hidden="false" customHeight="true" outlineLevel="0" collapsed="false">
      <c r="D627" s="17"/>
      <c r="G627" s="17" t="str">
        <f aca="false">IF(TRIM(C627)="","",IFERROR(INDEX('Code Aliases'!$B:$B,MATCH(TRIM(C627),'Code Aliases'!$A:$A,0)),TRIM(C627)))</f>
        <v/>
      </c>
      <c r="H627" s="17" t="str">
        <f aca="false">IF(TRIM(B627)="","",UPPER(TRIM(B627)))</f>
        <v/>
      </c>
    </row>
    <row r="628" customFormat="false" ht="14.25" hidden="false" customHeight="true" outlineLevel="0" collapsed="false">
      <c r="D628" s="17"/>
      <c r="G628" s="17" t="str">
        <f aca="false">IF(TRIM(C628)="","",IFERROR(INDEX('Code Aliases'!$B:$B,MATCH(TRIM(C628),'Code Aliases'!$A:$A,0)),TRIM(C628)))</f>
        <v/>
      </c>
      <c r="H628" s="17" t="str">
        <f aca="false">IF(TRIM(B628)="","",UPPER(TRIM(B628)))</f>
        <v/>
      </c>
    </row>
    <row r="629" customFormat="false" ht="14.25" hidden="false" customHeight="true" outlineLevel="0" collapsed="false">
      <c r="D629" s="17"/>
      <c r="G629" s="17" t="str">
        <f aca="false">IF(TRIM(C629)="","",IFERROR(INDEX('Code Aliases'!$B:$B,MATCH(TRIM(C629),'Code Aliases'!$A:$A,0)),TRIM(C629)))</f>
        <v/>
      </c>
      <c r="H629" s="17" t="str">
        <f aca="false">IF(TRIM(B629)="","",UPPER(TRIM(B629)))</f>
        <v/>
      </c>
    </row>
    <row r="630" customFormat="false" ht="14.25" hidden="false" customHeight="true" outlineLevel="0" collapsed="false">
      <c r="D630" s="17"/>
      <c r="G630" s="17" t="str">
        <f aca="false">IF(TRIM(C630)="","",IFERROR(INDEX('Code Aliases'!$B:$B,MATCH(TRIM(C630),'Code Aliases'!$A:$A,0)),TRIM(C630)))</f>
        <v/>
      </c>
      <c r="H630" s="17" t="str">
        <f aca="false">IF(TRIM(B630)="","",UPPER(TRIM(B630)))</f>
        <v/>
      </c>
    </row>
    <row r="631" customFormat="false" ht="14.25" hidden="false" customHeight="true" outlineLevel="0" collapsed="false">
      <c r="D631" s="17"/>
      <c r="G631" s="17" t="str">
        <f aca="false">IF(TRIM(C631)="","",IFERROR(INDEX('Code Aliases'!$B:$B,MATCH(TRIM(C631),'Code Aliases'!$A:$A,0)),TRIM(C631)))</f>
        <v/>
      </c>
      <c r="H631" s="17" t="str">
        <f aca="false">IF(TRIM(B631)="","",UPPER(TRIM(B631)))</f>
        <v/>
      </c>
    </row>
    <row r="632" customFormat="false" ht="14.25" hidden="false" customHeight="true" outlineLevel="0" collapsed="false">
      <c r="D632" s="17"/>
      <c r="G632" s="17" t="str">
        <f aca="false">IF(TRIM(C632)="","",IFERROR(INDEX('Code Aliases'!$B:$B,MATCH(TRIM(C632),'Code Aliases'!$A:$A,0)),TRIM(C632)))</f>
        <v/>
      </c>
      <c r="H632" s="17" t="str">
        <f aca="false">IF(TRIM(B632)="","",UPPER(TRIM(B632)))</f>
        <v/>
      </c>
    </row>
    <row r="633" customFormat="false" ht="14.25" hidden="false" customHeight="true" outlineLevel="0" collapsed="false">
      <c r="D633" s="17"/>
      <c r="G633" s="17" t="str">
        <f aca="false">IF(TRIM(C633)="","",IFERROR(INDEX('Code Aliases'!$B:$B,MATCH(TRIM(C633),'Code Aliases'!$A:$A,0)),TRIM(C633)))</f>
        <v/>
      </c>
      <c r="H633" s="17" t="str">
        <f aca="false">IF(TRIM(B633)="","",UPPER(TRIM(B633)))</f>
        <v/>
      </c>
    </row>
    <row r="634" customFormat="false" ht="14.25" hidden="false" customHeight="true" outlineLevel="0" collapsed="false">
      <c r="D634" s="17"/>
      <c r="G634" s="17" t="str">
        <f aca="false">IF(TRIM(C634)="","",IFERROR(INDEX('Code Aliases'!$B:$B,MATCH(TRIM(C634),'Code Aliases'!$A:$A,0)),TRIM(C634)))</f>
        <v/>
      </c>
      <c r="H634" s="17" t="str">
        <f aca="false">IF(TRIM(B634)="","",UPPER(TRIM(B634)))</f>
        <v/>
      </c>
    </row>
    <row r="635" customFormat="false" ht="14.25" hidden="false" customHeight="true" outlineLevel="0" collapsed="false">
      <c r="D635" s="17"/>
      <c r="G635" s="17" t="str">
        <f aca="false">IF(TRIM(C635)="","",IFERROR(INDEX('Code Aliases'!$B:$B,MATCH(TRIM(C635),'Code Aliases'!$A:$A,0)),TRIM(C635)))</f>
        <v/>
      </c>
      <c r="H635" s="17" t="str">
        <f aca="false">IF(TRIM(B635)="","",UPPER(TRIM(B635)))</f>
        <v/>
      </c>
    </row>
    <row r="636" customFormat="false" ht="14.25" hidden="false" customHeight="true" outlineLevel="0" collapsed="false">
      <c r="D636" s="17"/>
      <c r="G636" s="17" t="str">
        <f aca="false">IF(TRIM(C636)="","",IFERROR(INDEX('Code Aliases'!$B:$B,MATCH(TRIM(C636),'Code Aliases'!$A:$A,0)),TRIM(C636)))</f>
        <v/>
      </c>
      <c r="H636" s="17" t="str">
        <f aca="false">IF(TRIM(B636)="","",UPPER(TRIM(B636)))</f>
        <v/>
      </c>
    </row>
    <row r="637" customFormat="false" ht="14.25" hidden="false" customHeight="true" outlineLevel="0" collapsed="false">
      <c r="D637" s="17"/>
      <c r="G637" s="17" t="str">
        <f aca="false">IF(TRIM(C637)="","",IFERROR(INDEX('Code Aliases'!$B:$B,MATCH(TRIM(C637),'Code Aliases'!$A:$A,0)),TRIM(C637)))</f>
        <v/>
      </c>
      <c r="H637" s="17" t="str">
        <f aca="false">IF(TRIM(B637)="","",UPPER(TRIM(B637)))</f>
        <v/>
      </c>
    </row>
    <row r="638" customFormat="false" ht="14.25" hidden="false" customHeight="true" outlineLevel="0" collapsed="false">
      <c r="D638" s="17"/>
      <c r="G638" s="17" t="str">
        <f aca="false">IF(TRIM(C638)="","",IFERROR(INDEX('Code Aliases'!$B:$B,MATCH(TRIM(C638),'Code Aliases'!$A:$A,0)),TRIM(C638)))</f>
        <v/>
      </c>
      <c r="H638" s="17" t="str">
        <f aca="false">IF(TRIM(B638)="","",UPPER(TRIM(B638)))</f>
        <v/>
      </c>
    </row>
    <row r="639" customFormat="false" ht="14.25" hidden="false" customHeight="true" outlineLevel="0" collapsed="false">
      <c r="D639" s="17"/>
      <c r="G639" s="17" t="str">
        <f aca="false">IF(TRIM(C639)="","",IFERROR(INDEX('Code Aliases'!$B:$B,MATCH(TRIM(C639),'Code Aliases'!$A:$A,0)),TRIM(C639)))</f>
        <v/>
      </c>
      <c r="H639" s="17" t="str">
        <f aca="false">IF(TRIM(B639)="","",UPPER(TRIM(B639)))</f>
        <v/>
      </c>
    </row>
    <row r="640" customFormat="false" ht="14.25" hidden="false" customHeight="true" outlineLevel="0" collapsed="false">
      <c r="D640" s="17"/>
      <c r="G640" s="17" t="str">
        <f aca="false">IF(TRIM(C640)="","",IFERROR(INDEX('Code Aliases'!$B:$B,MATCH(TRIM(C640),'Code Aliases'!$A:$A,0)),TRIM(C640)))</f>
        <v/>
      </c>
      <c r="H640" s="17" t="str">
        <f aca="false">IF(TRIM(B640)="","",UPPER(TRIM(B640)))</f>
        <v/>
      </c>
    </row>
    <row r="641" customFormat="false" ht="14.25" hidden="false" customHeight="true" outlineLevel="0" collapsed="false">
      <c r="D641" s="17"/>
      <c r="G641" s="17" t="str">
        <f aca="false">IF(TRIM(C641)="","",IFERROR(INDEX('Code Aliases'!$B:$B,MATCH(TRIM(C641),'Code Aliases'!$A:$A,0)),TRIM(C641)))</f>
        <v/>
      </c>
      <c r="H641" s="17" t="str">
        <f aca="false">IF(TRIM(B641)="","",UPPER(TRIM(B641)))</f>
        <v/>
      </c>
    </row>
    <row r="642" customFormat="false" ht="14.25" hidden="false" customHeight="true" outlineLevel="0" collapsed="false">
      <c r="D642" s="17"/>
      <c r="G642" s="17" t="str">
        <f aca="false">IF(TRIM(C642)="","",IFERROR(INDEX('Code Aliases'!$B:$B,MATCH(TRIM(C642),'Code Aliases'!$A:$A,0)),TRIM(C642)))</f>
        <v/>
      </c>
      <c r="H642" s="17" t="str">
        <f aca="false">IF(TRIM(B642)="","",UPPER(TRIM(B642)))</f>
        <v/>
      </c>
    </row>
    <row r="643" customFormat="false" ht="14.25" hidden="false" customHeight="true" outlineLevel="0" collapsed="false">
      <c r="D643" s="17"/>
      <c r="G643" s="17" t="str">
        <f aca="false">IF(TRIM(C643)="","",IFERROR(INDEX('Code Aliases'!$B:$B,MATCH(TRIM(C643),'Code Aliases'!$A:$A,0)),TRIM(C643)))</f>
        <v/>
      </c>
      <c r="H643" s="17" t="str">
        <f aca="false">IF(TRIM(B643)="","",UPPER(TRIM(B643)))</f>
        <v/>
      </c>
    </row>
    <row r="644" customFormat="false" ht="14.25" hidden="false" customHeight="true" outlineLevel="0" collapsed="false">
      <c r="D644" s="17"/>
      <c r="G644" s="17" t="str">
        <f aca="false">IF(TRIM(C644)="","",IFERROR(INDEX('Code Aliases'!$B:$B,MATCH(TRIM(C644),'Code Aliases'!$A:$A,0)),TRIM(C644)))</f>
        <v/>
      </c>
      <c r="H644" s="17" t="str">
        <f aca="false">IF(TRIM(B644)="","",UPPER(TRIM(B644)))</f>
        <v/>
      </c>
    </row>
    <row r="645" customFormat="false" ht="14.25" hidden="false" customHeight="true" outlineLevel="0" collapsed="false">
      <c r="D645" s="17"/>
      <c r="G645" s="17" t="str">
        <f aca="false">IF(TRIM(C645)="","",IFERROR(INDEX('Code Aliases'!$B:$B,MATCH(TRIM(C645),'Code Aliases'!$A:$A,0)),TRIM(C645)))</f>
        <v/>
      </c>
      <c r="H645" s="17" t="str">
        <f aca="false">IF(TRIM(B645)="","",UPPER(TRIM(B645)))</f>
        <v/>
      </c>
    </row>
    <row r="646" customFormat="false" ht="14.25" hidden="false" customHeight="true" outlineLevel="0" collapsed="false">
      <c r="D646" s="17"/>
      <c r="G646" s="17" t="str">
        <f aca="false">IF(TRIM(C646)="","",IFERROR(INDEX('Code Aliases'!$B:$B,MATCH(TRIM(C646),'Code Aliases'!$A:$A,0)),TRIM(C646)))</f>
        <v/>
      </c>
      <c r="H646" s="17" t="str">
        <f aca="false">IF(TRIM(B646)="","",UPPER(TRIM(B646)))</f>
        <v/>
      </c>
    </row>
    <row r="647" customFormat="false" ht="14.25" hidden="false" customHeight="true" outlineLevel="0" collapsed="false">
      <c r="D647" s="17"/>
      <c r="G647" s="17" t="str">
        <f aca="false">IF(TRIM(C647)="","",IFERROR(INDEX('Code Aliases'!$B:$B,MATCH(TRIM(C647),'Code Aliases'!$A:$A,0)),TRIM(C647)))</f>
        <v/>
      </c>
      <c r="H647" s="17" t="str">
        <f aca="false">IF(TRIM(B647)="","",UPPER(TRIM(B647)))</f>
        <v/>
      </c>
    </row>
    <row r="648" customFormat="false" ht="14.25" hidden="false" customHeight="true" outlineLevel="0" collapsed="false">
      <c r="D648" s="17"/>
      <c r="G648" s="17" t="str">
        <f aca="false">IF(TRIM(C648)="","",IFERROR(INDEX('Code Aliases'!$B:$B,MATCH(TRIM(C648),'Code Aliases'!$A:$A,0)),TRIM(C648)))</f>
        <v/>
      </c>
      <c r="H648" s="17" t="str">
        <f aca="false">IF(TRIM(B648)="","",UPPER(TRIM(B648)))</f>
        <v/>
      </c>
    </row>
    <row r="649" customFormat="false" ht="14.25" hidden="false" customHeight="true" outlineLevel="0" collapsed="false">
      <c r="D649" s="17"/>
      <c r="G649" s="17" t="str">
        <f aca="false">IF(TRIM(C649)="","",IFERROR(INDEX('Code Aliases'!$B:$B,MATCH(TRIM(C649),'Code Aliases'!$A:$A,0)),TRIM(C649)))</f>
        <v/>
      </c>
      <c r="H649" s="17" t="str">
        <f aca="false">IF(TRIM(B649)="","",UPPER(TRIM(B649)))</f>
        <v/>
      </c>
    </row>
    <row r="650" customFormat="false" ht="14.25" hidden="false" customHeight="true" outlineLevel="0" collapsed="false">
      <c r="D650" s="17"/>
      <c r="G650" s="17" t="str">
        <f aca="false">IF(TRIM(C650)="","",IFERROR(INDEX('Code Aliases'!$B:$B,MATCH(TRIM(C650),'Code Aliases'!$A:$A,0)),TRIM(C650)))</f>
        <v/>
      </c>
      <c r="H650" s="17" t="str">
        <f aca="false">IF(TRIM(B650)="","",UPPER(TRIM(B650)))</f>
        <v/>
      </c>
    </row>
    <row r="651" customFormat="false" ht="14.25" hidden="false" customHeight="true" outlineLevel="0" collapsed="false">
      <c r="D651" s="17"/>
      <c r="G651" s="17" t="str">
        <f aca="false">IF(TRIM(C651)="","",IFERROR(INDEX('Code Aliases'!$B:$B,MATCH(TRIM(C651),'Code Aliases'!$A:$A,0)),TRIM(C651)))</f>
        <v/>
      </c>
      <c r="H651" s="17" t="str">
        <f aca="false">IF(TRIM(B651)="","",UPPER(TRIM(B651)))</f>
        <v/>
      </c>
    </row>
    <row r="652" customFormat="false" ht="14.25" hidden="false" customHeight="true" outlineLevel="0" collapsed="false">
      <c r="D652" s="17"/>
      <c r="G652" s="17" t="str">
        <f aca="false">IF(TRIM(C652)="","",IFERROR(INDEX('Code Aliases'!$B:$B,MATCH(TRIM(C652),'Code Aliases'!$A:$A,0)),TRIM(C652)))</f>
        <v/>
      </c>
      <c r="H652" s="17" t="str">
        <f aca="false">IF(TRIM(B652)="","",UPPER(TRIM(B652)))</f>
        <v/>
      </c>
    </row>
    <row r="653" customFormat="false" ht="14.25" hidden="false" customHeight="true" outlineLevel="0" collapsed="false">
      <c r="D653" s="17"/>
      <c r="G653" s="17" t="str">
        <f aca="false">IF(TRIM(C653)="","",IFERROR(INDEX('Code Aliases'!$B:$B,MATCH(TRIM(C653),'Code Aliases'!$A:$A,0)),TRIM(C653)))</f>
        <v/>
      </c>
      <c r="H653" s="17" t="str">
        <f aca="false">IF(TRIM(B653)="","",UPPER(TRIM(B653)))</f>
        <v/>
      </c>
    </row>
    <row r="654" customFormat="false" ht="14.25" hidden="false" customHeight="true" outlineLevel="0" collapsed="false">
      <c r="D654" s="17"/>
      <c r="G654" s="17" t="str">
        <f aca="false">IF(TRIM(C654)="","",IFERROR(INDEX('Code Aliases'!$B:$B,MATCH(TRIM(C654),'Code Aliases'!$A:$A,0)),TRIM(C654)))</f>
        <v/>
      </c>
      <c r="H654" s="17" t="str">
        <f aca="false">IF(TRIM(B654)="","",UPPER(TRIM(B654)))</f>
        <v/>
      </c>
    </row>
    <row r="655" customFormat="false" ht="14.25" hidden="false" customHeight="true" outlineLevel="0" collapsed="false">
      <c r="D655" s="17"/>
      <c r="G655" s="17" t="str">
        <f aca="false">IF(TRIM(C655)="","",IFERROR(INDEX('Code Aliases'!$B:$B,MATCH(TRIM(C655),'Code Aliases'!$A:$A,0)),TRIM(C655)))</f>
        <v/>
      </c>
      <c r="H655" s="17" t="str">
        <f aca="false">IF(TRIM(B655)="","",UPPER(TRIM(B655)))</f>
        <v/>
      </c>
    </row>
    <row r="656" customFormat="false" ht="14.25" hidden="false" customHeight="true" outlineLevel="0" collapsed="false">
      <c r="D656" s="17"/>
      <c r="G656" s="17" t="str">
        <f aca="false">IF(TRIM(C656)="","",IFERROR(INDEX('Code Aliases'!$B:$B,MATCH(TRIM(C656),'Code Aliases'!$A:$A,0)),TRIM(C656)))</f>
        <v/>
      </c>
      <c r="H656" s="17" t="str">
        <f aca="false">IF(TRIM(B656)="","",UPPER(TRIM(B656)))</f>
        <v/>
      </c>
    </row>
    <row r="657" customFormat="false" ht="14.25" hidden="false" customHeight="true" outlineLevel="0" collapsed="false">
      <c r="D657" s="17"/>
      <c r="G657" s="17" t="str">
        <f aca="false">IF(TRIM(C657)="","",IFERROR(INDEX('Code Aliases'!$B:$B,MATCH(TRIM(C657),'Code Aliases'!$A:$A,0)),TRIM(C657)))</f>
        <v/>
      </c>
      <c r="H657" s="17" t="str">
        <f aca="false">IF(TRIM(B657)="","",UPPER(TRIM(B657)))</f>
        <v/>
      </c>
    </row>
    <row r="658" customFormat="false" ht="14.25" hidden="false" customHeight="true" outlineLevel="0" collapsed="false">
      <c r="D658" s="17"/>
      <c r="G658" s="17" t="str">
        <f aca="false">IF(TRIM(C658)="","",IFERROR(INDEX('Code Aliases'!$B:$B,MATCH(TRIM(C658),'Code Aliases'!$A:$A,0)),TRIM(C658)))</f>
        <v/>
      </c>
      <c r="H658" s="17" t="str">
        <f aca="false">IF(TRIM(B658)="","",UPPER(TRIM(B658)))</f>
        <v/>
      </c>
    </row>
    <row r="659" customFormat="false" ht="14.25" hidden="false" customHeight="true" outlineLevel="0" collapsed="false">
      <c r="D659" s="17"/>
      <c r="G659" s="17" t="str">
        <f aca="false">IF(TRIM(C659)="","",IFERROR(INDEX('Code Aliases'!$B:$B,MATCH(TRIM(C659),'Code Aliases'!$A:$A,0)),TRIM(C659)))</f>
        <v/>
      </c>
      <c r="H659" s="17" t="str">
        <f aca="false">IF(TRIM(B659)="","",UPPER(TRIM(B659)))</f>
        <v/>
      </c>
    </row>
    <row r="660" customFormat="false" ht="14.25" hidden="false" customHeight="true" outlineLevel="0" collapsed="false">
      <c r="D660" s="17"/>
      <c r="G660" s="17" t="str">
        <f aca="false">IF(TRIM(C660)="","",IFERROR(INDEX('Code Aliases'!$B:$B,MATCH(TRIM(C660),'Code Aliases'!$A:$A,0)),TRIM(C660)))</f>
        <v/>
      </c>
      <c r="H660" s="17" t="str">
        <f aca="false">IF(TRIM(B660)="","",UPPER(TRIM(B660)))</f>
        <v/>
      </c>
    </row>
    <row r="661" customFormat="false" ht="14.25" hidden="false" customHeight="true" outlineLevel="0" collapsed="false">
      <c r="D661" s="17"/>
      <c r="G661" s="17" t="str">
        <f aca="false">IF(TRIM(C661)="","",IFERROR(INDEX('Code Aliases'!$B:$B,MATCH(TRIM(C661),'Code Aliases'!$A:$A,0)),TRIM(C661)))</f>
        <v/>
      </c>
      <c r="H661" s="17" t="str">
        <f aca="false">IF(TRIM(B661)="","",UPPER(TRIM(B661)))</f>
        <v/>
      </c>
    </row>
    <row r="662" customFormat="false" ht="14.25" hidden="false" customHeight="true" outlineLevel="0" collapsed="false">
      <c r="D662" s="17"/>
      <c r="G662" s="17" t="str">
        <f aca="false">IF(TRIM(C662)="","",IFERROR(INDEX('Code Aliases'!$B:$B,MATCH(TRIM(C662),'Code Aliases'!$A:$A,0)),TRIM(C662)))</f>
        <v/>
      </c>
      <c r="H662" s="17" t="str">
        <f aca="false">IF(TRIM(B662)="","",UPPER(TRIM(B662)))</f>
        <v/>
      </c>
    </row>
    <row r="663" customFormat="false" ht="14.25" hidden="false" customHeight="true" outlineLevel="0" collapsed="false">
      <c r="D663" s="17"/>
      <c r="G663" s="17" t="str">
        <f aca="false">IF(TRIM(C663)="","",IFERROR(INDEX('Code Aliases'!$B:$B,MATCH(TRIM(C663),'Code Aliases'!$A:$A,0)),TRIM(C663)))</f>
        <v/>
      </c>
      <c r="H663" s="17" t="str">
        <f aca="false">IF(TRIM(B663)="","",UPPER(TRIM(B663)))</f>
        <v/>
      </c>
    </row>
    <row r="664" customFormat="false" ht="14.25" hidden="false" customHeight="true" outlineLevel="0" collapsed="false">
      <c r="D664" s="17"/>
      <c r="G664" s="17" t="str">
        <f aca="false">IF(TRIM(C664)="","",IFERROR(INDEX('Code Aliases'!$B:$B,MATCH(TRIM(C664),'Code Aliases'!$A:$A,0)),TRIM(C664)))</f>
        <v/>
      </c>
      <c r="H664" s="17" t="str">
        <f aca="false">IF(TRIM(B664)="","",UPPER(TRIM(B664)))</f>
        <v/>
      </c>
    </row>
    <row r="665" customFormat="false" ht="14.25" hidden="false" customHeight="true" outlineLevel="0" collapsed="false">
      <c r="D665" s="17"/>
      <c r="G665" s="17" t="str">
        <f aca="false">IF(TRIM(C665)="","",IFERROR(INDEX('Code Aliases'!$B:$B,MATCH(TRIM(C665),'Code Aliases'!$A:$A,0)),TRIM(C665)))</f>
        <v/>
      </c>
      <c r="H665" s="17" t="str">
        <f aca="false">IF(TRIM(B665)="","",UPPER(TRIM(B665)))</f>
        <v/>
      </c>
    </row>
    <row r="666" customFormat="false" ht="14.25" hidden="false" customHeight="true" outlineLevel="0" collapsed="false">
      <c r="D666" s="17"/>
      <c r="G666" s="17" t="str">
        <f aca="false">IF(TRIM(C666)="","",IFERROR(INDEX('Code Aliases'!$B:$B,MATCH(TRIM(C666),'Code Aliases'!$A:$A,0)),TRIM(C666)))</f>
        <v/>
      </c>
      <c r="H666" s="17" t="str">
        <f aca="false">IF(TRIM(B666)="","",UPPER(TRIM(B666)))</f>
        <v/>
      </c>
    </row>
    <row r="667" customFormat="false" ht="14.25" hidden="false" customHeight="true" outlineLevel="0" collapsed="false">
      <c r="D667" s="17"/>
      <c r="G667" s="17" t="str">
        <f aca="false">IF(TRIM(C667)="","",IFERROR(INDEX('Code Aliases'!$B:$B,MATCH(TRIM(C667),'Code Aliases'!$A:$A,0)),TRIM(C667)))</f>
        <v/>
      </c>
      <c r="H667" s="17" t="str">
        <f aca="false">IF(TRIM(B667)="","",UPPER(TRIM(B667)))</f>
        <v/>
      </c>
    </row>
    <row r="668" customFormat="false" ht="14.25" hidden="false" customHeight="true" outlineLevel="0" collapsed="false">
      <c r="D668" s="17"/>
      <c r="G668" s="17" t="str">
        <f aca="false">IF(TRIM(C668)="","",IFERROR(INDEX('Code Aliases'!$B:$B,MATCH(TRIM(C668),'Code Aliases'!$A:$A,0)),TRIM(C668)))</f>
        <v/>
      </c>
      <c r="H668" s="17" t="str">
        <f aca="false">IF(TRIM(B668)="","",UPPER(TRIM(B668)))</f>
        <v/>
      </c>
    </row>
    <row r="669" customFormat="false" ht="14.25" hidden="false" customHeight="true" outlineLevel="0" collapsed="false">
      <c r="D669" s="17"/>
      <c r="G669" s="17" t="str">
        <f aca="false">IF(TRIM(C669)="","",IFERROR(INDEX('Code Aliases'!$B:$B,MATCH(TRIM(C669),'Code Aliases'!$A:$A,0)),TRIM(C669)))</f>
        <v/>
      </c>
      <c r="H669" s="17" t="str">
        <f aca="false">IF(TRIM(B669)="","",UPPER(TRIM(B669)))</f>
        <v/>
      </c>
    </row>
    <row r="670" customFormat="false" ht="14.25" hidden="false" customHeight="true" outlineLevel="0" collapsed="false">
      <c r="D670" s="17"/>
      <c r="G670" s="17" t="str">
        <f aca="false">IF(TRIM(C670)="","",IFERROR(INDEX('Code Aliases'!$B:$B,MATCH(TRIM(C670),'Code Aliases'!$A:$A,0)),TRIM(C670)))</f>
        <v/>
      </c>
      <c r="H670" s="17" t="str">
        <f aca="false">IF(TRIM(B670)="","",UPPER(TRIM(B670)))</f>
        <v/>
      </c>
    </row>
    <row r="671" customFormat="false" ht="14.25" hidden="false" customHeight="true" outlineLevel="0" collapsed="false">
      <c r="D671" s="17"/>
      <c r="G671" s="17" t="str">
        <f aca="false">IF(TRIM(C671)="","",IFERROR(INDEX('Code Aliases'!$B:$B,MATCH(TRIM(C671),'Code Aliases'!$A:$A,0)),TRIM(C671)))</f>
        <v/>
      </c>
      <c r="H671" s="17" t="str">
        <f aca="false">IF(TRIM(B671)="","",UPPER(TRIM(B671)))</f>
        <v/>
      </c>
    </row>
    <row r="672" customFormat="false" ht="14.25" hidden="false" customHeight="true" outlineLevel="0" collapsed="false">
      <c r="D672" s="17"/>
      <c r="G672" s="17" t="str">
        <f aca="false">IF(TRIM(C672)="","",IFERROR(INDEX('Code Aliases'!$B:$B,MATCH(TRIM(C672),'Code Aliases'!$A:$A,0)),TRIM(C672)))</f>
        <v/>
      </c>
      <c r="H672" s="17" t="str">
        <f aca="false">IF(TRIM(B672)="","",UPPER(TRIM(B672)))</f>
        <v/>
      </c>
    </row>
    <row r="673" customFormat="false" ht="14.25" hidden="false" customHeight="true" outlineLevel="0" collapsed="false">
      <c r="D673" s="17"/>
      <c r="G673" s="17" t="str">
        <f aca="false">IF(TRIM(C673)="","",IFERROR(INDEX('Code Aliases'!$B:$B,MATCH(TRIM(C673),'Code Aliases'!$A:$A,0)),TRIM(C673)))</f>
        <v/>
      </c>
      <c r="H673" s="17" t="str">
        <f aca="false">IF(TRIM(B673)="","",UPPER(TRIM(B673)))</f>
        <v/>
      </c>
    </row>
    <row r="674" customFormat="false" ht="14.25" hidden="false" customHeight="true" outlineLevel="0" collapsed="false">
      <c r="D674" s="17"/>
      <c r="G674" s="17" t="str">
        <f aca="false">IF(TRIM(C674)="","",IFERROR(INDEX('Code Aliases'!$B:$B,MATCH(TRIM(C674),'Code Aliases'!$A:$A,0)),TRIM(C674)))</f>
        <v/>
      </c>
      <c r="H674" s="17" t="str">
        <f aca="false">IF(TRIM(B674)="","",UPPER(TRIM(B674)))</f>
        <v/>
      </c>
    </row>
    <row r="675" customFormat="false" ht="14.25" hidden="false" customHeight="true" outlineLevel="0" collapsed="false">
      <c r="D675" s="17"/>
      <c r="G675" s="17" t="str">
        <f aca="false">IF(TRIM(C675)="","",IFERROR(INDEX('Code Aliases'!$B:$B,MATCH(TRIM(C675),'Code Aliases'!$A:$A,0)),TRIM(C675)))</f>
        <v/>
      </c>
      <c r="H675" s="17" t="str">
        <f aca="false">IF(TRIM(B675)="","",UPPER(TRIM(B675)))</f>
        <v/>
      </c>
    </row>
    <row r="676" customFormat="false" ht="14.25" hidden="false" customHeight="true" outlineLevel="0" collapsed="false">
      <c r="D676" s="17"/>
      <c r="G676" s="17" t="str">
        <f aca="false">IF(TRIM(C676)="","",IFERROR(INDEX('Code Aliases'!$B:$B,MATCH(TRIM(C676),'Code Aliases'!$A:$A,0)),TRIM(C676)))</f>
        <v/>
      </c>
      <c r="H676" s="17" t="str">
        <f aca="false">IF(TRIM(B676)="","",UPPER(TRIM(B676)))</f>
        <v/>
      </c>
    </row>
    <row r="677" customFormat="false" ht="14.25" hidden="false" customHeight="true" outlineLevel="0" collapsed="false">
      <c r="D677" s="17"/>
      <c r="G677" s="17" t="str">
        <f aca="false">IF(TRIM(C677)="","",IFERROR(INDEX('Code Aliases'!$B:$B,MATCH(TRIM(C677),'Code Aliases'!$A:$A,0)),TRIM(C677)))</f>
        <v/>
      </c>
      <c r="H677" s="17" t="str">
        <f aca="false">IF(TRIM(B677)="","",UPPER(TRIM(B677)))</f>
        <v/>
      </c>
    </row>
    <row r="678" customFormat="false" ht="14.25" hidden="false" customHeight="true" outlineLevel="0" collapsed="false">
      <c r="D678" s="17"/>
      <c r="G678" s="17" t="str">
        <f aca="false">IF(TRIM(C678)="","",IFERROR(INDEX('Code Aliases'!$B:$B,MATCH(TRIM(C678),'Code Aliases'!$A:$A,0)),TRIM(C678)))</f>
        <v/>
      </c>
      <c r="H678" s="17" t="str">
        <f aca="false">IF(TRIM(B678)="","",UPPER(TRIM(B678)))</f>
        <v/>
      </c>
    </row>
    <row r="679" customFormat="false" ht="14.25" hidden="false" customHeight="true" outlineLevel="0" collapsed="false">
      <c r="D679" s="17"/>
      <c r="G679" s="17" t="str">
        <f aca="false">IF(TRIM(C679)="","",IFERROR(INDEX('Code Aliases'!$B:$B,MATCH(TRIM(C679),'Code Aliases'!$A:$A,0)),TRIM(C679)))</f>
        <v/>
      </c>
      <c r="H679" s="17" t="str">
        <f aca="false">IF(TRIM(B679)="","",UPPER(TRIM(B679)))</f>
        <v/>
      </c>
    </row>
    <row r="680" customFormat="false" ht="14.25" hidden="false" customHeight="true" outlineLevel="0" collapsed="false">
      <c r="D680" s="17"/>
      <c r="G680" s="17" t="str">
        <f aca="false">IF(TRIM(C680)="","",IFERROR(INDEX('Code Aliases'!$B:$B,MATCH(TRIM(C680),'Code Aliases'!$A:$A,0)),TRIM(C680)))</f>
        <v/>
      </c>
      <c r="H680" s="17" t="str">
        <f aca="false">IF(TRIM(B680)="","",UPPER(TRIM(B680)))</f>
        <v/>
      </c>
    </row>
    <row r="681" customFormat="false" ht="14.25" hidden="false" customHeight="true" outlineLevel="0" collapsed="false">
      <c r="D681" s="17"/>
      <c r="G681" s="17" t="str">
        <f aca="false">IF(TRIM(C681)="","",IFERROR(INDEX('Code Aliases'!$B:$B,MATCH(TRIM(C681),'Code Aliases'!$A:$A,0)),TRIM(C681)))</f>
        <v/>
      </c>
      <c r="H681" s="17" t="str">
        <f aca="false">IF(TRIM(B681)="","",UPPER(TRIM(B681)))</f>
        <v/>
      </c>
    </row>
    <row r="682" customFormat="false" ht="14.25" hidden="false" customHeight="true" outlineLevel="0" collapsed="false">
      <c r="D682" s="17"/>
      <c r="G682" s="17" t="str">
        <f aca="false">IF(TRIM(C682)="","",IFERROR(INDEX('Code Aliases'!$B:$B,MATCH(TRIM(C682),'Code Aliases'!$A:$A,0)),TRIM(C682)))</f>
        <v/>
      </c>
      <c r="H682" s="17" t="str">
        <f aca="false">IF(TRIM(B682)="","",UPPER(TRIM(B682)))</f>
        <v/>
      </c>
    </row>
    <row r="683" customFormat="false" ht="14.25" hidden="false" customHeight="true" outlineLevel="0" collapsed="false">
      <c r="D683" s="17"/>
      <c r="G683" s="17" t="str">
        <f aca="false">IF(TRIM(C683)="","",IFERROR(INDEX('Code Aliases'!$B:$B,MATCH(TRIM(C683),'Code Aliases'!$A:$A,0)),TRIM(C683)))</f>
        <v/>
      </c>
      <c r="H683" s="17" t="str">
        <f aca="false">IF(TRIM(B683)="","",UPPER(TRIM(B683)))</f>
        <v/>
      </c>
    </row>
    <row r="684" customFormat="false" ht="14.25" hidden="false" customHeight="true" outlineLevel="0" collapsed="false">
      <c r="D684" s="17"/>
      <c r="G684" s="17" t="str">
        <f aca="false">IF(TRIM(C684)="","",IFERROR(INDEX('Code Aliases'!$B:$B,MATCH(TRIM(C684),'Code Aliases'!$A:$A,0)),TRIM(C684)))</f>
        <v/>
      </c>
      <c r="H684" s="17" t="str">
        <f aca="false">IF(TRIM(B684)="","",UPPER(TRIM(B684)))</f>
        <v/>
      </c>
    </row>
    <row r="685" customFormat="false" ht="14.25" hidden="false" customHeight="true" outlineLevel="0" collapsed="false">
      <c r="D685" s="17"/>
      <c r="G685" s="17" t="str">
        <f aca="false">IF(TRIM(C685)="","",IFERROR(INDEX('Code Aliases'!$B:$B,MATCH(TRIM(C685),'Code Aliases'!$A:$A,0)),TRIM(C685)))</f>
        <v/>
      </c>
      <c r="H685" s="17" t="str">
        <f aca="false">IF(TRIM(B685)="","",UPPER(TRIM(B685)))</f>
        <v/>
      </c>
    </row>
    <row r="686" customFormat="false" ht="14.25" hidden="false" customHeight="true" outlineLevel="0" collapsed="false">
      <c r="D686" s="17"/>
      <c r="G686" s="17" t="str">
        <f aca="false">IF(TRIM(C686)="","",IFERROR(INDEX('Code Aliases'!$B:$B,MATCH(TRIM(C686),'Code Aliases'!$A:$A,0)),TRIM(C686)))</f>
        <v/>
      </c>
      <c r="H686" s="17" t="str">
        <f aca="false">IF(TRIM(B686)="","",UPPER(TRIM(B686)))</f>
        <v/>
      </c>
    </row>
    <row r="687" customFormat="false" ht="14.25" hidden="false" customHeight="true" outlineLevel="0" collapsed="false">
      <c r="D687" s="17"/>
      <c r="G687" s="17" t="str">
        <f aca="false">IF(TRIM(C687)="","",IFERROR(INDEX('Code Aliases'!$B:$B,MATCH(TRIM(C687),'Code Aliases'!$A:$A,0)),TRIM(C687)))</f>
        <v/>
      </c>
      <c r="H687" s="17" t="str">
        <f aca="false">IF(TRIM(B687)="","",UPPER(TRIM(B687)))</f>
        <v/>
      </c>
    </row>
    <row r="688" customFormat="false" ht="14.25" hidden="false" customHeight="true" outlineLevel="0" collapsed="false">
      <c r="D688" s="17"/>
      <c r="G688" s="17" t="str">
        <f aca="false">IF(TRIM(C688)="","",IFERROR(INDEX('Code Aliases'!$B:$B,MATCH(TRIM(C688),'Code Aliases'!$A:$A,0)),TRIM(C688)))</f>
        <v/>
      </c>
      <c r="H688" s="17" t="str">
        <f aca="false">IF(TRIM(B688)="","",UPPER(TRIM(B688)))</f>
        <v/>
      </c>
    </row>
    <row r="689" customFormat="false" ht="14.25" hidden="false" customHeight="true" outlineLevel="0" collapsed="false">
      <c r="D689" s="17"/>
      <c r="G689" s="17" t="str">
        <f aca="false">IF(TRIM(C689)="","",IFERROR(INDEX('Code Aliases'!$B:$B,MATCH(TRIM(C689),'Code Aliases'!$A:$A,0)),TRIM(C689)))</f>
        <v/>
      </c>
      <c r="H689" s="17" t="str">
        <f aca="false">IF(TRIM(B689)="","",UPPER(TRIM(B689)))</f>
        <v/>
      </c>
    </row>
    <row r="690" customFormat="false" ht="14.25" hidden="false" customHeight="true" outlineLevel="0" collapsed="false">
      <c r="D690" s="17"/>
      <c r="G690" s="17" t="str">
        <f aca="false">IF(TRIM(C690)="","",IFERROR(INDEX('Code Aliases'!$B:$B,MATCH(TRIM(C690),'Code Aliases'!$A:$A,0)),TRIM(C690)))</f>
        <v/>
      </c>
      <c r="H690" s="17" t="str">
        <f aca="false">IF(TRIM(B690)="","",UPPER(TRIM(B690)))</f>
        <v/>
      </c>
    </row>
    <row r="691" customFormat="false" ht="14.25" hidden="false" customHeight="true" outlineLevel="0" collapsed="false">
      <c r="D691" s="17"/>
      <c r="G691" s="17" t="str">
        <f aca="false">IF(TRIM(C691)="","",IFERROR(INDEX('Code Aliases'!$B:$B,MATCH(TRIM(C691),'Code Aliases'!$A:$A,0)),TRIM(C691)))</f>
        <v/>
      </c>
      <c r="H691" s="17" t="str">
        <f aca="false">IF(TRIM(B691)="","",UPPER(TRIM(B691)))</f>
        <v/>
      </c>
    </row>
    <row r="692" customFormat="false" ht="14.25" hidden="false" customHeight="true" outlineLevel="0" collapsed="false">
      <c r="D692" s="17"/>
      <c r="G692" s="17" t="str">
        <f aca="false">IF(TRIM(C692)="","",IFERROR(INDEX('Code Aliases'!$B:$B,MATCH(TRIM(C692),'Code Aliases'!$A:$A,0)),TRIM(C692)))</f>
        <v/>
      </c>
      <c r="H692" s="17" t="str">
        <f aca="false">IF(TRIM(B692)="","",UPPER(TRIM(B692)))</f>
        <v/>
      </c>
    </row>
    <row r="693" customFormat="false" ht="14.25" hidden="false" customHeight="true" outlineLevel="0" collapsed="false">
      <c r="D693" s="17"/>
      <c r="G693" s="17" t="str">
        <f aca="false">IF(TRIM(C693)="","",IFERROR(INDEX('Code Aliases'!$B:$B,MATCH(TRIM(C693),'Code Aliases'!$A:$A,0)),TRIM(C693)))</f>
        <v/>
      </c>
      <c r="H693" s="17" t="str">
        <f aca="false">IF(TRIM(B693)="","",UPPER(TRIM(B693)))</f>
        <v/>
      </c>
    </row>
    <row r="694" customFormat="false" ht="14.25" hidden="false" customHeight="true" outlineLevel="0" collapsed="false">
      <c r="D694" s="17"/>
      <c r="G694" s="17" t="str">
        <f aca="false">IF(TRIM(C694)="","",IFERROR(INDEX('Code Aliases'!$B:$B,MATCH(TRIM(C694),'Code Aliases'!$A:$A,0)),TRIM(C694)))</f>
        <v/>
      </c>
      <c r="H694" s="17" t="str">
        <f aca="false">IF(TRIM(B694)="","",UPPER(TRIM(B694)))</f>
        <v/>
      </c>
    </row>
    <row r="695" customFormat="false" ht="14.25" hidden="false" customHeight="true" outlineLevel="0" collapsed="false">
      <c r="D695" s="17"/>
      <c r="G695" s="17" t="str">
        <f aca="false">IF(TRIM(C695)="","",IFERROR(INDEX('Code Aliases'!$B:$B,MATCH(TRIM(C695),'Code Aliases'!$A:$A,0)),TRIM(C695)))</f>
        <v/>
      </c>
      <c r="H695" s="17" t="str">
        <f aca="false">IF(TRIM(B695)="","",UPPER(TRIM(B695)))</f>
        <v/>
      </c>
    </row>
    <row r="696" customFormat="false" ht="14.25" hidden="false" customHeight="true" outlineLevel="0" collapsed="false">
      <c r="D696" s="17"/>
      <c r="G696" s="17" t="str">
        <f aca="false">IF(TRIM(C696)="","",IFERROR(INDEX('Code Aliases'!$B:$B,MATCH(TRIM(C696),'Code Aliases'!$A:$A,0)),TRIM(C696)))</f>
        <v/>
      </c>
      <c r="H696" s="17" t="str">
        <f aca="false">IF(TRIM(B696)="","",UPPER(TRIM(B696)))</f>
        <v/>
      </c>
    </row>
    <row r="697" customFormat="false" ht="14.25" hidden="false" customHeight="true" outlineLevel="0" collapsed="false">
      <c r="D697" s="17"/>
      <c r="G697" s="17" t="str">
        <f aca="false">IF(TRIM(C697)="","",IFERROR(INDEX('Code Aliases'!$B:$B,MATCH(TRIM(C697),'Code Aliases'!$A:$A,0)),TRIM(C697)))</f>
        <v/>
      </c>
      <c r="H697" s="17" t="str">
        <f aca="false">IF(TRIM(B697)="","",UPPER(TRIM(B697)))</f>
        <v/>
      </c>
    </row>
    <row r="698" customFormat="false" ht="14.25" hidden="false" customHeight="true" outlineLevel="0" collapsed="false">
      <c r="D698" s="17"/>
      <c r="G698" s="17" t="str">
        <f aca="false">IF(TRIM(C698)="","",IFERROR(INDEX('Code Aliases'!$B:$B,MATCH(TRIM(C698),'Code Aliases'!$A:$A,0)),TRIM(C698)))</f>
        <v/>
      </c>
      <c r="H698" s="17" t="str">
        <f aca="false">IF(TRIM(B698)="","",UPPER(TRIM(B698)))</f>
        <v/>
      </c>
    </row>
    <row r="699" customFormat="false" ht="14.25" hidden="false" customHeight="true" outlineLevel="0" collapsed="false">
      <c r="D699" s="17"/>
      <c r="G699" s="17" t="str">
        <f aca="false">IF(TRIM(C699)="","",IFERROR(INDEX('Code Aliases'!$B:$B,MATCH(TRIM(C699),'Code Aliases'!$A:$A,0)),TRIM(C699)))</f>
        <v/>
      </c>
      <c r="H699" s="17" t="str">
        <f aca="false">IF(TRIM(B699)="","",UPPER(TRIM(B699)))</f>
        <v/>
      </c>
    </row>
    <row r="700" customFormat="false" ht="14.25" hidden="false" customHeight="true" outlineLevel="0" collapsed="false">
      <c r="D700" s="17"/>
      <c r="G700" s="17" t="str">
        <f aca="false">IF(TRIM(C700)="","",IFERROR(INDEX('Code Aliases'!$B:$B,MATCH(TRIM(C700),'Code Aliases'!$A:$A,0)),TRIM(C700)))</f>
        <v/>
      </c>
      <c r="H700" s="17" t="str">
        <f aca="false">IF(TRIM(B700)="","",UPPER(TRIM(B700)))</f>
        <v/>
      </c>
    </row>
    <row r="701" customFormat="false" ht="14.25" hidden="false" customHeight="true" outlineLevel="0" collapsed="false">
      <c r="D701" s="17"/>
      <c r="G701" s="17" t="str">
        <f aca="false">IF(TRIM(C701)="","",IFERROR(INDEX('Code Aliases'!$B:$B,MATCH(TRIM(C701),'Code Aliases'!$A:$A,0)),TRIM(C701)))</f>
        <v/>
      </c>
      <c r="H701" s="17" t="str">
        <f aca="false">IF(TRIM(B701)="","",UPPER(TRIM(B701)))</f>
        <v/>
      </c>
    </row>
    <row r="702" customFormat="false" ht="14.25" hidden="false" customHeight="true" outlineLevel="0" collapsed="false">
      <c r="D702" s="17"/>
      <c r="G702" s="17" t="str">
        <f aca="false">IF(TRIM(C702)="","",IFERROR(INDEX('Code Aliases'!$B:$B,MATCH(TRIM(C702),'Code Aliases'!$A:$A,0)),TRIM(C702)))</f>
        <v/>
      </c>
      <c r="H702" s="17" t="str">
        <f aca="false">IF(TRIM(B702)="","",UPPER(TRIM(B702)))</f>
        <v/>
      </c>
    </row>
    <row r="703" customFormat="false" ht="14.25" hidden="false" customHeight="true" outlineLevel="0" collapsed="false">
      <c r="D703" s="17"/>
      <c r="G703" s="17" t="str">
        <f aca="false">IF(TRIM(C703)="","",IFERROR(INDEX('Code Aliases'!$B:$B,MATCH(TRIM(C703),'Code Aliases'!$A:$A,0)),TRIM(C703)))</f>
        <v/>
      </c>
      <c r="H703" s="17" t="str">
        <f aca="false">IF(TRIM(B703)="","",UPPER(TRIM(B703)))</f>
        <v/>
      </c>
    </row>
    <row r="704" customFormat="false" ht="14.25" hidden="false" customHeight="true" outlineLevel="0" collapsed="false">
      <c r="D704" s="17"/>
      <c r="G704" s="17" t="str">
        <f aca="false">IF(TRIM(C704)="","",IFERROR(INDEX('Code Aliases'!$B:$B,MATCH(TRIM(C704),'Code Aliases'!$A:$A,0)),TRIM(C704)))</f>
        <v/>
      </c>
      <c r="H704" s="17" t="str">
        <f aca="false">IF(TRIM(B704)="","",UPPER(TRIM(B704)))</f>
        <v/>
      </c>
    </row>
    <row r="705" customFormat="false" ht="14.25" hidden="false" customHeight="true" outlineLevel="0" collapsed="false">
      <c r="D705" s="17"/>
      <c r="G705" s="17" t="str">
        <f aca="false">IF(TRIM(C705)="","",IFERROR(INDEX('Code Aliases'!$B:$B,MATCH(TRIM(C705),'Code Aliases'!$A:$A,0)),TRIM(C705)))</f>
        <v/>
      </c>
      <c r="H705" s="17" t="str">
        <f aca="false">IF(TRIM(B705)="","",UPPER(TRIM(B705)))</f>
        <v/>
      </c>
    </row>
    <row r="706" customFormat="false" ht="14.25" hidden="false" customHeight="true" outlineLevel="0" collapsed="false">
      <c r="D706" s="17"/>
      <c r="G706" s="17" t="str">
        <f aca="false">IF(TRIM(C706)="","",IFERROR(INDEX('Code Aliases'!$B:$B,MATCH(TRIM(C706),'Code Aliases'!$A:$A,0)),TRIM(C706)))</f>
        <v/>
      </c>
      <c r="H706" s="17" t="str">
        <f aca="false">IF(TRIM(B706)="","",UPPER(TRIM(B706)))</f>
        <v/>
      </c>
    </row>
    <row r="707" customFormat="false" ht="14.25" hidden="false" customHeight="true" outlineLevel="0" collapsed="false">
      <c r="D707" s="17"/>
      <c r="G707" s="17" t="str">
        <f aca="false">IF(TRIM(C707)="","",IFERROR(INDEX('Code Aliases'!$B:$B,MATCH(TRIM(C707),'Code Aliases'!$A:$A,0)),TRIM(C707)))</f>
        <v/>
      </c>
      <c r="H707" s="17" t="str">
        <f aca="false">IF(TRIM(B707)="","",UPPER(TRIM(B707)))</f>
        <v/>
      </c>
    </row>
    <row r="708" customFormat="false" ht="14.25" hidden="false" customHeight="true" outlineLevel="0" collapsed="false">
      <c r="D708" s="17"/>
      <c r="G708" s="17" t="str">
        <f aca="false">IF(TRIM(C708)="","",IFERROR(INDEX('Code Aliases'!$B:$B,MATCH(TRIM(C708),'Code Aliases'!$A:$A,0)),TRIM(C708)))</f>
        <v/>
      </c>
      <c r="H708" s="17" t="str">
        <f aca="false">IF(TRIM(B708)="","",UPPER(TRIM(B708)))</f>
        <v/>
      </c>
    </row>
    <row r="709" customFormat="false" ht="14.25" hidden="false" customHeight="true" outlineLevel="0" collapsed="false">
      <c r="D709" s="17"/>
      <c r="G709" s="17" t="str">
        <f aca="false">IF(TRIM(C709)="","",IFERROR(INDEX('Code Aliases'!$B:$B,MATCH(TRIM(C709),'Code Aliases'!$A:$A,0)),TRIM(C709)))</f>
        <v/>
      </c>
      <c r="H709" s="17" t="str">
        <f aca="false">IF(TRIM(B709)="","",UPPER(TRIM(B709)))</f>
        <v/>
      </c>
    </row>
    <row r="710" customFormat="false" ht="14.25" hidden="false" customHeight="true" outlineLevel="0" collapsed="false">
      <c r="D710" s="17"/>
      <c r="G710" s="17" t="str">
        <f aca="false">IF(TRIM(C710)="","",IFERROR(INDEX('Code Aliases'!$B:$B,MATCH(TRIM(C710),'Code Aliases'!$A:$A,0)),TRIM(C710)))</f>
        <v/>
      </c>
      <c r="H710" s="17" t="str">
        <f aca="false">IF(TRIM(B710)="","",UPPER(TRIM(B710)))</f>
        <v/>
      </c>
    </row>
    <row r="711" customFormat="false" ht="14.25" hidden="false" customHeight="true" outlineLevel="0" collapsed="false">
      <c r="D711" s="17"/>
      <c r="G711" s="17" t="str">
        <f aca="false">IF(TRIM(C711)="","",IFERROR(INDEX('Code Aliases'!$B:$B,MATCH(TRIM(C711),'Code Aliases'!$A:$A,0)),TRIM(C711)))</f>
        <v/>
      </c>
      <c r="H711" s="17" t="str">
        <f aca="false">IF(TRIM(B711)="","",UPPER(TRIM(B711)))</f>
        <v/>
      </c>
    </row>
    <row r="712" customFormat="false" ht="14.25" hidden="false" customHeight="true" outlineLevel="0" collapsed="false">
      <c r="D712" s="17"/>
      <c r="G712" s="17" t="str">
        <f aca="false">IF(TRIM(C712)="","",IFERROR(INDEX('Code Aliases'!$B:$B,MATCH(TRIM(C712),'Code Aliases'!$A:$A,0)),TRIM(C712)))</f>
        <v/>
      </c>
      <c r="H712" s="17" t="str">
        <f aca="false">IF(TRIM(B712)="","",UPPER(TRIM(B712)))</f>
        <v/>
      </c>
    </row>
    <row r="713" customFormat="false" ht="14.25" hidden="false" customHeight="true" outlineLevel="0" collapsed="false">
      <c r="D713" s="17"/>
      <c r="G713" s="17" t="str">
        <f aca="false">IF(TRIM(C713)="","",IFERROR(INDEX('Code Aliases'!$B:$B,MATCH(TRIM(C713),'Code Aliases'!$A:$A,0)),TRIM(C713)))</f>
        <v/>
      </c>
      <c r="H713" s="17" t="str">
        <f aca="false">IF(TRIM(B713)="","",UPPER(TRIM(B713)))</f>
        <v/>
      </c>
    </row>
    <row r="714" customFormat="false" ht="14.25" hidden="false" customHeight="true" outlineLevel="0" collapsed="false">
      <c r="D714" s="17"/>
      <c r="G714" s="17" t="str">
        <f aca="false">IF(TRIM(C714)="","",IFERROR(INDEX('Code Aliases'!$B:$B,MATCH(TRIM(C714),'Code Aliases'!$A:$A,0)),TRIM(C714)))</f>
        <v/>
      </c>
      <c r="H714" s="17" t="str">
        <f aca="false">IF(TRIM(B714)="","",UPPER(TRIM(B714)))</f>
        <v/>
      </c>
    </row>
    <row r="715" customFormat="false" ht="14.25" hidden="false" customHeight="true" outlineLevel="0" collapsed="false">
      <c r="D715" s="17"/>
      <c r="G715" s="17" t="str">
        <f aca="false">IF(TRIM(C715)="","",IFERROR(INDEX('Code Aliases'!$B:$B,MATCH(TRIM(C715),'Code Aliases'!$A:$A,0)),TRIM(C715)))</f>
        <v/>
      </c>
      <c r="H715" s="17" t="str">
        <f aca="false">IF(TRIM(B715)="","",UPPER(TRIM(B715)))</f>
        <v/>
      </c>
    </row>
    <row r="716" customFormat="false" ht="14.25" hidden="false" customHeight="true" outlineLevel="0" collapsed="false">
      <c r="D716" s="17"/>
      <c r="G716" s="17" t="str">
        <f aca="false">IF(TRIM(C716)="","",IFERROR(INDEX('Code Aliases'!$B:$B,MATCH(TRIM(C716),'Code Aliases'!$A:$A,0)),TRIM(C716)))</f>
        <v/>
      </c>
      <c r="H716" s="17" t="str">
        <f aca="false">IF(TRIM(B716)="","",UPPER(TRIM(B716)))</f>
        <v/>
      </c>
    </row>
    <row r="717" customFormat="false" ht="14.25" hidden="false" customHeight="true" outlineLevel="0" collapsed="false">
      <c r="D717" s="17"/>
      <c r="G717" s="17" t="str">
        <f aca="false">IF(TRIM(C717)="","",IFERROR(INDEX('Code Aliases'!$B:$B,MATCH(TRIM(C717),'Code Aliases'!$A:$A,0)),TRIM(C717)))</f>
        <v/>
      </c>
      <c r="H717" s="17" t="str">
        <f aca="false">IF(TRIM(B717)="","",UPPER(TRIM(B717)))</f>
        <v/>
      </c>
    </row>
    <row r="718" customFormat="false" ht="14.25" hidden="false" customHeight="true" outlineLevel="0" collapsed="false">
      <c r="D718" s="17"/>
      <c r="G718" s="17" t="str">
        <f aca="false">IF(TRIM(C718)="","",IFERROR(INDEX('Code Aliases'!$B:$B,MATCH(TRIM(C718),'Code Aliases'!$A:$A,0)),TRIM(C718)))</f>
        <v/>
      </c>
      <c r="H718" s="17" t="str">
        <f aca="false">IF(TRIM(B718)="","",UPPER(TRIM(B718)))</f>
        <v/>
      </c>
    </row>
    <row r="719" customFormat="false" ht="14.25" hidden="false" customHeight="true" outlineLevel="0" collapsed="false">
      <c r="D719" s="17"/>
      <c r="G719" s="17" t="str">
        <f aca="false">IF(TRIM(C719)="","",IFERROR(INDEX('Code Aliases'!$B:$B,MATCH(TRIM(C719),'Code Aliases'!$A:$A,0)),TRIM(C719)))</f>
        <v/>
      </c>
      <c r="H719" s="17" t="str">
        <f aca="false">IF(TRIM(B719)="","",UPPER(TRIM(B719)))</f>
        <v/>
      </c>
    </row>
    <row r="720" customFormat="false" ht="14.25" hidden="false" customHeight="true" outlineLevel="0" collapsed="false">
      <c r="D720" s="17"/>
      <c r="G720" s="17" t="str">
        <f aca="false">IF(TRIM(C720)="","",IFERROR(INDEX('Code Aliases'!$B:$B,MATCH(TRIM(C720),'Code Aliases'!$A:$A,0)),TRIM(C720)))</f>
        <v/>
      </c>
      <c r="H720" s="17" t="str">
        <f aca="false">IF(TRIM(B720)="","",UPPER(TRIM(B720)))</f>
        <v/>
      </c>
    </row>
    <row r="721" customFormat="false" ht="14.25" hidden="false" customHeight="true" outlineLevel="0" collapsed="false">
      <c r="D721" s="17"/>
      <c r="G721" s="17" t="str">
        <f aca="false">IF(TRIM(C721)="","",IFERROR(INDEX('Code Aliases'!$B:$B,MATCH(TRIM(C721),'Code Aliases'!$A:$A,0)),TRIM(C721)))</f>
        <v/>
      </c>
      <c r="H721" s="17" t="str">
        <f aca="false">IF(TRIM(B721)="","",UPPER(TRIM(B721)))</f>
        <v/>
      </c>
    </row>
    <row r="722" customFormat="false" ht="14.25" hidden="false" customHeight="true" outlineLevel="0" collapsed="false">
      <c r="D722" s="17"/>
      <c r="G722" s="17" t="str">
        <f aca="false">IF(TRIM(C722)="","",IFERROR(INDEX('Code Aliases'!$B:$B,MATCH(TRIM(C722),'Code Aliases'!$A:$A,0)),TRIM(C722)))</f>
        <v/>
      </c>
      <c r="H722" s="17" t="str">
        <f aca="false">IF(TRIM(B722)="","",UPPER(TRIM(B722)))</f>
        <v/>
      </c>
    </row>
    <row r="723" customFormat="false" ht="14.25" hidden="false" customHeight="true" outlineLevel="0" collapsed="false">
      <c r="D723" s="17"/>
      <c r="G723" s="17" t="str">
        <f aca="false">IF(TRIM(C723)="","",IFERROR(INDEX('Code Aliases'!$B:$B,MATCH(TRIM(C723),'Code Aliases'!$A:$A,0)),TRIM(C723)))</f>
        <v/>
      </c>
      <c r="H723" s="17" t="str">
        <f aca="false">IF(TRIM(B723)="","",UPPER(TRIM(B723)))</f>
        <v/>
      </c>
    </row>
    <row r="724" customFormat="false" ht="14.25" hidden="false" customHeight="true" outlineLevel="0" collapsed="false">
      <c r="D724" s="17"/>
      <c r="G724" s="17" t="str">
        <f aca="false">IF(TRIM(C724)="","",IFERROR(INDEX('Code Aliases'!$B:$B,MATCH(TRIM(C724),'Code Aliases'!$A:$A,0)),TRIM(C724)))</f>
        <v/>
      </c>
      <c r="H724" s="17" t="str">
        <f aca="false">IF(TRIM(B724)="","",UPPER(TRIM(B724)))</f>
        <v/>
      </c>
    </row>
    <row r="725" customFormat="false" ht="14.25" hidden="false" customHeight="true" outlineLevel="0" collapsed="false">
      <c r="D725" s="17"/>
      <c r="G725" s="17" t="str">
        <f aca="false">IF(TRIM(C725)="","",IFERROR(INDEX('Code Aliases'!$B:$B,MATCH(TRIM(C725),'Code Aliases'!$A:$A,0)),TRIM(C725)))</f>
        <v/>
      </c>
      <c r="H725" s="17" t="str">
        <f aca="false">IF(TRIM(B725)="","",UPPER(TRIM(B725)))</f>
        <v/>
      </c>
    </row>
    <row r="726" customFormat="false" ht="14.25" hidden="false" customHeight="true" outlineLevel="0" collapsed="false">
      <c r="D726" s="17"/>
      <c r="G726" s="17" t="str">
        <f aca="false">IF(TRIM(C726)="","",IFERROR(INDEX('Code Aliases'!$B:$B,MATCH(TRIM(C726),'Code Aliases'!$A:$A,0)),TRIM(C726)))</f>
        <v/>
      </c>
      <c r="H726" s="17" t="str">
        <f aca="false">IF(TRIM(B726)="","",UPPER(TRIM(B726)))</f>
        <v/>
      </c>
    </row>
    <row r="727" customFormat="false" ht="14.25" hidden="false" customHeight="true" outlineLevel="0" collapsed="false">
      <c r="D727" s="17"/>
      <c r="G727" s="17" t="str">
        <f aca="false">IF(TRIM(C727)="","",IFERROR(INDEX('Code Aliases'!$B:$B,MATCH(TRIM(C727),'Code Aliases'!$A:$A,0)),TRIM(C727)))</f>
        <v/>
      </c>
      <c r="H727" s="17" t="str">
        <f aca="false">IF(TRIM(B727)="","",UPPER(TRIM(B727)))</f>
        <v/>
      </c>
    </row>
    <row r="728" customFormat="false" ht="14.25" hidden="false" customHeight="true" outlineLevel="0" collapsed="false">
      <c r="D728" s="17"/>
      <c r="G728" s="17" t="str">
        <f aca="false">IF(TRIM(C728)="","",IFERROR(INDEX('Code Aliases'!$B:$B,MATCH(TRIM(C728),'Code Aliases'!$A:$A,0)),TRIM(C728)))</f>
        <v/>
      </c>
      <c r="H728" s="17" t="str">
        <f aca="false">IF(TRIM(B728)="","",UPPER(TRIM(B728)))</f>
        <v/>
      </c>
    </row>
    <row r="729" customFormat="false" ht="14.25" hidden="false" customHeight="true" outlineLevel="0" collapsed="false">
      <c r="D729" s="17"/>
      <c r="G729" s="17" t="str">
        <f aca="false">IF(TRIM(C729)="","",IFERROR(INDEX('Code Aliases'!$B:$B,MATCH(TRIM(C729),'Code Aliases'!$A:$A,0)),TRIM(C729)))</f>
        <v/>
      </c>
      <c r="H729" s="17" t="str">
        <f aca="false">IF(TRIM(B729)="","",UPPER(TRIM(B729)))</f>
        <v/>
      </c>
    </row>
    <row r="730" customFormat="false" ht="14.25" hidden="false" customHeight="true" outlineLevel="0" collapsed="false">
      <c r="D730" s="17"/>
      <c r="G730" s="17" t="str">
        <f aca="false">IF(TRIM(C730)="","",IFERROR(INDEX('Code Aliases'!$B:$B,MATCH(TRIM(C730),'Code Aliases'!$A:$A,0)),TRIM(C730)))</f>
        <v/>
      </c>
      <c r="H730" s="17" t="str">
        <f aca="false">IF(TRIM(B730)="","",UPPER(TRIM(B730)))</f>
        <v/>
      </c>
    </row>
    <row r="731" customFormat="false" ht="14.25" hidden="false" customHeight="true" outlineLevel="0" collapsed="false">
      <c r="D731" s="17"/>
      <c r="G731" s="17" t="str">
        <f aca="false">IF(TRIM(C731)="","",IFERROR(INDEX('Code Aliases'!$B:$B,MATCH(TRIM(C731),'Code Aliases'!$A:$A,0)),TRIM(C731)))</f>
        <v/>
      </c>
      <c r="H731" s="17" t="str">
        <f aca="false">IF(TRIM(B731)="","",UPPER(TRIM(B731)))</f>
        <v/>
      </c>
    </row>
    <row r="732" customFormat="false" ht="14.25" hidden="false" customHeight="true" outlineLevel="0" collapsed="false">
      <c r="D732" s="17"/>
      <c r="G732" s="17" t="str">
        <f aca="false">IF(TRIM(C732)="","",IFERROR(INDEX('Code Aliases'!$B:$B,MATCH(TRIM(C732),'Code Aliases'!$A:$A,0)),TRIM(C732)))</f>
        <v/>
      </c>
      <c r="H732" s="17" t="str">
        <f aca="false">IF(TRIM(B732)="","",UPPER(TRIM(B732)))</f>
        <v/>
      </c>
    </row>
    <row r="733" customFormat="false" ht="14.25" hidden="false" customHeight="true" outlineLevel="0" collapsed="false">
      <c r="D733" s="17"/>
      <c r="G733" s="17" t="str">
        <f aca="false">IF(TRIM(C733)="","",IFERROR(INDEX('Code Aliases'!$B:$B,MATCH(TRIM(C733),'Code Aliases'!$A:$A,0)),TRIM(C733)))</f>
        <v/>
      </c>
      <c r="H733" s="17" t="str">
        <f aca="false">IF(TRIM(B733)="","",UPPER(TRIM(B733)))</f>
        <v/>
      </c>
    </row>
    <row r="734" customFormat="false" ht="14.25" hidden="false" customHeight="true" outlineLevel="0" collapsed="false">
      <c r="D734" s="17"/>
      <c r="G734" s="17" t="str">
        <f aca="false">IF(TRIM(C734)="","",IFERROR(INDEX('Code Aliases'!$B:$B,MATCH(TRIM(C734),'Code Aliases'!$A:$A,0)),TRIM(C734)))</f>
        <v/>
      </c>
      <c r="H734" s="17" t="str">
        <f aca="false">IF(TRIM(B734)="","",UPPER(TRIM(B734)))</f>
        <v/>
      </c>
    </row>
    <row r="735" customFormat="false" ht="14.25" hidden="false" customHeight="true" outlineLevel="0" collapsed="false">
      <c r="D735" s="17"/>
      <c r="G735" s="17" t="str">
        <f aca="false">IF(TRIM(C735)="","",IFERROR(INDEX('Code Aliases'!$B:$B,MATCH(TRIM(C735),'Code Aliases'!$A:$A,0)),TRIM(C735)))</f>
        <v/>
      </c>
      <c r="H735" s="17" t="str">
        <f aca="false">IF(TRIM(B735)="","",UPPER(TRIM(B735)))</f>
        <v/>
      </c>
    </row>
    <row r="736" customFormat="false" ht="14.25" hidden="false" customHeight="true" outlineLevel="0" collapsed="false">
      <c r="D736" s="17"/>
      <c r="G736" s="17" t="str">
        <f aca="false">IF(TRIM(C736)="","",IFERROR(INDEX('Code Aliases'!$B:$B,MATCH(TRIM(C736),'Code Aliases'!$A:$A,0)),TRIM(C736)))</f>
        <v/>
      </c>
      <c r="H736" s="17" t="str">
        <f aca="false">IF(TRIM(B736)="","",UPPER(TRIM(B736)))</f>
        <v/>
      </c>
    </row>
    <row r="737" customFormat="false" ht="14.25" hidden="false" customHeight="true" outlineLevel="0" collapsed="false">
      <c r="D737" s="17"/>
      <c r="G737" s="17" t="str">
        <f aca="false">IF(TRIM(C737)="","",IFERROR(INDEX('Code Aliases'!$B:$B,MATCH(TRIM(C737),'Code Aliases'!$A:$A,0)),TRIM(C737)))</f>
        <v/>
      </c>
      <c r="H737" s="17" t="str">
        <f aca="false">IF(TRIM(B737)="","",UPPER(TRIM(B737)))</f>
        <v/>
      </c>
    </row>
    <row r="738" customFormat="false" ht="14.25" hidden="false" customHeight="true" outlineLevel="0" collapsed="false">
      <c r="D738" s="17"/>
      <c r="G738" s="17" t="str">
        <f aca="false">IF(TRIM(C738)="","",IFERROR(INDEX('Code Aliases'!$B:$B,MATCH(TRIM(C738),'Code Aliases'!$A:$A,0)),TRIM(C738)))</f>
        <v/>
      </c>
      <c r="H738" s="17" t="str">
        <f aca="false">IF(TRIM(B738)="","",UPPER(TRIM(B738)))</f>
        <v/>
      </c>
    </row>
    <row r="739" customFormat="false" ht="14.25" hidden="false" customHeight="true" outlineLevel="0" collapsed="false">
      <c r="D739" s="17"/>
      <c r="G739" s="17" t="str">
        <f aca="false">IF(TRIM(C739)="","",IFERROR(INDEX('Code Aliases'!$B:$B,MATCH(TRIM(C739),'Code Aliases'!$A:$A,0)),TRIM(C739)))</f>
        <v/>
      </c>
      <c r="H739" s="17" t="str">
        <f aca="false">IF(TRIM(B739)="","",UPPER(TRIM(B739)))</f>
        <v/>
      </c>
    </row>
    <row r="740" customFormat="false" ht="14.25" hidden="false" customHeight="true" outlineLevel="0" collapsed="false">
      <c r="D740" s="17"/>
      <c r="G740" s="17" t="str">
        <f aca="false">IF(TRIM(C740)="","",IFERROR(INDEX('Code Aliases'!$B:$B,MATCH(TRIM(C740),'Code Aliases'!$A:$A,0)),TRIM(C740)))</f>
        <v/>
      </c>
      <c r="H740" s="17" t="str">
        <f aca="false">IF(TRIM(B740)="","",UPPER(TRIM(B740)))</f>
        <v/>
      </c>
    </row>
    <row r="741" customFormat="false" ht="14.25" hidden="false" customHeight="true" outlineLevel="0" collapsed="false">
      <c r="D741" s="17"/>
      <c r="G741" s="17" t="str">
        <f aca="false">IF(TRIM(C741)="","",IFERROR(INDEX('Code Aliases'!$B:$B,MATCH(TRIM(C741),'Code Aliases'!$A:$A,0)),TRIM(C741)))</f>
        <v/>
      </c>
      <c r="H741" s="17" t="str">
        <f aca="false">IF(TRIM(B741)="","",UPPER(TRIM(B741)))</f>
        <v/>
      </c>
    </row>
    <row r="742" customFormat="false" ht="14.25" hidden="false" customHeight="true" outlineLevel="0" collapsed="false">
      <c r="D742" s="17"/>
      <c r="G742" s="17" t="str">
        <f aca="false">IF(TRIM(C742)="","",IFERROR(INDEX('Code Aliases'!$B:$B,MATCH(TRIM(C742),'Code Aliases'!$A:$A,0)),TRIM(C742)))</f>
        <v/>
      </c>
      <c r="H742" s="17" t="str">
        <f aca="false">IF(TRIM(B742)="","",UPPER(TRIM(B742)))</f>
        <v/>
      </c>
    </row>
    <row r="743" customFormat="false" ht="14.25" hidden="false" customHeight="true" outlineLevel="0" collapsed="false">
      <c r="D743" s="17"/>
      <c r="G743" s="17" t="str">
        <f aca="false">IF(TRIM(C743)="","",IFERROR(INDEX('Code Aliases'!$B:$B,MATCH(TRIM(C743),'Code Aliases'!$A:$A,0)),TRIM(C743)))</f>
        <v/>
      </c>
      <c r="H743" s="17" t="str">
        <f aca="false">IF(TRIM(B743)="","",UPPER(TRIM(B743)))</f>
        <v/>
      </c>
    </row>
    <row r="744" customFormat="false" ht="14.25" hidden="false" customHeight="true" outlineLevel="0" collapsed="false">
      <c r="D744" s="17"/>
      <c r="G744" s="17" t="str">
        <f aca="false">IF(TRIM(C744)="","",IFERROR(INDEX('Code Aliases'!$B:$B,MATCH(TRIM(C744),'Code Aliases'!$A:$A,0)),TRIM(C744)))</f>
        <v/>
      </c>
      <c r="H744" s="17" t="str">
        <f aca="false">IF(TRIM(B744)="","",UPPER(TRIM(B744)))</f>
        <v/>
      </c>
    </row>
    <row r="745" customFormat="false" ht="14.25" hidden="false" customHeight="true" outlineLevel="0" collapsed="false">
      <c r="D745" s="17"/>
      <c r="G745" s="17" t="str">
        <f aca="false">IF(TRIM(C745)="","",IFERROR(INDEX('Code Aliases'!$B:$B,MATCH(TRIM(C745),'Code Aliases'!$A:$A,0)),TRIM(C745)))</f>
        <v/>
      </c>
      <c r="H745" s="17" t="str">
        <f aca="false">IF(TRIM(B745)="","",UPPER(TRIM(B745)))</f>
        <v/>
      </c>
    </row>
    <row r="746" customFormat="false" ht="14.25" hidden="false" customHeight="true" outlineLevel="0" collapsed="false">
      <c r="D746" s="17"/>
      <c r="G746" s="17" t="str">
        <f aca="false">IF(TRIM(C746)="","",IFERROR(INDEX('Code Aliases'!$B:$B,MATCH(TRIM(C746),'Code Aliases'!$A:$A,0)),TRIM(C746)))</f>
        <v/>
      </c>
      <c r="H746" s="17" t="str">
        <f aca="false">IF(TRIM(B746)="","",UPPER(TRIM(B746)))</f>
        <v/>
      </c>
    </row>
    <row r="747" customFormat="false" ht="14.25" hidden="false" customHeight="true" outlineLevel="0" collapsed="false">
      <c r="D747" s="17"/>
      <c r="G747" s="17" t="str">
        <f aca="false">IF(TRIM(C747)="","",IFERROR(INDEX('Code Aliases'!$B:$B,MATCH(TRIM(C747),'Code Aliases'!$A:$A,0)),TRIM(C747)))</f>
        <v/>
      </c>
      <c r="H747" s="17" t="str">
        <f aca="false">IF(TRIM(B747)="","",UPPER(TRIM(B747)))</f>
        <v/>
      </c>
    </row>
    <row r="748" customFormat="false" ht="14.25" hidden="false" customHeight="true" outlineLevel="0" collapsed="false">
      <c r="D748" s="17"/>
      <c r="G748" s="17" t="str">
        <f aca="false">IF(TRIM(C748)="","",IFERROR(INDEX('Code Aliases'!$B:$B,MATCH(TRIM(C748),'Code Aliases'!$A:$A,0)),TRIM(C748)))</f>
        <v/>
      </c>
      <c r="H748" s="17" t="str">
        <f aca="false">IF(TRIM(B748)="","",UPPER(TRIM(B748)))</f>
        <v/>
      </c>
    </row>
    <row r="749" customFormat="false" ht="14.25" hidden="false" customHeight="true" outlineLevel="0" collapsed="false">
      <c r="D749" s="17"/>
      <c r="G749" s="17" t="str">
        <f aca="false">IF(TRIM(C749)="","",IFERROR(INDEX('Code Aliases'!$B:$B,MATCH(TRIM(C749),'Code Aliases'!$A:$A,0)),TRIM(C749)))</f>
        <v/>
      </c>
      <c r="H749" s="17" t="str">
        <f aca="false">IF(TRIM(B749)="","",UPPER(TRIM(B749)))</f>
        <v/>
      </c>
    </row>
    <row r="750" customFormat="false" ht="14.25" hidden="false" customHeight="true" outlineLevel="0" collapsed="false">
      <c r="D750" s="17"/>
      <c r="G750" s="17" t="str">
        <f aca="false">IF(TRIM(C750)="","",IFERROR(INDEX('Code Aliases'!$B:$B,MATCH(TRIM(C750),'Code Aliases'!$A:$A,0)),TRIM(C750)))</f>
        <v/>
      </c>
      <c r="H750" s="17" t="str">
        <f aca="false">IF(TRIM(B750)="","",UPPER(TRIM(B750)))</f>
        <v/>
      </c>
    </row>
    <row r="751" customFormat="false" ht="14.25" hidden="false" customHeight="true" outlineLevel="0" collapsed="false">
      <c r="D751" s="17"/>
      <c r="G751" s="17" t="str">
        <f aca="false">IF(TRIM(C751)="","",IFERROR(INDEX('Code Aliases'!$B:$B,MATCH(TRIM(C751),'Code Aliases'!$A:$A,0)),TRIM(C751)))</f>
        <v/>
      </c>
      <c r="H751" s="17" t="str">
        <f aca="false">IF(TRIM(B751)="","",UPPER(TRIM(B751)))</f>
        <v/>
      </c>
    </row>
    <row r="752" customFormat="false" ht="14.25" hidden="false" customHeight="true" outlineLevel="0" collapsed="false">
      <c r="D752" s="17"/>
      <c r="G752" s="17" t="str">
        <f aca="false">IF(TRIM(C752)="","",IFERROR(INDEX('Code Aliases'!$B:$B,MATCH(TRIM(C752),'Code Aliases'!$A:$A,0)),TRIM(C752)))</f>
        <v/>
      </c>
      <c r="H752" s="17" t="str">
        <f aca="false">IF(TRIM(B752)="","",UPPER(TRIM(B752)))</f>
        <v/>
      </c>
    </row>
    <row r="753" customFormat="false" ht="14.25" hidden="false" customHeight="true" outlineLevel="0" collapsed="false">
      <c r="D753" s="17"/>
      <c r="G753" s="17" t="str">
        <f aca="false">IF(TRIM(C753)="","",IFERROR(INDEX('Code Aliases'!$B:$B,MATCH(TRIM(C753),'Code Aliases'!$A:$A,0)),TRIM(C753)))</f>
        <v/>
      </c>
      <c r="H753" s="17" t="str">
        <f aca="false">IF(TRIM(B753)="","",UPPER(TRIM(B753)))</f>
        <v/>
      </c>
    </row>
    <row r="754" customFormat="false" ht="14.25" hidden="false" customHeight="true" outlineLevel="0" collapsed="false">
      <c r="D754" s="17"/>
      <c r="G754" s="17" t="str">
        <f aca="false">IF(TRIM(C754)="","",IFERROR(INDEX('Code Aliases'!$B:$B,MATCH(TRIM(C754),'Code Aliases'!$A:$A,0)),TRIM(C754)))</f>
        <v/>
      </c>
      <c r="H754" s="17" t="str">
        <f aca="false">IF(TRIM(B754)="","",UPPER(TRIM(B754)))</f>
        <v/>
      </c>
    </row>
    <row r="755" customFormat="false" ht="14.25" hidden="false" customHeight="true" outlineLevel="0" collapsed="false">
      <c r="D755" s="17"/>
      <c r="G755" s="17" t="str">
        <f aca="false">IF(TRIM(C755)="","",IFERROR(INDEX('Code Aliases'!$B:$B,MATCH(TRIM(C755),'Code Aliases'!$A:$A,0)),TRIM(C755)))</f>
        <v/>
      </c>
      <c r="H755" s="17" t="str">
        <f aca="false">IF(TRIM(B755)="","",UPPER(TRIM(B755)))</f>
        <v/>
      </c>
    </row>
    <row r="756" customFormat="false" ht="14.25" hidden="false" customHeight="true" outlineLevel="0" collapsed="false">
      <c r="D756" s="17"/>
      <c r="G756" s="17" t="str">
        <f aca="false">IF(TRIM(C756)="","",IFERROR(INDEX('Code Aliases'!$B:$B,MATCH(TRIM(C756),'Code Aliases'!$A:$A,0)),TRIM(C756)))</f>
        <v/>
      </c>
      <c r="H756" s="17" t="str">
        <f aca="false">IF(TRIM(B756)="","",UPPER(TRIM(B756)))</f>
        <v/>
      </c>
    </row>
    <row r="757" customFormat="false" ht="14.25" hidden="false" customHeight="true" outlineLevel="0" collapsed="false">
      <c r="D757" s="17"/>
      <c r="G757" s="17" t="str">
        <f aca="false">IF(TRIM(C757)="","",IFERROR(INDEX('Code Aliases'!$B:$B,MATCH(TRIM(C757),'Code Aliases'!$A:$A,0)),TRIM(C757)))</f>
        <v/>
      </c>
      <c r="H757" s="17" t="str">
        <f aca="false">IF(TRIM(B757)="","",UPPER(TRIM(B757)))</f>
        <v/>
      </c>
    </row>
    <row r="758" customFormat="false" ht="14.25" hidden="false" customHeight="true" outlineLevel="0" collapsed="false">
      <c r="D758" s="17"/>
      <c r="G758" s="17" t="str">
        <f aca="false">IF(TRIM(C758)="","",IFERROR(INDEX('Code Aliases'!$B:$B,MATCH(TRIM(C758),'Code Aliases'!$A:$A,0)),TRIM(C758)))</f>
        <v/>
      </c>
      <c r="H758" s="17" t="str">
        <f aca="false">IF(TRIM(B758)="","",UPPER(TRIM(B758)))</f>
        <v/>
      </c>
    </row>
    <row r="759" customFormat="false" ht="14.25" hidden="false" customHeight="true" outlineLevel="0" collapsed="false">
      <c r="D759" s="17"/>
      <c r="G759" s="17" t="str">
        <f aca="false">IF(TRIM(C759)="","",IFERROR(INDEX('Code Aliases'!$B:$B,MATCH(TRIM(C759),'Code Aliases'!$A:$A,0)),TRIM(C759)))</f>
        <v/>
      </c>
      <c r="H759" s="17" t="str">
        <f aca="false">IF(TRIM(B759)="","",UPPER(TRIM(B759)))</f>
        <v/>
      </c>
    </row>
    <row r="760" customFormat="false" ht="14.25" hidden="false" customHeight="true" outlineLevel="0" collapsed="false">
      <c r="D760" s="17"/>
      <c r="G760" s="17" t="str">
        <f aca="false">IF(TRIM(C760)="","",IFERROR(INDEX('Code Aliases'!$B:$B,MATCH(TRIM(C760),'Code Aliases'!$A:$A,0)),TRIM(C760)))</f>
        <v/>
      </c>
      <c r="H760" s="17" t="str">
        <f aca="false">IF(TRIM(B760)="","",UPPER(TRIM(B760)))</f>
        <v/>
      </c>
    </row>
    <row r="761" customFormat="false" ht="14.25" hidden="false" customHeight="true" outlineLevel="0" collapsed="false">
      <c r="D761" s="17"/>
      <c r="G761" s="17" t="str">
        <f aca="false">IF(TRIM(C761)="","",IFERROR(INDEX('Code Aliases'!$B:$B,MATCH(TRIM(C761),'Code Aliases'!$A:$A,0)),TRIM(C761)))</f>
        <v/>
      </c>
      <c r="H761" s="17" t="str">
        <f aca="false">IF(TRIM(B761)="","",UPPER(TRIM(B761)))</f>
        <v/>
      </c>
    </row>
    <row r="762" customFormat="false" ht="14.25" hidden="false" customHeight="true" outlineLevel="0" collapsed="false">
      <c r="D762" s="17"/>
      <c r="G762" s="17" t="str">
        <f aca="false">IF(TRIM(C762)="","",IFERROR(INDEX('Code Aliases'!$B:$B,MATCH(TRIM(C762),'Code Aliases'!$A:$A,0)),TRIM(C762)))</f>
        <v/>
      </c>
      <c r="H762" s="17" t="str">
        <f aca="false">IF(TRIM(B762)="","",UPPER(TRIM(B762)))</f>
        <v/>
      </c>
    </row>
    <row r="763" customFormat="false" ht="14.25" hidden="false" customHeight="true" outlineLevel="0" collapsed="false">
      <c r="D763" s="17"/>
      <c r="G763" s="17" t="str">
        <f aca="false">IF(TRIM(C763)="","",IFERROR(INDEX('Code Aliases'!$B:$B,MATCH(TRIM(C763),'Code Aliases'!$A:$A,0)),TRIM(C763)))</f>
        <v/>
      </c>
      <c r="H763" s="17" t="str">
        <f aca="false">IF(TRIM(B763)="","",UPPER(TRIM(B763)))</f>
        <v/>
      </c>
    </row>
    <row r="764" customFormat="false" ht="14.25" hidden="false" customHeight="true" outlineLevel="0" collapsed="false">
      <c r="D764" s="17"/>
      <c r="G764" s="17" t="str">
        <f aca="false">IF(TRIM(C764)="","",IFERROR(INDEX('Code Aliases'!$B:$B,MATCH(TRIM(C764),'Code Aliases'!$A:$A,0)),TRIM(C764)))</f>
        <v/>
      </c>
      <c r="H764" s="17" t="str">
        <f aca="false">IF(TRIM(B764)="","",UPPER(TRIM(B764)))</f>
        <v/>
      </c>
    </row>
    <row r="765" customFormat="false" ht="14.25" hidden="false" customHeight="true" outlineLevel="0" collapsed="false">
      <c r="D765" s="17"/>
      <c r="G765" s="17" t="str">
        <f aca="false">IF(TRIM(C765)="","",IFERROR(INDEX('Code Aliases'!$B:$B,MATCH(TRIM(C765),'Code Aliases'!$A:$A,0)),TRIM(C765)))</f>
        <v/>
      </c>
      <c r="H765" s="17" t="str">
        <f aca="false">IF(TRIM(B765)="","",UPPER(TRIM(B765)))</f>
        <v/>
      </c>
    </row>
    <row r="766" customFormat="false" ht="14.25" hidden="false" customHeight="true" outlineLevel="0" collapsed="false">
      <c r="D766" s="17"/>
      <c r="G766" s="17" t="str">
        <f aca="false">IF(TRIM(C766)="","",IFERROR(INDEX('Code Aliases'!$B:$B,MATCH(TRIM(C766),'Code Aliases'!$A:$A,0)),TRIM(C766)))</f>
        <v/>
      </c>
      <c r="H766" s="17" t="str">
        <f aca="false">IF(TRIM(B766)="","",UPPER(TRIM(B766)))</f>
        <v/>
      </c>
    </row>
    <row r="767" customFormat="false" ht="14.25" hidden="false" customHeight="true" outlineLevel="0" collapsed="false">
      <c r="D767" s="17"/>
      <c r="G767" s="17" t="str">
        <f aca="false">IF(TRIM(C767)="","",IFERROR(INDEX('Code Aliases'!$B:$B,MATCH(TRIM(C767),'Code Aliases'!$A:$A,0)),TRIM(C767)))</f>
        <v/>
      </c>
      <c r="H767" s="17" t="str">
        <f aca="false">IF(TRIM(B767)="","",UPPER(TRIM(B767)))</f>
        <v/>
      </c>
    </row>
    <row r="768" customFormat="false" ht="14.25" hidden="false" customHeight="true" outlineLevel="0" collapsed="false">
      <c r="D768" s="17"/>
      <c r="G768" s="17" t="str">
        <f aca="false">IF(TRIM(C768)="","",IFERROR(INDEX('Code Aliases'!$B:$B,MATCH(TRIM(C768),'Code Aliases'!$A:$A,0)),TRIM(C768)))</f>
        <v/>
      </c>
      <c r="H768" s="17" t="str">
        <f aca="false">IF(TRIM(B768)="","",UPPER(TRIM(B768)))</f>
        <v/>
      </c>
    </row>
    <row r="769" customFormat="false" ht="14.25" hidden="false" customHeight="true" outlineLevel="0" collapsed="false">
      <c r="D769" s="17"/>
      <c r="G769" s="17" t="str">
        <f aca="false">IF(TRIM(C769)="","",IFERROR(INDEX('Code Aliases'!$B:$B,MATCH(TRIM(C769),'Code Aliases'!$A:$A,0)),TRIM(C769)))</f>
        <v/>
      </c>
      <c r="H769" s="17" t="str">
        <f aca="false">IF(TRIM(B769)="","",UPPER(TRIM(B769)))</f>
        <v/>
      </c>
    </row>
    <row r="770" customFormat="false" ht="14.25" hidden="false" customHeight="true" outlineLevel="0" collapsed="false">
      <c r="D770" s="17"/>
      <c r="G770" s="17" t="str">
        <f aca="false">IF(TRIM(C770)="","",IFERROR(INDEX('Code Aliases'!$B:$B,MATCH(TRIM(C770),'Code Aliases'!$A:$A,0)),TRIM(C770)))</f>
        <v/>
      </c>
      <c r="H770" s="17" t="str">
        <f aca="false">IF(TRIM(B770)="","",UPPER(TRIM(B770)))</f>
        <v/>
      </c>
    </row>
    <row r="771" customFormat="false" ht="14.25" hidden="false" customHeight="true" outlineLevel="0" collapsed="false">
      <c r="D771" s="17"/>
      <c r="G771" s="17" t="str">
        <f aca="false">IF(TRIM(C771)="","",IFERROR(INDEX('Code Aliases'!$B:$B,MATCH(TRIM(C771),'Code Aliases'!$A:$A,0)),TRIM(C771)))</f>
        <v/>
      </c>
      <c r="H771" s="17" t="str">
        <f aca="false">IF(TRIM(B771)="","",UPPER(TRIM(B771)))</f>
        <v/>
      </c>
    </row>
    <row r="772" customFormat="false" ht="14.25" hidden="false" customHeight="true" outlineLevel="0" collapsed="false">
      <c r="D772" s="17"/>
      <c r="G772" s="17" t="str">
        <f aca="false">IF(TRIM(C772)="","",IFERROR(INDEX('Code Aliases'!$B:$B,MATCH(TRIM(C772),'Code Aliases'!$A:$A,0)),TRIM(C772)))</f>
        <v/>
      </c>
      <c r="H772" s="17" t="str">
        <f aca="false">IF(TRIM(B772)="","",UPPER(TRIM(B772)))</f>
        <v/>
      </c>
    </row>
    <row r="773" customFormat="false" ht="14.25" hidden="false" customHeight="true" outlineLevel="0" collapsed="false">
      <c r="D773" s="17"/>
      <c r="G773" s="17" t="str">
        <f aca="false">IF(TRIM(C773)="","",IFERROR(INDEX('Code Aliases'!$B:$B,MATCH(TRIM(C773),'Code Aliases'!$A:$A,0)),TRIM(C773)))</f>
        <v/>
      </c>
      <c r="H773" s="17" t="str">
        <f aca="false">IF(TRIM(B773)="","",UPPER(TRIM(B773)))</f>
        <v/>
      </c>
    </row>
    <row r="774" customFormat="false" ht="14.25" hidden="false" customHeight="true" outlineLevel="0" collapsed="false">
      <c r="D774" s="17"/>
      <c r="G774" s="17" t="str">
        <f aca="false">IF(TRIM(C774)="","",IFERROR(INDEX('Code Aliases'!$B:$B,MATCH(TRIM(C774),'Code Aliases'!$A:$A,0)),TRIM(C774)))</f>
        <v/>
      </c>
      <c r="H774" s="17" t="str">
        <f aca="false">IF(TRIM(B774)="","",UPPER(TRIM(B774)))</f>
        <v/>
      </c>
    </row>
    <row r="775" customFormat="false" ht="14.25" hidden="false" customHeight="true" outlineLevel="0" collapsed="false">
      <c r="D775" s="17"/>
      <c r="G775" s="17" t="str">
        <f aca="false">IF(TRIM(C775)="","",IFERROR(INDEX('Code Aliases'!$B:$B,MATCH(TRIM(C775),'Code Aliases'!$A:$A,0)),TRIM(C775)))</f>
        <v/>
      </c>
      <c r="H775" s="17" t="str">
        <f aca="false">IF(TRIM(B775)="","",UPPER(TRIM(B775)))</f>
        <v/>
      </c>
    </row>
    <row r="776" customFormat="false" ht="14.25" hidden="false" customHeight="true" outlineLevel="0" collapsed="false">
      <c r="D776" s="17"/>
      <c r="G776" s="17" t="str">
        <f aca="false">IF(TRIM(C776)="","",IFERROR(INDEX('Code Aliases'!$B:$B,MATCH(TRIM(C776),'Code Aliases'!$A:$A,0)),TRIM(C776)))</f>
        <v/>
      </c>
      <c r="H776" s="17" t="str">
        <f aca="false">IF(TRIM(B776)="","",UPPER(TRIM(B776)))</f>
        <v/>
      </c>
    </row>
    <row r="777" customFormat="false" ht="14.25" hidden="false" customHeight="true" outlineLevel="0" collapsed="false">
      <c r="D777" s="17"/>
      <c r="G777" s="17" t="str">
        <f aca="false">IF(TRIM(C777)="","",IFERROR(INDEX('Code Aliases'!$B:$B,MATCH(TRIM(C777),'Code Aliases'!$A:$A,0)),TRIM(C777)))</f>
        <v/>
      </c>
      <c r="H777" s="17" t="str">
        <f aca="false">IF(TRIM(B777)="","",UPPER(TRIM(B777)))</f>
        <v/>
      </c>
    </row>
    <row r="778" customFormat="false" ht="14.25" hidden="false" customHeight="true" outlineLevel="0" collapsed="false">
      <c r="D778" s="17"/>
      <c r="G778" s="17" t="str">
        <f aca="false">IF(TRIM(C778)="","",IFERROR(INDEX('Code Aliases'!$B:$B,MATCH(TRIM(C778),'Code Aliases'!$A:$A,0)),TRIM(C778)))</f>
        <v/>
      </c>
      <c r="H778" s="17" t="str">
        <f aca="false">IF(TRIM(B778)="","",UPPER(TRIM(B778)))</f>
        <v/>
      </c>
    </row>
    <row r="779" customFormat="false" ht="14.25" hidden="false" customHeight="true" outlineLevel="0" collapsed="false">
      <c r="D779" s="17"/>
      <c r="G779" s="17" t="str">
        <f aca="false">IF(TRIM(C779)="","",IFERROR(INDEX('Code Aliases'!$B:$B,MATCH(TRIM(C779),'Code Aliases'!$A:$A,0)),TRIM(C779)))</f>
        <v/>
      </c>
      <c r="H779" s="17" t="str">
        <f aca="false">IF(TRIM(B779)="","",UPPER(TRIM(B779)))</f>
        <v/>
      </c>
    </row>
    <row r="780" customFormat="false" ht="14.25" hidden="false" customHeight="true" outlineLevel="0" collapsed="false">
      <c r="D780" s="17"/>
      <c r="G780" s="17" t="str">
        <f aca="false">IF(TRIM(C780)="","",IFERROR(INDEX('Code Aliases'!$B:$B,MATCH(TRIM(C780),'Code Aliases'!$A:$A,0)),TRIM(C780)))</f>
        <v/>
      </c>
      <c r="H780" s="17" t="str">
        <f aca="false">IF(TRIM(B780)="","",UPPER(TRIM(B780)))</f>
        <v/>
      </c>
    </row>
    <row r="781" customFormat="false" ht="14.25" hidden="false" customHeight="true" outlineLevel="0" collapsed="false">
      <c r="D781" s="17"/>
      <c r="G781" s="17" t="str">
        <f aca="false">IF(TRIM(C781)="","",IFERROR(INDEX('Code Aliases'!$B:$B,MATCH(TRIM(C781),'Code Aliases'!$A:$A,0)),TRIM(C781)))</f>
        <v/>
      </c>
      <c r="H781" s="17" t="str">
        <f aca="false">IF(TRIM(B781)="","",UPPER(TRIM(B781)))</f>
        <v/>
      </c>
    </row>
    <row r="782" customFormat="false" ht="14.25" hidden="false" customHeight="true" outlineLevel="0" collapsed="false">
      <c r="D782" s="17"/>
      <c r="G782" s="17" t="str">
        <f aca="false">IF(TRIM(C782)="","",IFERROR(INDEX('Code Aliases'!$B:$B,MATCH(TRIM(C782),'Code Aliases'!$A:$A,0)),TRIM(C782)))</f>
        <v/>
      </c>
      <c r="H782" s="17" t="str">
        <f aca="false">IF(TRIM(B782)="","",UPPER(TRIM(B782)))</f>
        <v/>
      </c>
    </row>
    <row r="783" customFormat="false" ht="14.25" hidden="false" customHeight="true" outlineLevel="0" collapsed="false">
      <c r="D783" s="17"/>
      <c r="G783" s="17" t="str">
        <f aca="false">IF(TRIM(C783)="","",IFERROR(INDEX('Code Aliases'!$B:$B,MATCH(TRIM(C783),'Code Aliases'!$A:$A,0)),TRIM(C783)))</f>
        <v/>
      </c>
      <c r="H783" s="17" t="str">
        <f aca="false">IF(TRIM(B783)="","",UPPER(TRIM(B783)))</f>
        <v/>
      </c>
    </row>
    <row r="784" customFormat="false" ht="14.25" hidden="false" customHeight="true" outlineLevel="0" collapsed="false">
      <c r="D784" s="17"/>
      <c r="G784" s="17" t="str">
        <f aca="false">IF(TRIM(C784)="","",IFERROR(INDEX('Code Aliases'!$B:$B,MATCH(TRIM(C784),'Code Aliases'!$A:$A,0)),TRIM(C784)))</f>
        <v/>
      </c>
      <c r="H784" s="17" t="str">
        <f aca="false">IF(TRIM(B784)="","",UPPER(TRIM(B784)))</f>
        <v/>
      </c>
    </row>
    <row r="785" customFormat="false" ht="14.25" hidden="false" customHeight="true" outlineLevel="0" collapsed="false">
      <c r="D785" s="17"/>
      <c r="G785" s="17" t="str">
        <f aca="false">IF(TRIM(C785)="","",IFERROR(INDEX('Code Aliases'!$B:$B,MATCH(TRIM(C785),'Code Aliases'!$A:$A,0)),TRIM(C785)))</f>
        <v/>
      </c>
      <c r="H785" s="17" t="str">
        <f aca="false">IF(TRIM(B785)="","",UPPER(TRIM(B785)))</f>
        <v/>
      </c>
    </row>
    <row r="786" customFormat="false" ht="14.25" hidden="false" customHeight="true" outlineLevel="0" collapsed="false">
      <c r="D786" s="17"/>
      <c r="G786" s="17" t="str">
        <f aca="false">IF(TRIM(C786)="","",IFERROR(INDEX('Code Aliases'!$B:$B,MATCH(TRIM(C786),'Code Aliases'!$A:$A,0)),TRIM(C786)))</f>
        <v/>
      </c>
      <c r="H786" s="17" t="str">
        <f aca="false">IF(TRIM(B786)="","",UPPER(TRIM(B786)))</f>
        <v/>
      </c>
    </row>
    <row r="787" customFormat="false" ht="14.25" hidden="false" customHeight="true" outlineLevel="0" collapsed="false">
      <c r="D787" s="17"/>
      <c r="G787" s="17" t="str">
        <f aca="false">IF(TRIM(C787)="","",IFERROR(INDEX('Code Aliases'!$B:$B,MATCH(TRIM(C787),'Code Aliases'!$A:$A,0)),TRIM(C787)))</f>
        <v/>
      </c>
      <c r="H787" s="17" t="str">
        <f aca="false">IF(TRIM(B787)="","",UPPER(TRIM(B787)))</f>
        <v/>
      </c>
    </row>
    <row r="788" customFormat="false" ht="14.25" hidden="false" customHeight="true" outlineLevel="0" collapsed="false">
      <c r="D788" s="17"/>
      <c r="G788" s="17" t="str">
        <f aca="false">IF(TRIM(C788)="","",IFERROR(INDEX('Code Aliases'!$B:$B,MATCH(TRIM(C788),'Code Aliases'!$A:$A,0)),TRIM(C788)))</f>
        <v/>
      </c>
      <c r="H788" s="17" t="str">
        <f aca="false">IF(TRIM(B788)="","",UPPER(TRIM(B788)))</f>
        <v/>
      </c>
    </row>
    <row r="789" customFormat="false" ht="14.25" hidden="false" customHeight="true" outlineLevel="0" collapsed="false">
      <c r="D789" s="17"/>
      <c r="G789" s="17" t="str">
        <f aca="false">IF(TRIM(C789)="","",IFERROR(INDEX('Code Aliases'!$B:$B,MATCH(TRIM(C789),'Code Aliases'!$A:$A,0)),TRIM(C789)))</f>
        <v/>
      </c>
      <c r="H789" s="17" t="str">
        <f aca="false">IF(TRIM(B789)="","",UPPER(TRIM(B789)))</f>
        <v/>
      </c>
    </row>
    <row r="790" customFormat="false" ht="14.25" hidden="false" customHeight="true" outlineLevel="0" collapsed="false">
      <c r="D790" s="17"/>
      <c r="G790" s="17" t="str">
        <f aca="false">IF(TRIM(C790)="","",IFERROR(INDEX('Code Aliases'!$B:$B,MATCH(TRIM(C790),'Code Aliases'!$A:$A,0)),TRIM(C790)))</f>
        <v/>
      </c>
      <c r="H790" s="17" t="str">
        <f aca="false">IF(TRIM(B790)="","",UPPER(TRIM(B790)))</f>
        <v/>
      </c>
    </row>
    <row r="791" customFormat="false" ht="14.25" hidden="false" customHeight="true" outlineLevel="0" collapsed="false">
      <c r="D791" s="17"/>
      <c r="G791" s="17" t="str">
        <f aca="false">IF(TRIM(C791)="","",IFERROR(INDEX('Code Aliases'!$B:$B,MATCH(TRIM(C791),'Code Aliases'!$A:$A,0)),TRIM(C791)))</f>
        <v/>
      </c>
      <c r="H791" s="17" t="str">
        <f aca="false">IF(TRIM(B791)="","",UPPER(TRIM(B791)))</f>
        <v/>
      </c>
    </row>
    <row r="792" customFormat="false" ht="14.25" hidden="false" customHeight="true" outlineLevel="0" collapsed="false">
      <c r="D792" s="17"/>
      <c r="G792" s="17" t="str">
        <f aca="false">IF(TRIM(C792)="","",IFERROR(INDEX('Code Aliases'!$B:$B,MATCH(TRIM(C792),'Code Aliases'!$A:$A,0)),TRIM(C792)))</f>
        <v/>
      </c>
      <c r="H792" s="17" t="str">
        <f aca="false">IF(TRIM(B792)="","",UPPER(TRIM(B792)))</f>
        <v/>
      </c>
    </row>
    <row r="793" customFormat="false" ht="14.25" hidden="false" customHeight="true" outlineLevel="0" collapsed="false">
      <c r="D793" s="17"/>
      <c r="G793" s="17" t="str">
        <f aca="false">IF(TRIM(C793)="","",IFERROR(INDEX('Code Aliases'!$B:$B,MATCH(TRIM(C793),'Code Aliases'!$A:$A,0)),TRIM(C793)))</f>
        <v/>
      </c>
      <c r="H793" s="17" t="str">
        <f aca="false">IF(TRIM(B793)="","",UPPER(TRIM(B793)))</f>
        <v/>
      </c>
    </row>
    <row r="794" customFormat="false" ht="14.25" hidden="false" customHeight="true" outlineLevel="0" collapsed="false">
      <c r="D794" s="17"/>
      <c r="G794" s="17" t="str">
        <f aca="false">IF(TRIM(C794)="","",IFERROR(INDEX('Code Aliases'!$B:$B,MATCH(TRIM(C794),'Code Aliases'!$A:$A,0)),TRIM(C794)))</f>
        <v/>
      </c>
      <c r="H794" s="17" t="str">
        <f aca="false">IF(TRIM(B794)="","",UPPER(TRIM(B794)))</f>
        <v/>
      </c>
    </row>
    <row r="795" customFormat="false" ht="14.25" hidden="false" customHeight="true" outlineLevel="0" collapsed="false">
      <c r="D795" s="17"/>
      <c r="G795" s="17" t="str">
        <f aca="false">IF(TRIM(C795)="","",IFERROR(INDEX('Code Aliases'!$B:$B,MATCH(TRIM(C795),'Code Aliases'!$A:$A,0)),TRIM(C795)))</f>
        <v/>
      </c>
      <c r="H795" s="17" t="str">
        <f aca="false">IF(TRIM(B795)="","",UPPER(TRIM(B795)))</f>
        <v/>
      </c>
    </row>
    <row r="796" customFormat="false" ht="14.25" hidden="false" customHeight="true" outlineLevel="0" collapsed="false">
      <c r="D796" s="17"/>
      <c r="G796" s="17" t="str">
        <f aca="false">IF(TRIM(C796)="","",IFERROR(INDEX('Code Aliases'!$B:$B,MATCH(TRIM(C796),'Code Aliases'!$A:$A,0)),TRIM(C796)))</f>
        <v/>
      </c>
      <c r="H796" s="17" t="str">
        <f aca="false">IF(TRIM(B796)="","",UPPER(TRIM(B796)))</f>
        <v/>
      </c>
    </row>
    <row r="797" customFormat="false" ht="14.25" hidden="false" customHeight="true" outlineLevel="0" collapsed="false">
      <c r="D797" s="17"/>
      <c r="G797" s="17" t="str">
        <f aca="false">IF(TRIM(C797)="","",IFERROR(INDEX('Code Aliases'!$B:$B,MATCH(TRIM(C797),'Code Aliases'!$A:$A,0)),TRIM(C797)))</f>
        <v/>
      </c>
      <c r="H797" s="17" t="str">
        <f aca="false">IF(TRIM(B797)="","",UPPER(TRIM(B797)))</f>
        <v/>
      </c>
    </row>
    <row r="798" customFormat="false" ht="14.25" hidden="false" customHeight="true" outlineLevel="0" collapsed="false">
      <c r="D798" s="17"/>
      <c r="G798" s="17" t="str">
        <f aca="false">IF(TRIM(C798)="","",IFERROR(INDEX('Code Aliases'!$B:$B,MATCH(TRIM(C798),'Code Aliases'!$A:$A,0)),TRIM(C798)))</f>
        <v/>
      </c>
      <c r="H798" s="17" t="str">
        <f aca="false">IF(TRIM(B798)="","",UPPER(TRIM(B798)))</f>
        <v/>
      </c>
    </row>
    <row r="799" customFormat="false" ht="14.25" hidden="false" customHeight="true" outlineLevel="0" collapsed="false">
      <c r="D799" s="17"/>
      <c r="G799" s="17" t="str">
        <f aca="false">IF(TRIM(C799)="","",IFERROR(INDEX('Code Aliases'!$B:$B,MATCH(TRIM(C799),'Code Aliases'!$A:$A,0)),TRIM(C799)))</f>
        <v/>
      </c>
      <c r="H799" s="17" t="str">
        <f aca="false">IF(TRIM(B799)="","",UPPER(TRIM(B799)))</f>
        <v/>
      </c>
    </row>
    <row r="800" customFormat="false" ht="14.25" hidden="false" customHeight="true" outlineLevel="0" collapsed="false">
      <c r="D800" s="17"/>
      <c r="G800" s="17" t="str">
        <f aca="false">IF(TRIM(C800)="","",IFERROR(INDEX('Code Aliases'!$B:$B,MATCH(TRIM(C800),'Code Aliases'!$A:$A,0)),TRIM(C800)))</f>
        <v/>
      </c>
      <c r="H800" s="17" t="str">
        <f aca="false">IF(TRIM(B800)="","",UPPER(TRIM(B800)))</f>
        <v/>
      </c>
    </row>
    <row r="801" customFormat="false" ht="14.25" hidden="false" customHeight="true" outlineLevel="0" collapsed="false">
      <c r="D801" s="17"/>
      <c r="G801" s="17" t="str">
        <f aca="false">IF(TRIM(C801)="","",IFERROR(INDEX('Code Aliases'!$B:$B,MATCH(TRIM(C801),'Code Aliases'!$A:$A,0)),TRIM(C801)))</f>
        <v/>
      </c>
      <c r="H801" s="17" t="str">
        <f aca="false">IF(TRIM(B801)="","",UPPER(TRIM(B801)))</f>
        <v/>
      </c>
    </row>
    <row r="802" customFormat="false" ht="14.25" hidden="false" customHeight="true" outlineLevel="0" collapsed="false">
      <c r="D802" s="17"/>
      <c r="G802" s="17" t="str">
        <f aca="false">IF(TRIM(C802)="","",IFERROR(INDEX('Code Aliases'!$B:$B,MATCH(TRIM(C802),'Code Aliases'!$A:$A,0)),TRIM(C802)))</f>
        <v/>
      </c>
      <c r="H802" s="17" t="str">
        <f aca="false">IF(TRIM(B802)="","",UPPER(TRIM(B802)))</f>
        <v/>
      </c>
    </row>
    <row r="803" customFormat="false" ht="14.25" hidden="false" customHeight="true" outlineLevel="0" collapsed="false">
      <c r="D803" s="17"/>
      <c r="G803" s="17" t="str">
        <f aca="false">IF(TRIM(C803)="","",IFERROR(INDEX('Code Aliases'!$B:$B,MATCH(TRIM(C803),'Code Aliases'!$A:$A,0)),TRIM(C803)))</f>
        <v/>
      </c>
      <c r="H803" s="17" t="str">
        <f aca="false">IF(TRIM(B803)="","",UPPER(TRIM(B803)))</f>
        <v/>
      </c>
    </row>
    <row r="804" customFormat="false" ht="14.25" hidden="false" customHeight="true" outlineLevel="0" collapsed="false">
      <c r="D804" s="17"/>
      <c r="G804" s="17" t="str">
        <f aca="false">IF(TRIM(C804)="","",IFERROR(INDEX('Code Aliases'!$B:$B,MATCH(TRIM(C804),'Code Aliases'!$A:$A,0)),TRIM(C804)))</f>
        <v/>
      </c>
      <c r="H804" s="17" t="str">
        <f aca="false">IF(TRIM(B804)="","",UPPER(TRIM(B804)))</f>
        <v/>
      </c>
    </row>
    <row r="805" customFormat="false" ht="14.25" hidden="false" customHeight="true" outlineLevel="0" collapsed="false">
      <c r="D805" s="17"/>
      <c r="G805" s="17" t="str">
        <f aca="false">IF(TRIM(C805)="","",IFERROR(INDEX('Code Aliases'!$B:$B,MATCH(TRIM(C805),'Code Aliases'!$A:$A,0)),TRIM(C805)))</f>
        <v/>
      </c>
      <c r="H805" s="17" t="str">
        <f aca="false">IF(TRIM(B805)="","",UPPER(TRIM(B805)))</f>
        <v/>
      </c>
    </row>
    <row r="806" customFormat="false" ht="14.25" hidden="false" customHeight="true" outlineLevel="0" collapsed="false">
      <c r="D806" s="17"/>
      <c r="G806" s="17" t="str">
        <f aca="false">IF(TRIM(C806)="","",IFERROR(INDEX('Code Aliases'!$B:$B,MATCH(TRIM(C806),'Code Aliases'!$A:$A,0)),TRIM(C806)))</f>
        <v/>
      </c>
      <c r="H806" s="17" t="str">
        <f aca="false">IF(TRIM(B806)="","",UPPER(TRIM(B806)))</f>
        <v/>
      </c>
    </row>
    <row r="807" customFormat="false" ht="14.25" hidden="false" customHeight="true" outlineLevel="0" collapsed="false">
      <c r="D807" s="17"/>
      <c r="G807" s="17" t="str">
        <f aca="false">IF(TRIM(C807)="","",IFERROR(INDEX('Code Aliases'!$B:$B,MATCH(TRIM(C807),'Code Aliases'!$A:$A,0)),TRIM(C807)))</f>
        <v/>
      </c>
      <c r="H807" s="17" t="str">
        <f aca="false">IF(TRIM(B807)="","",UPPER(TRIM(B807)))</f>
        <v/>
      </c>
    </row>
    <row r="808" customFormat="false" ht="14.25" hidden="false" customHeight="true" outlineLevel="0" collapsed="false">
      <c r="D808" s="17"/>
      <c r="G808" s="17" t="str">
        <f aca="false">IF(TRIM(C808)="","",IFERROR(INDEX('Code Aliases'!$B:$B,MATCH(TRIM(C808),'Code Aliases'!$A:$A,0)),TRIM(C808)))</f>
        <v/>
      </c>
      <c r="H808" s="17" t="str">
        <f aca="false">IF(TRIM(B808)="","",UPPER(TRIM(B808)))</f>
        <v/>
      </c>
    </row>
    <row r="809" customFormat="false" ht="14.25" hidden="false" customHeight="true" outlineLevel="0" collapsed="false">
      <c r="D809" s="17"/>
      <c r="G809" s="17" t="str">
        <f aca="false">IF(TRIM(C809)="","",IFERROR(INDEX('Code Aliases'!$B:$B,MATCH(TRIM(C809),'Code Aliases'!$A:$A,0)),TRIM(C809)))</f>
        <v/>
      </c>
      <c r="H809" s="17" t="str">
        <f aca="false">IF(TRIM(B809)="","",UPPER(TRIM(B809)))</f>
        <v/>
      </c>
    </row>
    <row r="810" customFormat="false" ht="14.25" hidden="false" customHeight="true" outlineLevel="0" collapsed="false">
      <c r="D810" s="17"/>
      <c r="G810" s="17" t="str">
        <f aca="false">IF(TRIM(C810)="","",IFERROR(INDEX('Code Aliases'!$B:$B,MATCH(TRIM(C810),'Code Aliases'!$A:$A,0)),TRIM(C810)))</f>
        <v/>
      </c>
      <c r="H810" s="17" t="str">
        <f aca="false">IF(TRIM(B810)="","",UPPER(TRIM(B810)))</f>
        <v/>
      </c>
    </row>
    <row r="811" customFormat="false" ht="14.25" hidden="false" customHeight="true" outlineLevel="0" collapsed="false">
      <c r="D811" s="17"/>
      <c r="G811" s="17" t="str">
        <f aca="false">IF(TRIM(C811)="","",IFERROR(INDEX('Code Aliases'!$B:$B,MATCH(TRIM(C811),'Code Aliases'!$A:$A,0)),TRIM(C811)))</f>
        <v/>
      </c>
      <c r="H811" s="17" t="str">
        <f aca="false">IF(TRIM(B811)="","",UPPER(TRIM(B811)))</f>
        <v/>
      </c>
    </row>
    <row r="812" customFormat="false" ht="14.25" hidden="false" customHeight="true" outlineLevel="0" collapsed="false">
      <c r="D812" s="17"/>
      <c r="G812" s="17" t="str">
        <f aca="false">IF(TRIM(C812)="","",IFERROR(INDEX('Code Aliases'!$B:$B,MATCH(TRIM(C812),'Code Aliases'!$A:$A,0)),TRIM(C812)))</f>
        <v/>
      </c>
      <c r="H812" s="17" t="str">
        <f aca="false">IF(TRIM(B812)="","",UPPER(TRIM(B812)))</f>
        <v/>
      </c>
    </row>
    <row r="813" customFormat="false" ht="14.25" hidden="false" customHeight="true" outlineLevel="0" collapsed="false">
      <c r="D813" s="17"/>
      <c r="G813" s="17" t="str">
        <f aca="false">IF(TRIM(C813)="","",IFERROR(INDEX('Code Aliases'!$B:$B,MATCH(TRIM(C813),'Code Aliases'!$A:$A,0)),TRIM(C813)))</f>
        <v/>
      </c>
      <c r="H813" s="17" t="str">
        <f aca="false">IF(TRIM(B813)="","",UPPER(TRIM(B813)))</f>
        <v/>
      </c>
    </row>
    <row r="814" customFormat="false" ht="14.25" hidden="false" customHeight="true" outlineLevel="0" collapsed="false">
      <c r="D814" s="17"/>
      <c r="G814" s="17" t="str">
        <f aca="false">IF(TRIM(C814)="","",IFERROR(INDEX('Code Aliases'!$B:$B,MATCH(TRIM(C814),'Code Aliases'!$A:$A,0)),TRIM(C814)))</f>
        <v/>
      </c>
      <c r="H814" s="17" t="str">
        <f aca="false">IF(TRIM(B814)="","",UPPER(TRIM(B814)))</f>
        <v/>
      </c>
    </row>
    <row r="815" customFormat="false" ht="14.25" hidden="false" customHeight="true" outlineLevel="0" collapsed="false">
      <c r="D815" s="17"/>
      <c r="G815" s="17" t="str">
        <f aca="false">IF(TRIM(C815)="","",IFERROR(INDEX('Code Aliases'!$B:$B,MATCH(TRIM(C815),'Code Aliases'!$A:$A,0)),TRIM(C815)))</f>
        <v/>
      </c>
      <c r="H815" s="17" t="str">
        <f aca="false">IF(TRIM(B815)="","",UPPER(TRIM(B815)))</f>
        <v/>
      </c>
    </row>
    <row r="816" customFormat="false" ht="14.25" hidden="false" customHeight="true" outlineLevel="0" collapsed="false">
      <c r="D816" s="17"/>
      <c r="G816" s="17" t="str">
        <f aca="false">IF(TRIM(C816)="","",IFERROR(INDEX('Code Aliases'!$B:$B,MATCH(TRIM(C816),'Code Aliases'!$A:$A,0)),TRIM(C816)))</f>
        <v/>
      </c>
      <c r="H816" s="17" t="str">
        <f aca="false">IF(TRIM(B816)="","",UPPER(TRIM(B816)))</f>
        <v/>
      </c>
    </row>
    <row r="817" customFormat="false" ht="14.25" hidden="false" customHeight="true" outlineLevel="0" collapsed="false">
      <c r="D817" s="17"/>
      <c r="G817" s="17" t="str">
        <f aca="false">IF(TRIM(C817)="","",IFERROR(INDEX('Code Aliases'!$B:$B,MATCH(TRIM(C817),'Code Aliases'!$A:$A,0)),TRIM(C817)))</f>
        <v/>
      </c>
      <c r="H817" s="17" t="str">
        <f aca="false">IF(TRIM(B817)="","",UPPER(TRIM(B817)))</f>
        <v/>
      </c>
    </row>
    <row r="818" customFormat="false" ht="14.25" hidden="false" customHeight="true" outlineLevel="0" collapsed="false">
      <c r="D818" s="17"/>
      <c r="G818" s="17" t="str">
        <f aca="false">IF(TRIM(C818)="","",IFERROR(INDEX('Code Aliases'!$B:$B,MATCH(TRIM(C818),'Code Aliases'!$A:$A,0)),TRIM(C818)))</f>
        <v/>
      </c>
      <c r="H818" s="17" t="str">
        <f aca="false">IF(TRIM(B818)="","",UPPER(TRIM(B818)))</f>
        <v/>
      </c>
    </row>
    <row r="819" customFormat="false" ht="14.25" hidden="false" customHeight="true" outlineLevel="0" collapsed="false">
      <c r="D819" s="17"/>
      <c r="G819" s="17" t="str">
        <f aca="false">IF(TRIM(C819)="","",IFERROR(INDEX('Code Aliases'!$B:$B,MATCH(TRIM(C819),'Code Aliases'!$A:$A,0)),TRIM(C819)))</f>
        <v/>
      </c>
      <c r="H819" s="17" t="str">
        <f aca="false">IF(TRIM(B819)="","",UPPER(TRIM(B819)))</f>
        <v/>
      </c>
    </row>
    <row r="820" customFormat="false" ht="14.25" hidden="false" customHeight="true" outlineLevel="0" collapsed="false">
      <c r="D820" s="17"/>
      <c r="G820" s="17" t="str">
        <f aca="false">IF(TRIM(C820)="","",IFERROR(INDEX('Code Aliases'!$B:$B,MATCH(TRIM(C820),'Code Aliases'!$A:$A,0)),TRIM(C820)))</f>
        <v/>
      </c>
      <c r="H820" s="17" t="str">
        <f aca="false">IF(TRIM(B820)="","",UPPER(TRIM(B820)))</f>
        <v/>
      </c>
    </row>
    <row r="821" customFormat="false" ht="14.25" hidden="false" customHeight="true" outlineLevel="0" collapsed="false">
      <c r="D821" s="17"/>
      <c r="G821" s="17" t="str">
        <f aca="false">IF(TRIM(C821)="","",IFERROR(INDEX('Code Aliases'!$B:$B,MATCH(TRIM(C821),'Code Aliases'!$A:$A,0)),TRIM(C821)))</f>
        <v/>
      </c>
      <c r="H821" s="17" t="str">
        <f aca="false">IF(TRIM(B821)="","",UPPER(TRIM(B821)))</f>
        <v/>
      </c>
    </row>
    <row r="822" customFormat="false" ht="14.25" hidden="false" customHeight="true" outlineLevel="0" collapsed="false">
      <c r="D822" s="17"/>
      <c r="G822" s="17" t="str">
        <f aca="false">IF(TRIM(C822)="","",IFERROR(INDEX('Code Aliases'!$B:$B,MATCH(TRIM(C822),'Code Aliases'!$A:$A,0)),TRIM(C822)))</f>
        <v/>
      </c>
      <c r="H822" s="17" t="str">
        <f aca="false">IF(TRIM(B822)="","",UPPER(TRIM(B822)))</f>
        <v/>
      </c>
    </row>
    <row r="823" customFormat="false" ht="14.25" hidden="false" customHeight="true" outlineLevel="0" collapsed="false">
      <c r="D823" s="17"/>
      <c r="G823" s="17" t="str">
        <f aca="false">IF(TRIM(C823)="","",IFERROR(INDEX('Code Aliases'!$B:$B,MATCH(TRIM(C823),'Code Aliases'!$A:$A,0)),TRIM(C823)))</f>
        <v/>
      </c>
      <c r="H823" s="17" t="str">
        <f aca="false">IF(TRIM(B823)="","",UPPER(TRIM(B823)))</f>
        <v/>
      </c>
    </row>
    <row r="824" customFormat="false" ht="14.25" hidden="false" customHeight="true" outlineLevel="0" collapsed="false">
      <c r="D824" s="17"/>
      <c r="G824" s="17" t="str">
        <f aca="false">IF(TRIM(C824)="","",IFERROR(INDEX('Code Aliases'!$B:$B,MATCH(TRIM(C824),'Code Aliases'!$A:$A,0)),TRIM(C824)))</f>
        <v/>
      </c>
      <c r="H824" s="17" t="str">
        <f aca="false">IF(TRIM(B824)="","",UPPER(TRIM(B824)))</f>
        <v/>
      </c>
    </row>
    <row r="825" customFormat="false" ht="14.25" hidden="false" customHeight="true" outlineLevel="0" collapsed="false">
      <c r="D825" s="17"/>
      <c r="G825" s="17" t="str">
        <f aca="false">IF(TRIM(C825)="","",IFERROR(INDEX('Code Aliases'!$B:$B,MATCH(TRIM(C825),'Code Aliases'!$A:$A,0)),TRIM(C825)))</f>
        <v/>
      </c>
      <c r="H825" s="17" t="str">
        <f aca="false">IF(TRIM(B825)="","",UPPER(TRIM(B825)))</f>
        <v/>
      </c>
    </row>
    <row r="826" customFormat="false" ht="14.25" hidden="false" customHeight="true" outlineLevel="0" collapsed="false">
      <c r="D826" s="17"/>
      <c r="G826" s="17" t="str">
        <f aca="false">IF(TRIM(C826)="","",IFERROR(INDEX('Code Aliases'!$B:$B,MATCH(TRIM(C826),'Code Aliases'!$A:$A,0)),TRIM(C826)))</f>
        <v/>
      </c>
      <c r="H826" s="17" t="str">
        <f aca="false">IF(TRIM(B826)="","",UPPER(TRIM(B826)))</f>
        <v/>
      </c>
    </row>
    <row r="827" customFormat="false" ht="14.25" hidden="false" customHeight="true" outlineLevel="0" collapsed="false">
      <c r="D827" s="17"/>
      <c r="G827" s="17" t="str">
        <f aca="false">IF(TRIM(C827)="","",IFERROR(INDEX('Code Aliases'!$B:$B,MATCH(TRIM(C827),'Code Aliases'!$A:$A,0)),TRIM(C827)))</f>
        <v/>
      </c>
      <c r="H827" s="17" t="str">
        <f aca="false">IF(TRIM(B827)="","",UPPER(TRIM(B827)))</f>
        <v/>
      </c>
    </row>
    <row r="828" customFormat="false" ht="14.25" hidden="false" customHeight="true" outlineLevel="0" collapsed="false">
      <c r="D828" s="17"/>
      <c r="G828" s="17" t="str">
        <f aca="false">IF(TRIM(C828)="","",IFERROR(INDEX('Code Aliases'!$B:$B,MATCH(TRIM(C828),'Code Aliases'!$A:$A,0)),TRIM(C828)))</f>
        <v/>
      </c>
      <c r="H828" s="17" t="str">
        <f aca="false">IF(TRIM(B828)="","",UPPER(TRIM(B828)))</f>
        <v/>
      </c>
    </row>
    <row r="829" customFormat="false" ht="14.25" hidden="false" customHeight="true" outlineLevel="0" collapsed="false">
      <c r="D829" s="17"/>
      <c r="G829" s="17" t="str">
        <f aca="false">IF(TRIM(C829)="","",IFERROR(INDEX('Code Aliases'!$B:$B,MATCH(TRIM(C829),'Code Aliases'!$A:$A,0)),TRIM(C829)))</f>
        <v/>
      </c>
      <c r="H829" s="17" t="str">
        <f aca="false">IF(TRIM(B829)="","",UPPER(TRIM(B829)))</f>
        <v/>
      </c>
    </row>
    <row r="830" customFormat="false" ht="14.25" hidden="false" customHeight="true" outlineLevel="0" collapsed="false">
      <c r="D830" s="17"/>
      <c r="G830" s="17" t="str">
        <f aca="false">IF(TRIM(C830)="","",IFERROR(INDEX('Code Aliases'!$B:$B,MATCH(TRIM(C830),'Code Aliases'!$A:$A,0)),TRIM(C830)))</f>
        <v/>
      </c>
      <c r="H830" s="17" t="str">
        <f aca="false">IF(TRIM(B830)="","",UPPER(TRIM(B830)))</f>
        <v/>
      </c>
    </row>
    <row r="831" customFormat="false" ht="14.25" hidden="false" customHeight="true" outlineLevel="0" collapsed="false">
      <c r="D831" s="17"/>
      <c r="G831" s="17" t="str">
        <f aca="false">IF(TRIM(C831)="","",IFERROR(INDEX('Code Aliases'!$B:$B,MATCH(TRIM(C831),'Code Aliases'!$A:$A,0)),TRIM(C831)))</f>
        <v/>
      </c>
      <c r="H831" s="17" t="str">
        <f aca="false">IF(TRIM(B831)="","",UPPER(TRIM(B831)))</f>
        <v/>
      </c>
    </row>
    <row r="832" customFormat="false" ht="14.25" hidden="false" customHeight="true" outlineLevel="0" collapsed="false">
      <c r="D832" s="17"/>
      <c r="G832" s="17" t="str">
        <f aca="false">IF(TRIM(C832)="","",IFERROR(INDEX('Code Aliases'!$B:$B,MATCH(TRIM(C832),'Code Aliases'!$A:$A,0)),TRIM(C832)))</f>
        <v/>
      </c>
      <c r="H832" s="17" t="str">
        <f aca="false">IF(TRIM(B832)="","",UPPER(TRIM(B832)))</f>
        <v/>
      </c>
    </row>
    <row r="833" customFormat="false" ht="14.25" hidden="false" customHeight="true" outlineLevel="0" collapsed="false">
      <c r="D833" s="17"/>
      <c r="G833" s="17" t="str">
        <f aca="false">IF(TRIM(C833)="","",IFERROR(INDEX('Code Aliases'!$B:$B,MATCH(TRIM(C833),'Code Aliases'!$A:$A,0)),TRIM(C833)))</f>
        <v/>
      </c>
      <c r="H833" s="17" t="str">
        <f aca="false">IF(TRIM(B833)="","",UPPER(TRIM(B833)))</f>
        <v/>
      </c>
    </row>
    <row r="834" customFormat="false" ht="14.25" hidden="false" customHeight="true" outlineLevel="0" collapsed="false">
      <c r="D834" s="17"/>
      <c r="G834" s="17" t="str">
        <f aca="false">IF(TRIM(C834)="","",IFERROR(INDEX('Code Aliases'!$B:$B,MATCH(TRIM(C834),'Code Aliases'!$A:$A,0)),TRIM(C834)))</f>
        <v/>
      </c>
      <c r="H834" s="17" t="str">
        <f aca="false">IF(TRIM(B834)="","",UPPER(TRIM(B834)))</f>
        <v/>
      </c>
    </row>
    <row r="835" customFormat="false" ht="14.25" hidden="false" customHeight="true" outlineLevel="0" collapsed="false">
      <c r="D835" s="17"/>
      <c r="G835" s="17" t="str">
        <f aca="false">IF(TRIM(C835)="","",IFERROR(INDEX('Code Aliases'!$B:$B,MATCH(TRIM(C835),'Code Aliases'!$A:$A,0)),TRIM(C835)))</f>
        <v/>
      </c>
      <c r="H835" s="17" t="str">
        <f aca="false">IF(TRIM(B835)="","",UPPER(TRIM(B835)))</f>
        <v/>
      </c>
    </row>
    <row r="836" customFormat="false" ht="14.25" hidden="false" customHeight="true" outlineLevel="0" collapsed="false">
      <c r="D836" s="17"/>
      <c r="G836" s="17" t="str">
        <f aca="false">IF(TRIM(C836)="","",IFERROR(INDEX('Code Aliases'!$B:$B,MATCH(TRIM(C836),'Code Aliases'!$A:$A,0)),TRIM(C836)))</f>
        <v/>
      </c>
      <c r="H836" s="17" t="str">
        <f aca="false">IF(TRIM(B836)="","",UPPER(TRIM(B836)))</f>
        <v/>
      </c>
    </row>
    <row r="837" customFormat="false" ht="14.25" hidden="false" customHeight="true" outlineLevel="0" collapsed="false">
      <c r="D837" s="17"/>
      <c r="G837" s="17" t="str">
        <f aca="false">IF(TRIM(C837)="","",IFERROR(INDEX('Code Aliases'!$B:$B,MATCH(TRIM(C837),'Code Aliases'!$A:$A,0)),TRIM(C837)))</f>
        <v/>
      </c>
      <c r="H837" s="17" t="str">
        <f aca="false">IF(TRIM(B837)="","",UPPER(TRIM(B837)))</f>
        <v/>
      </c>
    </row>
    <row r="838" customFormat="false" ht="14.25" hidden="false" customHeight="true" outlineLevel="0" collapsed="false">
      <c r="D838" s="17"/>
      <c r="G838" s="17" t="str">
        <f aca="false">IF(TRIM(C838)="","",IFERROR(INDEX('Code Aliases'!$B:$B,MATCH(TRIM(C838),'Code Aliases'!$A:$A,0)),TRIM(C838)))</f>
        <v/>
      </c>
      <c r="H838" s="17" t="str">
        <f aca="false">IF(TRIM(B838)="","",UPPER(TRIM(B838)))</f>
        <v/>
      </c>
    </row>
    <row r="839" customFormat="false" ht="14.25" hidden="false" customHeight="true" outlineLevel="0" collapsed="false">
      <c r="D839" s="17"/>
      <c r="G839" s="17" t="str">
        <f aca="false">IF(TRIM(C839)="","",IFERROR(INDEX('Code Aliases'!$B:$B,MATCH(TRIM(C839),'Code Aliases'!$A:$A,0)),TRIM(C839)))</f>
        <v/>
      </c>
      <c r="H839" s="17" t="str">
        <f aca="false">IF(TRIM(B839)="","",UPPER(TRIM(B839)))</f>
        <v/>
      </c>
    </row>
    <row r="840" customFormat="false" ht="14.25" hidden="false" customHeight="true" outlineLevel="0" collapsed="false">
      <c r="D840" s="17"/>
      <c r="G840" s="17" t="str">
        <f aca="false">IF(TRIM(C840)="","",IFERROR(INDEX('Code Aliases'!$B:$B,MATCH(TRIM(C840),'Code Aliases'!$A:$A,0)),TRIM(C840)))</f>
        <v/>
      </c>
      <c r="H840" s="17" t="str">
        <f aca="false">IF(TRIM(B840)="","",UPPER(TRIM(B840)))</f>
        <v/>
      </c>
    </row>
    <row r="841" customFormat="false" ht="14.25" hidden="false" customHeight="true" outlineLevel="0" collapsed="false">
      <c r="D841" s="17"/>
      <c r="G841" s="17" t="str">
        <f aca="false">IF(TRIM(C841)="","",IFERROR(INDEX('Code Aliases'!$B:$B,MATCH(TRIM(C841),'Code Aliases'!$A:$A,0)),TRIM(C841)))</f>
        <v/>
      </c>
      <c r="H841" s="17" t="str">
        <f aca="false">IF(TRIM(B841)="","",UPPER(TRIM(B841)))</f>
        <v/>
      </c>
    </row>
    <row r="842" customFormat="false" ht="14.25" hidden="false" customHeight="true" outlineLevel="0" collapsed="false">
      <c r="D842" s="17"/>
      <c r="G842" s="17" t="str">
        <f aca="false">IF(TRIM(C842)="","",IFERROR(INDEX('Code Aliases'!$B:$B,MATCH(TRIM(C842),'Code Aliases'!$A:$A,0)),TRIM(C842)))</f>
        <v/>
      </c>
      <c r="H842" s="17" t="str">
        <f aca="false">IF(TRIM(B842)="","",UPPER(TRIM(B842)))</f>
        <v/>
      </c>
    </row>
    <row r="843" customFormat="false" ht="14.25" hidden="false" customHeight="true" outlineLevel="0" collapsed="false">
      <c r="D843" s="17"/>
      <c r="G843" s="17" t="str">
        <f aca="false">IF(TRIM(C843)="","",IFERROR(INDEX('Code Aliases'!$B:$B,MATCH(TRIM(C843),'Code Aliases'!$A:$A,0)),TRIM(C843)))</f>
        <v/>
      </c>
      <c r="H843" s="17" t="str">
        <f aca="false">IF(TRIM(B843)="","",UPPER(TRIM(B843)))</f>
        <v/>
      </c>
    </row>
    <row r="844" customFormat="false" ht="14.25" hidden="false" customHeight="true" outlineLevel="0" collapsed="false">
      <c r="D844" s="17"/>
      <c r="G844" s="17" t="str">
        <f aca="false">IF(TRIM(C844)="","",IFERROR(INDEX('Code Aliases'!$B:$B,MATCH(TRIM(C844),'Code Aliases'!$A:$A,0)),TRIM(C844)))</f>
        <v/>
      </c>
      <c r="H844" s="17" t="str">
        <f aca="false">IF(TRIM(B844)="","",UPPER(TRIM(B844)))</f>
        <v/>
      </c>
    </row>
    <row r="845" customFormat="false" ht="14.25" hidden="false" customHeight="true" outlineLevel="0" collapsed="false">
      <c r="D845" s="17"/>
      <c r="G845" s="17" t="str">
        <f aca="false">IF(TRIM(C845)="","",IFERROR(INDEX('Code Aliases'!$B:$B,MATCH(TRIM(C845),'Code Aliases'!$A:$A,0)),TRIM(C845)))</f>
        <v/>
      </c>
      <c r="H845" s="17" t="str">
        <f aca="false">IF(TRIM(B845)="","",UPPER(TRIM(B845)))</f>
        <v/>
      </c>
    </row>
    <row r="846" customFormat="false" ht="14.25" hidden="false" customHeight="true" outlineLevel="0" collapsed="false">
      <c r="D846" s="17"/>
      <c r="G846" s="17" t="str">
        <f aca="false">IF(TRIM(C846)="","",IFERROR(INDEX('Code Aliases'!$B:$B,MATCH(TRIM(C846),'Code Aliases'!$A:$A,0)),TRIM(C846)))</f>
        <v/>
      </c>
      <c r="H846" s="17" t="str">
        <f aca="false">IF(TRIM(B846)="","",UPPER(TRIM(B846)))</f>
        <v/>
      </c>
    </row>
    <row r="847" customFormat="false" ht="14.25" hidden="false" customHeight="true" outlineLevel="0" collapsed="false">
      <c r="D847" s="17"/>
      <c r="G847" s="17" t="str">
        <f aca="false">IF(TRIM(C847)="","",IFERROR(INDEX('Code Aliases'!$B:$B,MATCH(TRIM(C847),'Code Aliases'!$A:$A,0)),TRIM(C847)))</f>
        <v/>
      </c>
      <c r="H847" s="17" t="str">
        <f aca="false">IF(TRIM(B847)="","",UPPER(TRIM(B847)))</f>
        <v/>
      </c>
    </row>
    <row r="848" customFormat="false" ht="14.25" hidden="false" customHeight="true" outlineLevel="0" collapsed="false">
      <c r="D848" s="17"/>
      <c r="G848" s="17" t="str">
        <f aca="false">IF(TRIM(C848)="","",IFERROR(INDEX('Code Aliases'!$B:$B,MATCH(TRIM(C848),'Code Aliases'!$A:$A,0)),TRIM(C848)))</f>
        <v/>
      </c>
      <c r="H848" s="17" t="str">
        <f aca="false">IF(TRIM(B848)="","",UPPER(TRIM(B848)))</f>
        <v/>
      </c>
    </row>
    <row r="849" customFormat="false" ht="14.25" hidden="false" customHeight="true" outlineLevel="0" collapsed="false">
      <c r="D849" s="17"/>
      <c r="G849" s="17" t="str">
        <f aca="false">IF(TRIM(C849)="","",IFERROR(INDEX('Code Aliases'!$B:$B,MATCH(TRIM(C849),'Code Aliases'!$A:$A,0)),TRIM(C849)))</f>
        <v/>
      </c>
      <c r="H849" s="17" t="str">
        <f aca="false">IF(TRIM(B849)="","",UPPER(TRIM(B849)))</f>
        <v/>
      </c>
    </row>
    <row r="850" customFormat="false" ht="14.25" hidden="false" customHeight="true" outlineLevel="0" collapsed="false">
      <c r="D850" s="17"/>
      <c r="G850" s="17" t="str">
        <f aca="false">IF(TRIM(C850)="","",IFERROR(INDEX('Code Aliases'!$B:$B,MATCH(TRIM(C850),'Code Aliases'!$A:$A,0)),TRIM(C850)))</f>
        <v/>
      </c>
      <c r="H850" s="17" t="str">
        <f aca="false">IF(TRIM(B850)="","",UPPER(TRIM(B850)))</f>
        <v/>
      </c>
    </row>
    <row r="851" customFormat="false" ht="14.25" hidden="false" customHeight="true" outlineLevel="0" collapsed="false">
      <c r="D851" s="17"/>
      <c r="G851" s="17" t="str">
        <f aca="false">IF(TRIM(C851)="","",IFERROR(INDEX('Code Aliases'!$B:$B,MATCH(TRIM(C851),'Code Aliases'!$A:$A,0)),TRIM(C851)))</f>
        <v/>
      </c>
      <c r="H851" s="17" t="str">
        <f aca="false">IF(TRIM(B851)="","",UPPER(TRIM(B851)))</f>
        <v/>
      </c>
    </row>
    <row r="852" customFormat="false" ht="14.25" hidden="false" customHeight="true" outlineLevel="0" collapsed="false">
      <c r="D852" s="17"/>
      <c r="G852" s="17" t="str">
        <f aca="false">IF(TRIM(C852)="","",IFERROR(INDEX('Code Aliases'!$B:$B,MATCH(TRIM(C852),'Code Aliases'!$A:$A,0)),TRIM(C852)))</f>
        <v/>
      </c>
      <c r="H852" s="17" t="str">
        <f aca="false">IF(TRIM(B852)="","",UPPER(TRIM(B852)))</f>
        <v/>
      </c>
    </row>
    <row r="853" customFormat="false" ht="14.25" hidden="false" customHeight="true" outlineLevel="0" collapsed="false">
      <c r="D853" s="17"/>
      <c r="G853" s="17" t="str">
        <f aca="false">IF(TRIM(C853)="","",IFERROR(INDEX('Code Aliases'!$B:$B,MATCH(TRIM(C853),'Code Aliases'!$A:$A,0)),TRIM(C853)))</f>
        <v/>
      </c>
      <c r="H853" s="17" t="str">
        <f aca="false">IF(TRIM(B853)="","",UPPER(TRIM(B853)))</f>
        <v/>
      </c>
    </row>
    <row r="854" customFormat="false" ht="14.25" hidden="false" customHeight="true" outlineLevel="0" collapsed="false">
      <c r="D854" s="17"/>
      <c r="G854" s="17" t="str">
        <f aca="false">IF(TRIM(C854)="","",IFERROR(INDEX('Code Aliases'!$B:$B,MATCH(TRIM(C854),'Code Aliases'!$A:$A,0)),TRIM(C854)))</f>
        <v/>
      </c>
      <c r="H854" s="17" t="str">
        <f aca="false">IF(TRIM(B854)="","",UPPER(TRIM(B854)))</f>
        <v/>
      </c>
    </row>
    <row r="855" customFormat="false" ht="14.25" hidden="false" customHeight="true" outlineLevel="0" collapsed="false">
      <c r="D855" s="17"/>
      <c r="G855" s="17" t="str">
        <f aca="false">IF(TRIM(C855)="","",IFERROR(INDEX('Code Aliases'!$B:$B,MATCH(TRIM(C855),'Code Aliases'!$A:$A,0)),TRIM(C855)))</f>
        <v/>
      </c>
      <c r="H855" s="17" t="str">
        <f aca="false">IF(TRIM(B855)="","",UPPER(TRIM(B855)))</f>
        <v/>
      </c>
    </row>
    <row r="856" customFormat="false" ht="14.25" hidden="false" customHeight="true" outlineLevel="0" collapsed="false">
      <c r="D856" s="17"/>
      <c r="G856" s="17" t="str">
        <f aca="false">IF(TRIM(C856)="","",IFERROR(INDEX('Code Aliases'!$B:$B,MATCH(TRIM(C856),'Code Aliases'!$A:$A,0)),TRIM(C856)))</f>
        <v/>
      </c>
      <c r="H856" s="17" t="str">
        <f aca="false">IF(TRIM(B856)="","",UPPER(TRIM(B856)))</f>
        <v/>
      </c>
    </row>
    <row r="857" customFormat="false" ht="14.25" hidden="false" customHeight="true" outlineLevel="0" collapsed="false">
      <c r="D857" s="17"/>
      <c r="G857" s="17" t="str">
        <f aca="false">IF(TRIM(C857)="","",IFERROR(INDEX('Code Aliases'!$B:$B,MATCH(TRIM(C857),'Code Aliases'!$A:$A,0)),TRIM(C857)))</f>
        <v/>
      </c>
      <c r="H857" s="17" t="str">
        <f aca="false">IF(TRIM(B857)="","",UPPER(TRIM(B857)))</f>
        <v/>
      </c>
    </row>
    <row r="858" customFormat="false" ht="14.25" hidden="false" customHeight="true" outlineLevel="0" collapsed="false">
      <c r="D858" s="17"/>
      <c r="G858" s="17" t="str">
        <f aca="false">IF(TRIM(C858)="","",IFERROR(INDEX('Code Aliases'!$B:$B,MATCH(TRIM(C858),'Code Aliases'!$A:$A,0)),TRIM(C858)))</f>
        <v/>
      </c>
      <c r="H858" s="17" t="str">
        <f aca="false">IF(TRIM(B858)="","",UPPER(TRIM(B858)))</f>
        <v/>
      </c>
    </row>
    <row r="859" customFormat="false" ht="14.25" hidden="false" customHeight="true" outlineLevel="0" collapsed="false">
      <c r="D859" s="17"/>
      <c r="G859" s="17" t="str">
        <f aca="false">IF(TRIM(C859)="","",IFERROR(INDEX('Code Aliases'!$B:$B,MATCH(TRIM(C859),'Code Aliases'!$A:$A,0)),TRIM(C859)))</f>
        <v/>
      </c>
      <c r="H859" s="17" t="str">
        <f aca="false">IF(TRIM(B859)="","",UPPER(TRIM(B859)))</f>
        <v/>
      </c>
    </row>
    <row r="860" customFormat="false" ht="14.25" hidden="false" customHeight="true" outlineLevel="0" collapsed="false">
      <c r="D860" s="17"/>
      <c r="G860" s="17" t="str">
        <f aca="false">IF(TRIM(C860)="","",IFERROR(INDEX('Code Aliases'!$B:$B,MATCH(TRIM(C860),'Code Aliases'!$A:$A,0)),TRIM(C860)))</f>
        <v/>
      </c>
      <c r="H860" s="17" t="str">
        <f aca="false">IF(TRIM(B860)="","",UPPER(TRIM(B860)))</f>
        <v/>
      </c>
    </row>
    <row r="861" customFormat="false" ht="14.25" hidden="false" customHeight="true" outlineLevel="0" collapsed="false">
      <c r="D861" s="17"/>
      <c r="G861" s="17" t="str">
        <f aca="false">IF(TRIM(C861)="","",IFERROR(INDEX('Code Aliases'!$B:$B,MATCH(TRIM(C861),'Code Aliases'!$A:$A,0)),TRIM(C861)))</f>
        <v/>
      </c>
      <c r="H861" s="17" t="str">
        <f aca="false">IF(TRIM(B861)="","",UPPER(TRIM(B861)))</f>
        <v/>
      </c>
    </row>
    <row r="862" customFormat="false" ht="14.25" hidden="false" customHeight="true" outlineLevel="0" collapsed="false">
      <c r="D862" s="17"/>
      <c r="G862" s="17" t="str">
        <f aca="false">IF(TRIM(C862)="","",IFERROR(INDEX('Code Aliases'!$B:$B,MATCH(TRIM(C862),'Code Aliases'!$A:$A,0)),TRIM(C862)))</f>
        <v/>
      </c>
      <c r="H862" s="17" t="str">
        <f aca="false">IF(TRIM(B862)="","",UPPER(TRIM(B862)))</f>
        <v/>
      </c>
    </row>
    <row r="863" customFormat="false" ht="14.25" hidden="false" customHeight="true" outlineLevel="0" collapsed="false">
      <c r="D863" s="17"/>
      <c r="G863" s="17" t="str">
        <f aca="false">IF(TRIM(C863)="","",IFERROR(INDEX('Code Aliases'!$B:$B,MATCH(TRIM(C863),'Code Aliases'!$A:$A,0)),TRIM(C863)))</f>
        <v/>
      </c>
      <c r="H863" s="17" t="str">
        <f aca="false">IF(TRIM(B863)="","",UPPER(TRIM(B863)))</f>
        <v/>
      </c>
    </row>
    <row r="864" customFormat="false" ht="14.25" hidden="false" customHeight="true" outlineLevel="0" collapsed="false">
      <c r="D864" s="17"/>
      <c r="G864" s="17" t="str">
        <f aca="false">IF(TRIM(C864)="","",IFERROR(INDEX('Code Aliases'!$B:$B,MATCH(TRIM(C864),'Code Aliases'!$A:$A,0)),TRIM(C864)))</f>
        <v/>
      </c>
      <c r="H864" s="17" t="str">
        <f aca="false">IF(TRIM(B864)="","",UPPER(TRIM(B864)))</f>
        <v/>
      </c>
    </row>
    <row r="865" customFormat="false" ht="14.25" hidden="false" customHeight="true" outlineLevel="0" collapsed="false">
      <c r="D865" s="17"/>
      <c r="G865" s="17" t="str">
        <f aca="false">IF(TRIM(C865)="","",IFERROR(INDEX('Code Aliases'!$B:$B,MATCH(TRIM(C865),'Code Aliases'!$A:$A,0)),TRIM(C865)))</f>
        <v/>
      </c>
      <c r="H865" s="17" t="str">
        <f aca="false">IF(TRIM(B865)="","",UPPER(TRIM(B865)))</f>
        <v/>
      </c>
    </row>
    <row r="866" customFormat="false" ht="14.25" hidden="false" customHeight="true" outlineLevel="0" collapsed="false">
      <c r="D866" s="17"/>
      <c r="G866" s="17" t="str">
        <f aca="false">IF(TRIM(C866)="","",IFERROR(INDEX('Code Aliases'!$B:$B,MATCH(TRIM(C866),'Code Aliases'!$A:$A,0)),TRIM(C866)))</f>
        <v/>
      </c>
      <c r="H866" s="17" t="str">
        <f aca="false">IF(TRIM(B866)="","",UPPER(TRIM(B866)))</f>
        <v/>
      </c>
    </row>
    <row r="867" customFormat="false" ht="14.25" hidden="false" customHeight="true" outlineLevel="0" collapsed="false">
      <c r="D867" s="17"/>
      <c r="G867" s="17" t="str">
        <f aca="false">IF(TRIM(C867)="","",IFERROR(INDEX('Code Aliases'!$B:$B,MATCH(TRIM(C867),'Code Aliases'!$A:$A,0)),TRIM(C867)))</f>
        <v/>
      </c>
      <c r="H867" s="17" t="str">
        <f aca="false">IF(TRIM(B867)="","",UPPER(TRIM(B867)))</f>
        <v/>
      </c>
    </row>
    <row r="868" customFormat="false" ht="14.25" hidden="false" customHeight="true" outlineLevel="0" collapsed="false">
      <c r="D868" s="17"/>
      <c r="G868" s="17" t="str">
        <f aca="false">IF(TRIM(C868)="","",IFERROR(INDEX('Code Aliases'!$B:$B,MATCH(TRIM(C868),'Code Aliases'!$A:$A,0)),TRIM(C868)))</f>
        <v/>
      </c>
      <c r="H868" s="17" t="str">
        <f aca="false">IF(TRIM(B868)="","",UPPER(TRIM(B868)))</f>
        <v/>
      </c>
    </row>
    <row r="869" customFormat="false" ht="14.25" hidden="false" customHeight="true" outlineLevel="0" collapsed="false">
      <c r="D869" s="17"/>
      <c r="G869" s="17" t="str">
        <f aca="false">IF(TRIM(C869)="","",IFERROR(INDEX('Code Aliases'!$B:$B,MATCH(TRIM(C869),'Code Aliases'!$A:$A,0)),TRIM(C869)))</f>
        <v/>
      </c>
      <c r="H869" s="17" t="str">
        <f aca="false">IF(TRIM(B869)="","",UPPER(TRIM(B869)))</f>
        <v/>
      </c>
    </row>
    <row r="870" customFormat="false" ht="14.25" hidden="false" customHeight="true" outlineLevel="0" collapsed="false">
      <c r="D870" s="17"/>
      <c r="G870" s="17" t="str">
        <f aca="false">IF(TRIM(C870)="","",IFERROR(INDEX('Code Aliases'!$B:$B,MATCH(TRIM(C870),'Code Aliases'!$A:$A,0)),TRIM(C870)))</f>
        <v/>
      </c>
      <c r="H870" s="17" t="str">
        <f aca="false">IF(TRIM(B870)="","",UPPER(TRIM(B870)))</f>
        <v/>
      </c>
    </row>
    <row r="871" customFormat="false" ht="14.25" hidden="false" customHeight="true" outlineLevel="0" collapsed="false">
      <c r="D871" s="17"/>
      <c r="G871" s="17" t="str">
        <f aca="false">IF(TRIM(C871)="","",IFERROR(INDEX('Code Aliases'!$B:$B,MATCH(TRIM(C871),'Code Aliases'!$A:$A,0)),TRIM(C871)))</f>
        <v/>
      </c>
      <c r="H871" s="17" t="str">
        <f aca="false">IF(TRIM(B871)="","",UPPER(TRIM(B871)))</f>
        <v/>
      </c>
    </row>
    <row r="872" customFormat="false" ht="14.25" hidden="false" customHeight="true" outlineLevel="0" collapsed="false">
      <c r="D872" s="17"/>
      <c r="G872" s="17" t="str">
        <f aca="false">IF(TRIM(C872)="","",IFERROR(INDEX('Code Aliases'!$B:$B,MATCH(TRIM(C872),'Code Aliases'!$A:$A,0)),TRIM(C872)))</f>
        <v/>
      </c>
      <c r="H872" s="17" t="str">
        <f aca="false">IF(TRIM(B872)="","",UPPER(TRIM(B872)))</f>
        <v/>
      </c>
    </row>
    <row r="873" customFormat="false" ht="14.25" hidden="false" customHeight="true" outlineLevel="0" collapsed="false">
      <c r="D873" s="17"/>
      <c r="G873" s="17" t="str">
        <f aca="false">IF(TRIM(C873)="","",IFERROR(INDEX('Code Aliases'!$B:$B,MATCH(TRIM(C873),'Code Aliases'!$A:$A,0)),TRIM(C873)))</f>
        <v/>
      </c>
      <c r="H873" s="17" t="str">
        <f aca="false">IF(TRIM(B873)="","",UPPER(TRIM(B873)))</f>
        <v/>
      </c>
    </row>
    <row r="874" customFormat="false" ht="14.25" hidden="false" customHeight="true" outlineLevel="0" collapsed="false">
      <c r="D874" s="17"/>
      <c r="G874" s="17" t="str">
        <f aca="false">IF(TRIM(C874)="","",IFERROR(INDEX('Code Aliases'!$B:$B,MATCH(TRIM(C874),'Code Aliases'!$A:$A,0)),TRIM(C874)))</f>
        <v/>
      </c>
      <c r="H874" s="17" t="str">
        <f aca="false">IF(TRIM(B874)="","",UPPER(TRIM(B874)))</f>
        <v/>
      </c>
    </row>
    <row r="875" customFormat="false" ht="14.25" hidden="false" customHeight="true" outlineLevel="0" collapsed="false">
      <c r="D875" s="17"/>
      <c r="G875" s="17" t="str">
        <f aca="false">IF(TRIM(C875)="","",IFERROR(INDEX('Code Aliases'!$B:$B,MATCH(TRIM(C875),'Code Aliases'!$A:$A,0)),TRIM(C875)))</f>
        <v/>
      </c>
      <c r="H875" s="17" t="str">
        <f aca="false">IF(TRIM(B875)="","",UPPER(TRIM(B875)))</f>
        <v/>
      </c>
    </row>
    <row r="876" customFormat="false" ht="14.25" hidden="false" customHeight="true" outlineLevel="0" collapsed="false">
      <c r="D876" s="17"/>
      <c r="G876" s="17" t="str">
        <f aca="false">IF(TRIM(C876)="","",IFERROR(INDEX('Code Aliases'!$B:$B,MATCH(TRIM(C876),'Code Aliases'!$A:$A,0)),TRIM(C876)))</f>
        <v/>
      </c>
      <c r="H876" s="17" t="str">
        <f aca="false">IF(TRIM(B876)="","",UPPER(TRIM(B876)))</f>
        <v/>
      </c>
    </row>
    <row r="877" customFormat="false" ht="14.25" hidden="false" customHeight="true" outlineLevel="0" collapsed="false">
      <c r="D877" s="17"/>
      <c r="G877" s="17" t="str">
        <f aca="false">IF(TRIM(C877)="","",IFERROR(INDEX('Code Aliases'!$B:$B,MATCH(TRIM(C877),'Code Aliases'!$A:$A,0)),TRIM(C877)))</f>
        <v/>
      </c>
      <c r="H877" s="17" t="str">
        <f aca="false">IF(TRIM(B877)="","",UPPER(TRIM(B877)))</f>
        <v/>
      </c>
    </row>
    <row r="878" customFormat="false" ht="14.25" hidden="false" customHeight="true" outlineLevel="0" collapsed="false">
      <c r="D878" s="17"/>
      <c r="G878" s="17" t="str">
        <f aca="false">IF(TRIM(C878)="","",IFERROR(INDEX('Code Aliases'!$B:$B,MATCH(TRIM(C878),'Code Aliases'!$A:$A,0)),TRIM(C878)))</f>
        <v/>
      </c>
      <c r="H878" s="17" t="str">
        <f aca="false">IF(TRIM(B878)="","",UPPER(TRIM(B878)))</f>
        <v/>
      </c>
    </row>
    <row r="879" customFormat="false" ht="14.25" hidden="false" customHeight="true" outlineLevel="0" collapsed="false">
      <c r="D879" s="17"/>
      <c r="G879" s="17" t="str">
        <f aca="false">IF(TRIM(C879)="","",IFERROR(INDEX('Code Aliases'!$B:$B,MATCH(TRIM(C879),'Code Aliases'!$A:$A,0)),TRIM(C879)))</f>
        <v/>
      </c>
      <c r="H879" s="17" t="str">
        <f aca="false">IF(TRIM(B879)="","",UPPER(TRIM(B879)))</f>
        <v/>
      </c>
    </row>
    <row r="880" customFormat="false" ht="14.25" hidden="false" customHeight="true" outlineLevel="0" collapsed="false">
      <c r="D880" s="17"/>
      <c r="G880" s="17" t="str">
        <f aca="false">IF(TRIM(C880)="","",IFERROR(INDEX('Code Aliases'!$B:$B,MATCH(TRIM(C880),'Code Aliases'!$A:$A,0)),TRIM(C880)))</f>
        <v/>
      </c>
      <c r="H880" s="17" t="str">
        <f aca="false">IF(TRIM(B880)="","",UPPER(TRIM(B880)))</f>
        <v/>
      </c>
    </row>
    <row r="881" customFormat="false" ht="14.25" hidden="false" customHeight="true" outlineLevel="0" collapsed="false">
      <c r="D881" s="17"/>
      <c r="G881" s="17" t="str">
        <f aca="false">IF(TRIM(C881)="","",IFERROR(INDEX('Code Aliases'!$B:$B,MATCH(TRIM(C881),'Code Aliases'!$A:$A,0)),TRIM(C881)))</f>
        <v/>
      </c>
      <c r="H881" s="17" t="str">
        <f aca="false">IF(TRIM(B881)="","",UPPER(TRIM(B881)))</f>
        <v/>
      </c>
    </row>
    <row r="882" customFormat="false" ht="14.25" hidden="false" customHeight="true" outlineLevel="0" collapsed="false">
      <c r="D882" s="17"/>
      <c r="G882" s="17" t="str">
        <f aca="false">IF(TRIM(C882)="","",IFERROR(INDEX('Code Aliases'!$B:$B,MATCH(TRIM(C882),'Code Aliases'!$A:$A,0)),TRIM(C882)))</f>
        <v/>
      </c>
      <c r="H882" s="17" t="str">
        <f aca="false">IF(TRIM(B882)="","",UPPER(TRIM(B882)))</f>
        <v/>
      </c>
    </row>
    <row r="883" customFormat="false" ht="14.25" hidden="false" customHeight="true" outlineLevel="0" collapsed="false">
      <c r="D883" s="17"/>
      <c r="G883" s="17" t="str">
        <f aca="false">IF(TRIM(C883)="","",IFERROR(INDEX('Code Aliases'!$B:$B,MATCH(TRIM(C883),'Code Aliases'!$A:$A,0)),TRIM(C883)))</f>
        <v/>
      </c>
      <c r="H883" s="17" t="str">
        <f aca="false">IF(TRIM(B883)="","",UPPER(TRIM(B883)))</f>
        <v/>
      </c>
    </row>
    <row r="884" customFormat="false" ht="14.25" hidden="false" customHeight="true" outlineLevel="0" collapsed="false">
      <c r="D884" s="17"/>
      <c r="G884" s="17" t="str">
        <f aca="false">IF(TRIM(C884)="","",IFERROR(INDEX('Code Aliases'!$B:$B,MATCH(TRIM(C884),'Code Aliases'!$A:$A,0)),TRIM(C884)))</f>
        <v/>
      </c>
      <c r="H884" s="17" t="str">
        <f aca="false">IF(TRIM(B884)="","",UPPER(TRIM(B884)))</f>
        <v/>
      </c>
    </row>
    <row r="885" customFormat="false" ht="14.25" hidden="false" customHeight="true" outlineLevel="0" collapsed="false">
      <c r="D885" s="17"/>
      <c r="G885" s="17" t="str">
        <f aca="false">IF(TRIM(C885)="","",IFERROR(INDEX('Code Aliases'!$B:$B,MATCH(TRIM(C885),'Code Aliases'!$A:$A,0)),TRIM(C885)))</f>
        <v/>
      </c>
      <c r="H885" s="17" t="str">
        <f aca="false">IF(TRIM(B885)="","",UPPER(TRIM(B885)))</f>
        <v/>
      </c>
    </row>
    <row r="886" customFormat="false" ht="14.25" hidden="false" customHeight="true" outlineLevel="0" collapsed="false">
      <c r="D886" s="17"/>
      <c r="G886" s="17" t="str">
        <f aca="false">IF(TRIM(C886)="","",IFERROR(INDEX('Code Aliases'!$B:$B,MATCH(TRIM(C886),'Code Aliases'!$A:$A,0)),TRIM(C886)))</f>
        <v/>
      </c>
      <c r="H886" s="17" t="str">
        <f aca="false">IF(TRIM(B886)="","",UPPER(TRIM(B886)))</f>
        <v/>
      </c>
    </row>
    <row r="887" customFormat="false" ht="14.25" hidden="false" customHeight="true" outlineLevel="0" collapsed="false">
      <c r="D887" s="17"/>
      <c r="G887" s="17" t="str">
        <f aca="false">IF(TRIM(C887)="","",IFERROR(INDEX('Code Aliases'!$B:$B,MATCH(TRIM(C887),'Code Aliases'!$A:$A,0)),TRIM(C887)))</f>
        <v/>
      </c>
      <c r="H887" s="17" t="str">
        <f aca="false">IF(TRIM(B887)="","",UPPER(TRIM(B887)))</f>
        <v/>
      </c>
    </row>
    <row r="888" customFormat="false" ht="14.25" hidden="false" customHeight="true" outlineLevel="0" collapsed="false">
      <c r="D888" s="17"/>
      <c r="G888" s="17" t="str">
        <f aca="false">IF(TRIM(C888)="","",IFERROR(INDEX('Code Aliases'!$B:$B,MATCH(TRIM(C888),'Code Aliases'!$A:$A,0)),TRIM(C888)))</f>
        <v/>
      </c>
      <c r="H888" s="17" t="str">
        <f aca="false">IF(TRIM(B888)="","",UPPER(TRIM(B888)))</f>
        <v/>
      </c>
    </row>
    <row r="889" customFormat="false" ht="14.25" hidden="false" customHeight="true" outlineLevel="0" collapsed="false">
      <c r="D889" s="17"/>
      <c r="G889" s="17" t="str">
        <f aca="false">IF(TRIM(C889)="","",IFERROR(INDEX('Code Aliases'!$B:$B,MATCH(TRIM(C889),'Code Aliases'!$A:$A,0)),TRIM(C889)))</f>
        <v/>
      </c>
      <c r="H889" s="17" t="str">
        <f aca="false">IF(TRIM(B889)="","",UPPER(TRIM(B889)))</f>
        <v/>
      </c>
    </row>
    <row r="890" customFormat="false" ht="14.25" hidden="false" customHeight="true" outlineLevel="0" collapsed="false">
      <c r="D890" s="17"/>
      <c r="G890" s="17" t="str">
        <f aca="false">IF(TRIM(C890)="","",IFERROR(INDEX('Code Aliases'!$B:$B,MATCH(TRIM(C890),'Code Aliases'!$A:$A,0)),TRIM(C890)))</f>
        <v/>
      </c>
      <c r="H890" s="17" t="str">
        <f aca="false">IF(TRIM(B890)="","",UPPER(TRIM(B890)))</f>
        <v/>
      </c>
    </row>
    <row r="891" customFormat="false" ht="14.25" hidden="false" customHeight="true" outlineLevel="0" collapsed="false">
      <c r="D891" s="17"/>
      <c r="G891" s="17" t="str">
        <f aca="false">IF(TRIM(C891)="","",IFERROR(INDEX('Code Aliases'!$B:$B,MATCH(TRIM(C891),'Code Aliases'!$A:$A,0)),TRIM(C891)))</f>
        <v/>
      </c>
      <c r="H891" s="17" t="str">
        <f aca="false">IF(TRIM(B891)="","",UPPER(TRIM(B891)))</f>
        <v/>
      </c>
    </row>
    <row r="892" customFormat="false" ht="14.25" hidden="false" customHeight="true" outlineLevel="0" collapsed="false">
      <c r="D892" s="17"/>
      <c r="G892" s="17" t="str">
        <f aca="false">IF(TRIM(C892)="","",IFERROR(INDEX('Code Aliases'!$B:$B,MATCH(TRIM(C892),'Code Aliases'!$A:$A,0)),TRIM(C892)))</f>
        <v/>
      </c>
      <c r="H892" s="17" t="str">
        <f aca="false">IF(TRIM(B892)="","",UPPER(TRIM(B892)))</f>
        <v/>
      </c>
    </row>
    <row r="893" customFormat="false" ht="14.25" hidden="false" customHeight="true" outlineLevel="0" collapsed="false">
      <c r="D893" s="17"/>
      <c r="G893" s="17" t="str">
        <f aca="false">IF(TRIM(C893)="","",IFERROR(INDEX('Code Aliases'!$B:$B,MATCH(TRIM(C893),'Code Aliases'!$A:$A,0)),TRIM(C893)))</f>
        <v/>
      </c>
      <c r="H893" s="17" t="str">
        <f aca="false">IF(TRIM(B893)="","",UPPER(TRIM(B893)))</f>
        <v/>
      </c>
    </row>
    <row r="894" customFormat="false" ht="14.25" hidden="false" customHeight="true" outlineLevel="0" collapsed="false">
      <c r="D894" s="17"/>
      <c r="G894" s="17" t="str">
        <f aca="false">IF(TRIM(C894)="","",IFERROR(INDEX('Code Aliases'!$B:$B,MATCH(TRIM(C894),'Code Aliases'!$A:$A,0)),TRIM(C894)))</f>
        <v/>
      </c>
      <c r="H894" s="17" t="str">
        <f aca="false">IF(TRIM(B894)="","",UPPER(TRIM(B894)))</f>
        <v/>
      </c>
    </row>
    <row r="895" customFormat="false" ht="14.25" hidden="false" customHeight="true" outlineLevel="0" collapsed="false">
      <c r="D895" s="17"/>
      <c r="G895" s="17" t="str">
        <f aca="false">IF(TRIM(C895)="","",IFERROR(INDEX('Code Aliases'!$B:$B,MATCH(TRIM(C895),'Code Aliases'!$A:$A,0)),TRIM(C895)))</f>
        <v/>
      </c>
      <c r="H895" s="17" t="str">
        <f aca="false">IF(TRIM(B895)="","",UPPER(TRIM(B895)))</f>
        <v/>
      </c>
    </row>
    <row r="896" customFormat="false" ht="14.25" hidden="false" customHeight="true" outlineLevel="0" collapsed="false">
      <c r="D896" s="17"/>
      <c r="G896" s="17" t="str">
        <f aca="false">IF(TRIM(C896)="","",IFERROR(INDEX('Code Aliases'!$B:$B,MATCH(TRIM(C896),'Code Aliases'!$A:$A,0)),TRIM(C896)))</f>
        <v/>
      </c>
      <c r="H896" s="17" t="str">
        <f aca="false">IF(TRIM(B896)="","",UPPER(TRIM(B896)))</f>
        <v/>
      </c>
    </row>
    <row r="897" customFormat="false" ht="14.25" hidden="false" customHeight="true" outlineLevel="0" collapsed="false">
      <c r="D897" s="17"/>
      <c r="G897" s="17" t="str">
        <f aca="false">IF(TRIM(C897)="","",IFERROR(INDEX('Code Aliases'!$B:$B,MATCH(TRIM(C897),'Code Aliases'!$A:$A,0)),TRIM(C897)))</f>
        <v/>
      </c>
      <c r="H897" s="17" t="str">
        <f aca="false">IF(TRIM(B897)="","",UPPER(TRIM(B897)))</f>
        <v/>
      </c>
    </row>
    <row r="898" customFormat="false" ht="14.25" hidden="false" customHeight="true" outlineLevel="0" collapsed="false">
      <c r="D898" s="17"/>
      <c r="G898" s="17" t="str">
        <f aca="false">IF(TRIM(C898)="","",IFERROR(INDEX('Code Aliases'!$B:$B,MATCH(TRIM(C898),'Code Aliases'!$A:$A,0)),TRIM(C898)))</f>
        <v/>
      </c>
      <c r="H898" s="17" t="str">
        <f aca="false">IF(TRIM(B898)="","",UPPER(TRIM(B898)))</f>
        <v/>
      </c>
    </row>
    <row r="899" customFormat="false" ht="14.25" hidden="false" customHeight="true" outlineLevel="0" collapsed="false">
      <c r="D899" s="17"/>
      <c r="G899" s="17" t="str">
        <f aca="false">IF(TRIM(C899)="","",IFERROR(INDEX('Code Aliases'!$B:$B,MATCH(TRIM(C899),'Code Aliases'!$A:$A,0)),TRIM(C899)))</f>
        <v/>
      </c>
      <c r="H899" s="17" t="str">
        <f aca="false">IF(TRIM(B899)="","",UPPER(TRIM(B899)))</f>
        <v/>
      </c>
    </row>
    <row r="900" customFormat="false" ht="14.25" hidden="false" customHeight="true" outlineLevel="0" collapsed="false">
      <c r="D900" s="17"/>
      <c r="G900" s="17" t="str">
        <f aca="false">IF(TRIM(C900)="","",IFERROR(INDEX('Code Aliases'!$B:$B,MATCH(TRIM(C900),'Code Aliases'!$A:$A,0)),TRIM(C900)))</f>
        <v/>
      </c>
      <c r="H900" s="17" t="str">
        <f aca="false">IF(TRIM(B900)="","",UPPER(TRIM(B900)))</f>
        <v/>
      </c>
    </row>
    <row r="901" customFormat="false" ht="14.25" hidden="false" customHeight="true" outlineLevel="0" collapsed="false">
      <c r="D901" s="17"/>
      <c r="G901" s="17" t="str">
        <f aca="false">IF(TRIM(C901)="","",IFERROR(INDEX('Code Aliases'!$B:$B,MATCH(TRIM(C901),'Code Aliases'!$A:$A,0)),TRIM(C901)))</f>
        <v/>
      </c>
      <c r="H901" s="17" t="str">
        <f aca="false">IF(TRIM(B901)="","",UPPER(TRIM(B901)))</f>
        <v/>
      </c>
    </row>
    <row r="902" customFormat="false" ht="14.25" hidden="false" customHeight="true" outlineLevel="0" collapsed="false">
      <c r="D902" s="17"/>
      <c r="G902" s="17" t="str">
        <f aca="false">IF(TRIM(C902)="","",IFERROR(INDEX('Code Aliases'!$B:$B,MATCH(TRIM(C902),'Code Aliases'!$A:$A,0)),TRIM(C902)))</f>
        <v/>
      </c>
      <c r="H902" s="17" t="str">
        <f aca="false">IF(TRIM(B902)="","",UPPER(TRIM(B902)))</f>
        <v/>
      </c>
    </row>
    <row r="903" customFormat="false" ht="14.25" hidden="false" customHeight="true" outlineLevel="0" collapsed="false">
      <c r="D903" s="17"/>
      <c r="G903" s="17" t="str">
        <f aca="false">IF(TRIM(C903)="","",IFERROR(INDEX('Code Aliases'!$B:$B,MATCH(TRIM(C903),'Code Aliases'!$A:$A,0)),TRIM(C903)))</f>
        <v/>
      </c>
      <c r="H903" s="17" t="str">
        <f aca="false">IF(TRIM(B903)="","",UPPER(TRIM(B903)))</f>
        <v/>
      </c>
    </row>
    <row r="904" customFormat="false" ht="14.25" hidden="false" customHeight="true" outlineLevel="0" collapsed="false">
      <c r="D904" s="17"/>
      <c r="G904" s="17" t="str">
        <f aca="false">IF(TRIM(C904)="","",IFERROR(INDEX('Code Aliases'!$B:$B,MATCH(TRIM(C904),'Code Aliases'!$A:$A,0)),TRIM(C904)))</f>
        <v/>
      </c>
      <c r="H904" s="17" t="str">
        <f aca="false">IF(TRIM(B904)="","",UPPER(TRIM(B904)))</f>
        <v/>
      </c>
    </row>
    <row r="905" customFormat="false" ht="14.25" hidden="false" customHeight="true" outlineLevel="0" collapsed="false">
      <c r="D905" s="17"/>
      <c r="G905" s="17" t="str">
        <f aca="false">IF(TRIM(C905)="","",IFERROR(INDEX('Code Aliases'!$B:$B,MATCH(TRIM(C905),'Code Aliases'!$A:$A,0)),TRIM(C905)))</f>
        <v/>
      </c>
      <c r="H905" s="17" t="str">
        <f aca="false">IF(TRIM(B905)="","",UPPER(TRIM(B905)))</f>
        <v/>
      </c>
    </row>
    <row r="906" customFormat="false" ht="14.25" hidden="false" customHeight="true" outlineLevel="0" collapsed="false">
      <c r="D906" s="17"/>
      <c r="G906" s="17" t="str">
        <f aca="false">IF(TRIM(C906)="","",IFERROR(INDEX('Code Aliases'!$B:$B,MATCH(TRIM(C906),'Code Aliases'!$A:$A,0)),TRIM(C906)))</f>
        <v/>
      </c>
      <c r="H906" s="17" t="str">
        <f aca="false">IF(TRIM(B906)="","",UPPER(TRIM(B906)))</f>
        <v/>
      </c>
    </row>
    <row r="907" customFormat="false" ht="14.25" hidden="false" customHeight="true" outlineLevel="0" collapsed="false">
      <c r="D907" s="17"/>
      <c r="G907" s="17" t="str">
        <f aca="false">IF(TRIM(C907)="","",IFERROR(INDEX('Code Aliases'!$B:$B,MATCH(TRIM(C907),'Code Aliases'!$A:$A,0)),TRIM(C907)))</f>
        <v/>
      </c>
      <c r="H907" s="17" t="str">
        <f aca="false">IF(TRIM(B907)="","",UPPER(TRIM(B907)))</f>
        <v/>
      </c>
    </row>
    <row r="908" customFormat="false" ht="14.25" hidden="false" customHeight="true" outlineLevel="0" collapsed="false">
      <c r="D908" s="17"/>
      <c r="G908" s="17" t="str">
        <f aca="false">IF(TRIM(C908)="","",IFERROR(INDEX('Code Aliases'!$B:$B,MATCH(TRIM(C908),'Code Aliases'!$A:$A,0)),TRIM(C908)))</f>
        <v/>
      </c>
      <c r="H908" s="17" t="str">
        <f aca="false">IF(TRIM(B908)="","",UPPER(TRIM(B908)))</f>
        <v/>
      </c>
    </row>
    <row r="909" customFormat="false" ht="14.25" hidden="false" customHeight="true" outlineLevel="0" collapsed="false">
      <c r="D909" s="17"/>
      <c r="G909" s="17" t="str">
        <f aca="false">IF(TRIM(C909)="","",IFERROR(INDEX('Code Aliases'!$B:$B,MATCH(TRIM(C909),'Code Aliases'!$A:$A,0)),TRIM(C909)))</f>
        <v/>
      </c>
      <c r="H909" s="17" t="str">
        <f aca="false">IF(TRIM(B909)="","",UPPER(TRIM(B909)))</f>
        <v/>
      </c>
    </row>
    <row r="910" customFormat="false" ht="14.25" hidden="false" customHeight="true" outlineLevel="0" collapsed="false">
      <c r="D910" s="17"/>
      <c r="G910" s="17" t="str">
        <f aca="false">IF(TRIM(C910)="","",IFERROR(INDEX('Code Aliases'!$B:$B,MATCH(TRIM(C910),'Code Aliases'!$A:$A,0)),TRIM(C910)))</f>
        <v/>
      </c>
      <c r="H910" s="17" t="str">
        <f aca="false">IF(TRIM(B910)="","",UPPER(TRIM(B910)))</f>
        <v/>
      </c>
    </row>
    <row r="911" customFormat="false" ht="14.25" hidden="false" customHeight="true" outlineLevel="0" collapsed="false">
      <c r="D911" s="17"/>
      <c r="G911" s="17" t="str">
        <f aca="false">IF(TRIM(C911)="","",IFERROR(INDEX('Code Aliases'!$B:$B,MATCH(TRIM(C911),'Code Aliases'!$A:$A,0)),TRIM(C911)))</f>
        <v/>
      </c>
      <c r="H911" s="17" t="str">
        <f aca="false">IF(TRIM(B911)="","",UPPER(TRIM(B911)))</f>
        <v/>
      </c>
    </row>
    <row r="912" customFormat="false" ht="14.25" hidden="false" customHeight="true" outlineLevel="0" collapsed="false">
      <c r="D912" s="17"/>
      <c r="G912" s="17" t="str">
        <f aca="false">IF(TRIM(C912)="","",IFERROR(INDEX('Code Aliases'!$B:$B,MATCH(TRIM(C912),'Code Aliases'!$A:$A,0)),TRIM(C912)))</f>
        <v/>
      </c>
      <c r="H912" s="17" t="str">
        <f aca="false">IF(TRIM(B912)="","",UPPER(TRIM(B912)))</f>
        <v/>
      </c>
    </row>
    <row r="913" customFormat="false" ht="14.25" hidden="false" customHeight="true" outlineLevel="0" collapsed="false">
      <c r="D913" s="17"/>
      <c r="G913" s="17" t="str">
        <f aca="false">IF(TRIM(C913)="","",IFERROR(INDEX('Code Aliases'!$B:$B,MATCH(TRIM(C913),'Code Aliases'!$A:$A,0)),TRIM(C913)))</f>
        <v/>
      </c>
      <c r="H913" s="17" t="str">
        <f aca="false">IF(TRIM(B913)="","",UPPER(TRIM(B913)))</f>
        <v/>
      </c>
    </row>
    <row r="914" customFormat="false" ht="14.25" hidden="false" customHeight="true" outlineLevel="0" collapsed="false">
      <c r="D914" s="17"/>
      <c r="G914" s="17" t="str">
        <f aca="false">IF(TRIM(C914)="","",IFERROR(INDEX('Code Aliases'!$B:$B,MATCH(TRIM(C914),'Code Aliases'!$A:$A,0)),TRIM(C914)))</f>
        <v/>
      </c>
      <c r="H914" s="17" t="str">
        <f aca="false">IF(TRIM(B914)="","",UPPER(TRIM(B914)))</f>
        <v/>
      </c>
    </row>
    <row r="915" customFormat="false" ht="14.25" hidden="false" customHeight="true" outlineLevel="0" collapsed="false">
      <c r="D915" s="17"/>
      <c r="G915" s="17" t="str">
        <f aca="false">IF(TRIM(C915)="","",IFERROR(INDEX('Code Aliases'!$B:$B,MATCH(TRIM(C915),'Code Aliases'!$A:$A,0)),TRIM(C915)))</f>
        <v/>
      </c>
      <c r="H915" s="17" t="str">
        <f aca="false">IF(TRIM(B915)="","",UPPER(TRIM(B915)))</f>
        <v/>
      </c>
    </row>
    <row r="916" customFormat="false" ht="14.25" hidden="false" customHeight="true" outlineLevel="0" collapsed="false">
      <c r="D916" s="17"/>
      <c r="G916" s="17" t="str">
        <f aca="false">IF(TRIM(C916)="","",IFERROR(INDEX('Code Aliases'!$B:$B,MATCH(TRIM(C916),'Code Aliases'!$A:$A,0)),TRIM(C916)))</f>
        <v/>
      </c>
      <c r="H916" s="17" t="str">
        <f aca="false">IF(TRIM(B916)="","",UPPER(TRIM(B916)))</f>
        <v/>
      </c>
    </row>
    <row r="917" customFormat="false" ht="14.25" hidden="false" customHeight="true" outlineLevel="0" collapsed="false">
      <c r="D917" s="17"/>
      <c r="G917" s="17" t="str">
        <f aca="false">IF(TRIM(C917)="","",IFERROR(INDEX('Code Aliases'!$B:$B,MATCH(TRIM(C917),'Code Aliases'!$A:$A,0)),TRIM(C917)))</f>
        <v/>
      </c>
      <c r="H917" s="17" t="str">
        <f aca="false">IF(TRIM(B917)="","",UPPER(TRIM(B917)))</f>
        <v/>
      </c>
    </row>
    <row r="918" customFormat="false" ht="14.25" hidden="false" customHeight="true" outlineLevel="0" collapsed="false">
      <c r="D918" s="17"/>
      <c r="G918" s="17" t="str">
        <f aca="false">IF(TRIM(C918)="","",IFERROR(INDEX('Code Aliases'!$B:$B,MATCH(TRIM(C918),'Code Aliases'!$A:$A,0)),TRIM(C918)))</f>
        <v/>
      </c>
      <c r="H918" s="17" t="str">
        <f aca="false">IF(TRIM(B918)="","",UPPER(TRIM(B918)))</f>
        <v/>
      </c>
    </row>
    <row r="919" customFormat="false" ht="14.25" hidden="false" customHeight="true" outlineLevel="0" collapsed="false">
      <c r="D919" s="17"/>
      <c r="G919" s="17" t="str">
        <f aca="false">IF(TRIM(C919)="","",IFERROR(INDEX('Code Aliases'!$B:$B,MATCH(TRIM(C919),'Code Aliases'!$A:$A,0)),TRIM(C919)))</f>
        <v/>
      </c>
      <c r="H919" s="17" t="str">
        <f aca="false">IF(TRIM(B919)="","",UPPER(TRIM(B919)))</f>
        <v/>
      </c>
    </row>
    <row r="920" customFormat="false" ht="14.25" hidden="false" customHeight="true" outlineLevel="0" collapsed="false">
      <c r="D920" s="17"/>
      <c r="G920" s="17" t="str">
        <f aca="false">IF(TRIM(C920)="","",IFERROR(INDEX('Code Aliases'!$B:$B,MATCH(TRIM(C920),'Code Aliases'!$A:$A,0)),TRIM(C920)))</f>
        <v/>
      </c>
      <c r="H920" s="17" t="str">
        <f aca="false">IF(TRIM(B920)="","",UPPER(TRIM(B920)))</f>
        <v/>
      </c>
    </row>
    <row r="921" customFormat="false" ht="14.25" hidden="false" customHeight="true" outlineLevel="0" collapsed="false">
      <c r="D921" s="17"/>
      <c r="G921" s="17" t="str">
        <f aca="false">IF(TRIM(C921)="","",IFERROR(INDEX('Code Aliases'!$B:$B,MATCH(TRIM(C921),'Code Aliases'!$A:$A,0)),TRIM(C921)))</f>
        <v/>
      </c>
      <c r="H921" s="17" t="str">
        <f aca="false">IF(TRIM(B921)="","",UPPER(TRIM(B921)))</f>
        <v/>
      </c>
    </row>
    <row r="922" customFormat="false" ht="14.25" hidden="false" customHeight="true" outlineLevel="0" collapsed="false">
      <c r="D922" s="17"/>
      <c r="G922" s="17" t="str">
        <f aca="false">IF(TRIM(C922)="","",IFERROR(INDEX('Code Aliases'!$B:$B,MATCH(TRIM(C922),'Code Aliases'!$A:$A,0)),TRIM(C922)))</f>
        <v/>
      </c>
      <c r="H922" s="17" t="str">
        <f aca="false">IF(TRIM(B922)="","",UPPER(TRIM(B922)))</f>
        <v/>
      </c>
    </row>
    <row r="923" customFormat="false" ht="14.25" hidden="false" customHeight="true" outlineLevel="0" collapsed="false">
      <c r="D923" s="17"/>
      <c r="G923" s="17" t="str">
        <f aca="false">IF(TRIM(C923)="","",IFERROR(INDEX('Code Aliases'!$B:$B,MATCH(TRIM(C923),'Code Aliases'!$A:$A,0)),TRIM(C923)))</f>
        <v/>
      </c>
      <c r="H923" s="17" t="str">
        <f aca="false">IF(TRIM(B923)="","",UPPER(TRIM(B923)))</f>
        <v/>
      </c>
    </row>
    <row r="924" customFormat="false" ht="14.25" hidden="false" customHeight="true" outlineLevel="0" collapsed="false">
      <c r="D924" s="17"/>
      <c r="G924" s="17" t="str">
        <f aca="false">IF(TRIM(C924)="","",IFERROR(INDEX('Code Aliases'!$B:$B,MATCH(TRIM(C924),'Code Aliases'!$A:$A,0)),TRIM(C924)))</f>
        <v/>
      </c>
      <c r="H924" s="17" t="str">
        <f aca="false">IF(TRIM(B924)="","",UPPER(TRIM(B924)))</f>
        <v/>
      </c>
    </row>
    <row r="925" customFormat="false" ht="14.25" hidden="false" customHeight="true" outlineLevel="0" collapsed="false">
      <c r="D925" s="17"/>
      <c r="G925" s="17" t="str">
        <f aca="false">IF(TRIM(C925)="","",IFERROR(INDEX('Code Aliases'!$B:$B,MATCH(TRIM(C925),'Code Aliases'!$A:$A,0)),TRIM(C925)))</f>
        <v/>
      </c>
      <c r="H925" s="17" t="str">
        <f aca="false">IF(TRIM(B925)="","",UPPER(TRIM(B925)))</f>
        <v/>
      </c>
    </row>
    <row r="926" customFormat="false" ht="14.25" hidden="false" customHeight="true" outlineLevel="0" collapsed="false">
      <c r="D926" s="17"/>
      <c r="G926" s="17" t="str">
        <f aca="false">IF(TRIM(C926)="","",IFERROR(INDEX('Code Aliases'!$B:$B,MATCH(TRIM(C926),'Code Aliases'!$A:$A,0)),TRIM(C926)))</f>
        <v/>
      </c>
      <c r="H926" s="17" t="str">
        <f aca="false">IF(TRIM(B926)="","",UPPER(TRIM(B926)))</f>
        <v/>
      </c>
    </row>
    <row r="927" customFormat="false" ht="14.25" hidden="false" customHeight="true" outlineLevel="0" collapsed="false">
      <c r="D927" s="17"/>
      <c r="G927" s="17" t="str">
        <f aca="false">IF(TRIM(C927)="","",IFERROR(INDEX('Code Aliases'!$B:$B,MATCH(TRIM(C927),'Code Aliases'!$A:$A,0)),TRIM(C927)))</f>
        <v/>
      </c>
      <c r="H927" s="17" t="str">
        <f aca="false">IF(TRIM(B927)="","",UPPER(TRIM(B927)))</f>
        <v/>
      </c>
    </row>
    <row r="928" customFormat="false" ht="14.25" hidden="false" customHeight="true" outlineLevel="0" collapsed="false">
      <c r="D928" s="17"/>
      <c r="G928" s="17" t="str">
        <f aca="false">IF(TRIM(C928)="","",IFERROR(INDEX('Code Aliases'!$B:$B,MATCH(TRIM(C928),'Code Aliases'!$A:$A,0)),TRIM(C928)))</f>
        <v/>
      </c>
      <c r="H928" s="17" t="str">
        <f aca="false">IF(TRIM(B928)="","",UPPER(TRIM(B928)))</f>
        <v/>
      </c>
    </row>
    <row r="929" customFormat="false" ht="14.25" hidden="false" customHeight="true" outlineLevel="0" collapsed="false">
      <c r="D929" s="17"/>
      <c r="G929" s="17" t="str">
        <f aca="false">IF(TRIM(C929)="","",IFERROR(INDEX('Code Aliases'!$B:$B,MATCH(TRIM(C929),'Code Aliases'!$A:$A,0)),TRIM(C929)))</f>
        <v/>
      </c>
      <c r="H929" s="17" t="str">
        <f aca="false">IF(TRIM(B929)="","",UPPER(TRIM(B929)))</f>
        <v/>
      </c>
    </row>
    <row r="930" customFormat="false" ht="14.25" hidden="false" customHeight="true" outlineLevel="0" collapsed="false">
      <c r="D930" s="17"/>
      <c r="G930" s="17" t="str">
        <f aca="false">IF(TRIM(C930)="","",IFERROR(INDEX('Code Aliases'!$B:$B,MATCH(TRIM(C930),'Code Aliases'!$A:$A,0)),TRIM(C930)))</f>
        <v/>
      </c>
      <c r="H930" s="17" t="str">
        <f aca="false">IF(TRIM(B930)="","",UPPER(TRIM(B930)))</f>
        <v/>
      </c>
    </row>
    <row r="931" customFormat="false" ht="14.25" hidden="false" customHeight="true" outlineLevel="0" collapsed="false">
      <c r="D931" s="17"/>
      <c r="G931" s="17" t="str">
        <f aca="false">IF(TRIM(C931)="","",IFERROR(INDEX('Code Aliases'!$B:$B,MATCH(TRIM(C931),'Code Aliases'!$A:$A,0)),TRIM(C931)))</f>
        <v/>
      </c>
      <c r="H931" s="17" t="str">
        <f aca="false">IF(TRIM(B931)="","",UPPER(TRIM(B931)))</f>
        <v/>
      </c>
    </row>
    <row r="932" customFormat="false" ht="14.25" hidden="false" customHeight="true" outlineLevel="0" collapsed="false">
      <c r="D932" s="17"/>
      <c r="G932" s="17" t="str">
        <f aca="false">IF(TRIM(C932)="","",IFERROR(INDEX('Code Aliases'!$B:$B,MATCH(TRIM(C932),'Code Aliases'!$A:$A,0)),TRIM(C932)))</f>
        <v/>
      </c>
      <c r="H932" s="17" t="str">
        <f aca="false">IF(TRIM(B932)="","",UPPER(TRIM(B932)))</f>
        <v/>
      </c>
    </row>
    <row r="933" customFormat="false" ht="14.25" hidden="false" customHeight="true" outlineLevel="0" collapsed="false">
      <c r="D933" s="17"/>
      <c r="G933" s="17" t="str">
        <f aca="false">IF(TRIM(C933)="","",IFERROR(INDEX('Code Aliases'!$B:$B,MATCH(TRIM(C933),'Code Aliases'!$A:$A,0)),TRIM(C933)))</f>
        <v/>
      </c>
      <c r="H933" s="17" t="str">
        <f aca="false">IF(TRIM(B933)="","",UPPER(TRIM(B933)))</f>
        <v/>
      </c>
    </row>
    <row r="934" customFormat="false" ht="14.25" hidden="false" customHeight="true" outlineLevel="0" collapsed="false">
      <c r="D934" s="17"/>
      <c r="G934" s="17" t="str">
        <f aca="false">IF(TRIM(C934)="","",IFERROR(INDEX('Code Aliases'!$B:$B,MATCH(TRIM(C934),'Code Aliases'!$A:$A,0)),TRIM(C934)))</f>
        <v/>
      </c>
      <c r="H934" s="17" t="str">
        <f aca="false">IF(TRIM(B934)="","",UPPER(TRIM(B934)))</f>
        <v/>
      </c>
    </row>
    <row r="935" customFormat="false" ht="14.25" hidden="false" customHeight="true" outlineLevel="0" collapsed="false">
      <c r="D935" s="17"/>
      <c r="G935" s="17" t="str">
        <f aca="false">IF(TRIM(C935)="","",IFERROR(INDEX('Code Aliases'!$B:$B,MATCH(TRIM(C935),'Code Aliases'!$A:$A,0)),TRIM(C935)))</f>
        <v/>
      </c>
      <c r="H935" s="17" t="str">
        <f aca="false">IF(TRIM(B935)="","",UPPER(TRIM(B935)))</f>
        <v/>
      </c>
    </row>
    <row r="936" customFormat="false" ht="14.25" hidden="false" customHeight="true" outlineLevel="0" collapsed="false">
      <c r="D936" s="17"/>
      <c r="G936" s="17" t="str">
        <f aca="false">IF(TRIM(C936)="","",IFERROR(INDEX('Code Aliases'!$B:$B,MATCH(TRIM(C936),'Code Aliases'!$A:$A,0)),TRIM(C936)))</f>
        <v/>
      </c>
      <c r="H936" s="17" t="str">
        <f aca="false">IF(TRIM(B936)="","",UPPER(TRIM(B936)))</f>
        <v/>
      </c>
    </row>
    <row r="937" customFormat="false" ht="14.25" hidden="false" customHeight="true" outlineLevel="0" collapsed="false">
      <c r="D937" s="17"/>
      <c r="G937" s="17" t="str">
        <f aca="false">IF(TRIM(C937)="","",IFERROR(INDEX('Code Aliases'!$B:$B,MATCH(TRIM(C937),'Code Aliases'!$A:$A,0)),TRIM(C937)))</f>
        <v/>
      </c>
      <c r="H937" s="17" t="str">
        <f aca="false">IF(TRIM(B937)="","",UPPER(TRIM(B937)))</f>
        <v/>
      </c>
    </row>
    <row r="938" customFormat="false" ht="14.25" hidden="false" customHeight="true" outlineLevel="0" collapsed="false">
      <c r="D938" s="17"/>
      <c r="G938" s="17" t="str">
        <f aca="false">IF(TRIM(C938)="","",IFERROR(INDEX('Code Aliases'!$B:$B,MATCH(TRIM(C938),'Code Aliases'!$A:$A,0)),TRIM(C938)))</f>
        <v/>
      </c>
      <c r="H938" s="17" t="str">
        <f aca="false">IF(TRIM(B938)="","",UPPER(TRIM(B938)))</f>
        <v/>
      </c>
    </row>
    <row r="939" customFormat="false" ht="14.25" hidden="false" customHeight="true" outlineLevel="0" collapsed="false">
      <c r="D939" s="17"/>
      <c r="G939" s="17" t="str">
        <f aca="false">IF(TRIM(C939)="","",IFERROR(INDEX('Code Aliases'!$B:$B,MATCH(TRIM(C939),'Code Aliases'!$A:$A,0)),TRIM(C939)))</f>
        <v/>
      </c>
      <c r="H939" s="17" t="str">
        <f aca="false">IF(TRIM(B939)="","",UPPER(TRIM(B939)))</f>
        <v/>
      </c>
    </row>
    <row r="940" customFormat="false" ht="14.25" hidden="false" customHeight="true" outlineLevel="0" collapsed="false">
      <c r="D940" s="17"/>
      <c r="G940" s="17" t="str">
        <f aca="false">IF(TRIM(C940)="","",IFERROR(INDEX('Code Aliases'!$B:$B,MATCH(TRIM(C940),'Code Aliases'!$A:$A,0)),TRIM(C940)))</f>
        <v/>
      </c>
      <c r="H940" s="17" t="str">
        <f aca="false">IF(TRIM(B940)="","",UPPER(TRIM(B940)))</f>
        <v/>
      </c>
    </row>
    <row r="941" customFormat="false" ht="14.25" hidden="false" customHeight="true" outlineLevel="0" collapsed="false">
      <c r="D941" s="17"/>
      <c r="G941" s="17" t="str">
        <f aca="false">IF(TRIM(C941)="","",IFERROR(INDEX('Code Aliases'!$B:$B,MATCH(TRIM(C941),'Code Aliases'!$A:$A,0)),TRIM(C941)))</f>
        <v/>
      </c>
      <c r="H941" s="17" t="str">
        <f aca="false">IF(TRIM(B941)="","",UPPER(TRIM(B941)))</f>
        <v/>
      </c>
    </row>
    <row r="942" customFormat="false" ht="14.25" hidden="false" customHeight="true" outlineLevel="0" collapsed="false">
      <c r="D942" s="17"/>
      <c r="G942" s="17" t="str">
        <f aca="false">IF(TRIM(C942)="","",IFERROR(INDEX('Code Aliases'!$B:$B,MATCH(TRIM(C942),'Code Aliases'!$A:$A,0)),TRIM(C942)))</f>
        <v/>
      </c>
      <c r="H942" s="17" t="str">
        <f aca="false">IF(TRIM(B942)="","",UPPER(TRIM(B942)))</f>
        <v/>
      </c>
    </row>
    <row r="943" customFormat="false" ht="14.25" hidden="false" customHeight="true" outlineLevel="0" collapsed="false">
      <c r="D943" s="17"/>
      <c r="G943" s="17" t="str">
        <f aca="false">IF(TRIM(C943)="","",IFERROR(INDEX('Code Aliases'!$B:$B,MATCH(TRIM(C943),'Code Aliases'!$A:$A,0)),TRIM(C943)))</f>
        <v/>
      </c>
      <c r="H943" s="17" t="str">
        <f aca="false">IF(TRIM(B943)="","",UPPER(TRIM(B943)))</f>
        <v/>
      </c>
    </row>
    <row r="944" customFormat="false" ht="14.25" hidden="false" customHeight="true" outlineLevel="0" collapsed="false">
      <c r="D944" s="17"/>
      <c r="G944" s="17" t="str">
        <f aca="false">IF(TRIM(C944)="","",IFERROR(INDEX('Code Aliases'!$B:$B,MATCH(TRIM(C944),'Code Aliases'!$A:$A,0)),TRIM(C944)))</f>
        <v/>
      </c>
      <c r="H944" s="17" t="str">
        <f aca="false">IF(TRIM(B944)="","",UPPER(TRIM(B944)))</f>
        <v/>
      </c>
    </row>
    <row r="945" customFormat="false" ht="14.25" hidden="false" customHeight="true" outlineLevel="0" collapsed="false">
      <c r="D945" s="17"/>
      <c r="G945" s="17" t="str">
        <f aca="false">IF(TRIM(C945)="","",IFERROR(INDEX('Code Aliases'!$B:$B,MATCH(TRIM(C945),'Code Aliases'!$A:$A,0)),TRIM(C945)))</f>
        <v/>
      </c>
      <c r="H945" s="17" t="str">
        <f aca="false">IF(TRIM(B945)="","",UPPER(TRIM(B945)))</f>
        <v/>
      </c>
    </row>
    <row r="946" customFormat="false" ht="14.25" hidden="false" customHeight="true" outlineLevel="0" collapsed="false">
      <c r="D946" s="17"/>
      <c r="G946" s="17" t="str">
        <f aca="false">IF(TRIM(C946)="","",IFERROR(INDEX('Code Aliases'!$B:$B,MATCH(TRIM(C946),'Code Aliases'!$A:$A,0)),TRIM(C946)))</f>
        <v/>
      </c>
      <c r="H946" s="17" t="str">
        <f aca="false">IF(TRIM(B946)="","",UPPER(TRIM(B946)))</f>
        <v/>
      </c>
    </row>
    <row r="947" customFormat="false" ht="14.25" hidden="false" customHeight="true" outlineLevel="0" collapsed="false">
      <c r="D947" s="17"/>
      <c r="G947" s="17" t="str">
        <f aca="false">IF(TRIM(C947)="","",IFERROR(INDEX('Code Aliases'!$B:$B,MATCH(TRIM(C947),'Code Aliases'!$A:$A,0)),TRIM(C947)))</f>
        <v/>
      </c>
      <c r="H947" s="17" t="str">
        <f aca="false">IF(TRIM(B947)="","",UPPER(TRIM(B947)))</f>
        <v/>
      </c>
    </row>
    <row r="948" customFormat="false" ht="14.25" hidden="false" customHeight="true" outlineLevel="0" collapsed="false">
      <c r="D948" s="17"/>
      <c r="G948" s="17" t="str">
        <f aca="false">IF(TRIM(C948)="","",IFERROR(INDEX('Code Aliases'!$B:$B,MATCH(TRIM(C948),'Code Aliases'!$A:$A,0)),TRIM(C948)))</f>
        <v/>
      </c>
      <c r="H948" s="17" t="str">
        <f aca="false">IF(TRIM(B948)="","",UPPER(TRIM(B948)))</f>
        <v/>
      </c>
    </row>
    <row r="949" customFormat="false" ht="14.25" hidden="false" customHeight="true" outlineLevel="0" collapsed="false">
      <c r="D949" s="17"/>
      <c r="G949" s="17" t="str">
        <f aca="false">IF(TRIM(C949)="","",IFERROR(INDEX('Code Aliases'!$B:$B,MATCH(TRIM(C949),'Code Aliases'!$A:$A,0)),TRIM(C949)))</f>
        <v/>
      </c>
      <c r="H949" s="17" t="str">
        <f aca="false">IF(TRIM(B949)="","",UPPER(TRIM(B949)))</f>
        <v/>
      </c>
    </row>
    <row r="950" customFormat="false" ht="14.25" hidden="false" customHeight="true" outlineLevel="0" collapsed="false">
      <c r="D950" s="17"/>
      <c r="G950" s="17" t="str">
        <f aca="false">IF(TRIM(C950)="","",IFERROR(INDEX('Code Aliases'!$B:$B,MATCH(TRIM(C950),'Code Aliases'!$A:$A,0)),TRIM(C950)))</f>
        <v/>
      </c>
      <c r="H950" s="17" t="str">
        <f aca="false">IF(TRIM(B950)="","",UPPER(TRIM(B950)))</f>
        <v/>
      </c>
    </row>
    <row r="951" customFormat="false" ht="14.25" hidden="false" customHeight="true" outlineLevel="0" collapsed="false">
      <c r="D951" s="17"/>
      <c r="G951" s="17" t="str">
        <f aca="false">IF(TRIM(C951)="","",IFERROR(INDEX('Code Aliases'!$B:$B,MATCH(TRIM(C951),'Code Aliases'!$A:$A,0)),TRIM(C951)))</f>
        <v/>
      </c>
      <c r="H951" s="17" t="str">
        <f aca="false">IF(TRIM(B951)="","",UPPER(TRIM(B951)))</f>
        <v/>
      </c>
    </row>
    <row r="952" customFormat="false" ht="14.25" hidden="false" customHeight="true" outlineLevel="0" collapsed="false">
      <c r="D952" s="17"/>
      <c r="G952" s="17" t="str">
        <f aca="false">IF(TRIM(C952)="","",IFERROR(INDEX('Code Aliases'!$B:$B,MATCH(TRIM(C952),'Code Aliases'!$A:$A,0)),TRIM(C952)))</f>
        <v/>
      </c>
      <c r="H952" s="17" t="str">
        <f aca="false">IF(TRIM(B952)="","",UPPER(TRIM(B952)))</f>
        <v/>
      </c>
    </row>
    <row r="953" customFormat="false" ht="14.25" hidden="false" customHeight="true" outlineLevel="0" collapsed="false">
      <c r="D953" s="17"/>
      <c r="G953" s="17" t="str">
        <f aca="false">IF(TRIM(C953)="","",IFERROR(INDEX('Code Aliases'!$B:$B,MATCH(TRIM(C953),'Code Aliases'!$A:$A,0)),TRIM(C953)))</f>
        <v/>
      </c>
      <c r="H953" s="17" t="str">
        <f aca="false">IF(TRIM(B953)="","",UPPER(TRIM(B953)))</f>
        <v/>
      </c>
    </row>
    <row r="954" customFormat="false" ht="14.25" hidden="false" customHeight="true" outlineLevel="0" collapsed="false">
      <c r="D954" s="17"/>
      <c r="G954" s="17" t="str">
        <f aca="false">IF(TRIM(C954)="","",IFERROR(INDEX('Code Aliases'!$B:$B,MATCH(TRIM(C954),'Code Aliases'!$A:$A,0)),TRIM(C954)))</f>
        <v/>
      </c>
      <c r="H954" s="17" t="str">
        <f aca="false">IF(TRIM(B954)="","",UPPER(TRIM(B954)))</f>
        <v/>
      </c>
    </row>
    <row r="955" customFormat="false" ht="14.25" hidden="false" customHeight="true" outlineLevel="0" collapsed="false">
      <c r="D955" s="17"/>
      <c r="G955" s="17" t="str">
        <f aca="false">IF(TRIM(C955)="","",IFERROR(INDEX('Code Aliases'!$B:$B,MATCH(TRIM(C955),'Code Aliases'!$A:$A,0)),TRIM(C955)))</f>
        <v/>
      </c>
      <c r="H955" s="17" t="str">
        <f aca="false">IF(TRIM(B955)="","",UPPER(TRIM(B955)))</f>
        <v/>
      </c>
    </row>
    <row r="956" customFormat="false" ht="14.25" hidden="false" customHeight="true" outlineLevel="0" collapsed="false">
      <c r="D956" s="17"/>
      <c r="G956" s="17" t="str">
        <f aca="false">IF(TRIM(C956)="","",IFERROR(INDEX('Code Aliases'!$B:$B,MATCH(TRIM(C956),'Code Aliases'!$A:$A,0)),TRIM(C956)))</f>
        <v/>
      </c>
      <c r="H956" s="17" t="str">
        <f aca="false">IF(TRIM(B956)="","",UPPER(TRIM(B956)))</f>
        <v/>
      </c>
    </row>
    <row r="957" customFormat="false" ht="14.25" hidden="false" customHeight="true" outlineLevel="0" collapsed="false">
      <c r="D957" s="17"/>
      <c r="G957" s="17" t="str">
        <f aca="false">IF(TRIM(C957)="","",IFERROR(INDEX('Code Aliases'!$B:$B,MATCH(TRIM(C957),'Code Aliases'!$A:$A,0)),TRIM(C957)))</f>
        <v/>
      </c>
      <c r="H957" s="17" t="str">
        <f aca="false">IF(TRIM(B957)="","",UPPER(TRIM(B957)))</f>
        <v/>
      </c>
    </row>
    <row r="958" customFormat="false" ht="14.25" hidden="false" customHeight="true" outlineLevel="0" collapsed="false">
      <c r="D958" s="17"/>
      <c r="G958" s="17" t="str">
        <f aca="false">IF(TRIM(C958)="","",IFERROR(INDEX('Code Aliases'!$B:$B,MATCH(TRIM(C958),'Code Aliases'!$A:$A,0)),TRIM(C958)))</f>
        <v/>
      </c>
      <c r="H958" s="17" t="str">
        <f aca="false">IF(TRIM(B958)="","",UPPER(TRIM(B958)))</f>
        <v/>
      </c>
    </row>
    <row r="959" customFormat="false" ht="14.25" hidden="false" customHeight="true" outlineLevel="0" collapsed="false">
      <c r="D959" s="17"/>
      <c r="G959" s="17" t="str">
        <f aca="false">IF(TRIM(C959)="","",IFERROR(INDEX('Code Aliases'!$B:$B,MATCH(TRIM(C959),'Code Aliases'!$A:$A,0)),TRIM(C959)))</f>
        <v/>
      </c>
      <c r="H959" s="17" t="str">
        <f aca="false">IF(TRIM(B959)="","",UPPER(TRIM(B959)))</f>
        <v/>
      </c>
    </row>
    <row r="960" customFormat="false" ht="14.25" hidden="false" customHeight="true" outlineLevel="0" collapsed="false">
      <c r="D960" s="17"/>
      <c r="G960" s="17" t="str">
        <f aca="false">IF(TRIM(C960)="","",IFERROR(INDEX('Code Aliases'!$B:$B,MATCH(TRIM(C960),'Code Aliases'!$A:$A,0)),TRIM(C960)))</f>
        <v/>
      </c>
      <c r="H960" s="17" t="str">
        <f aca="false">IF(TRIM(B960)="","",UPPER(TRIM(B960)))</f>
        <v/>
      </c>
    </row>
    <row r="961" customFormat="false" ht="14.25" hidden="false" customHeight="true" outlineLevel="0" collapsed="false">
      <c r="D961" s="17"/>
      <c r="G961" s="17" t="str">
        <f aca="false">IF(TRIM(C961)="","",IFERROR(INDEX('Code Aliases'!$B:$B,MATCH(TRIM(C961),'Code Aliases'!$A:$A,0)),TRIM(C961)))</f>
        <v/>
      </c>
      <c r="H961" s="17" t="str">
        <f aca="false">IF(TRIM(B961)="","",UPPER(TRIM(B961)))</f>
        <v/>
      </c>
    </row>
    <row r="962" customFormat="false" ht="14.25" hidden="false" customHeight="true" outlineLevel="0" collapsed="false">
      <c r="D962" s="17"/>
      <c r="G962" s="17" t="str">
        <f aca="false">IF(TRIM(C962)="","",IFERROR(INDEX('Code Aliases'!$B:$B,MATCH(TRIM(C962),'Code Aliases'!$A:$A,0)),TRIM(C962)))</f>
        <v/>
      </c>
      <c r="H962" s="17" t="str">
        <f aca="false">IF(TRIM(B962)="","",UPPER(TRIM(B962)))</f>
        <v/>
      </c>
    </row>
    <row r="963" customFormat="false" ht="14.25" hidden="false" customHeight="true" outlineLevel="0" collapsed="false">
      <c r="D963" s="17"/>
      <c r="G963" s="17" t="str">
        <f aca="false">IF(TRIM(C963)="","",IFERROR(INDEX('Code Aliases'!$B:$B,MATCH(TRIM(C963),'Code Aliases'!$A:$A,0)),TRIM(C963)))</f>
        <v/>
      </c>
      <c r="H963" s="17" t="str">
        <f aca="false">IF(TRIM(B963)="","",UPPER(TRIM(B963)))</f>
        <v/>
      </c>
    </row>
    <row r="964" customFormat="false" ht="14.25" hidden="false" customHeight="true" outlineLevel="0" collapsed="false">
      <c r="D964" s="17"/>
      <c r="G964" s="17" t="str">
        <f aca="false">IF(TRIM(C964)="","",IFERROR(INDEX('Code Aliases'!$B:$B,MATCH(TRIM(C964),'Code Aliases'!$A:$A,0)),TRIM(C964)))</f>
        <v/>
      </c>
      <c r="H964" s="17" t="str">
        <f aca="false">IF(TRIM(B964)="","",UPPER(TRIM(B964)))</f>
        <v/>
      </c>
    </row>
    <row r="965" customFormat="false" ht="14.25" hidden="false" customHeight="true" outlineLevel="0" collapsed="false">
      <c r="D965" s="17"/>
      <c r="G965" s="17" t="str">
        <f aca="false">IF(TRIM(C965)="","",IFERROR(INDEX('Code Aliases'!$B:$B,MATCH(TRIM(C965),'Code Aliases'!$A:$A,0)),TRIM(C965)))</f>
        <v/>
      </c>
      <c r="H965" s="17" t="str">
        <f aca="false">IF(TRIM(B965)="","",UPPER(TRIM(B965)))</f>
        <v/>
      </c>
    </row>
    <row r="966" customFormat="false" ht="14.25" hidden="false" customHeight="true" outlineLevel="0" collapsed="false">
      <c r="D966" s="17"/>
      <c r="G966" s="17" t="str">
        <f aca="false">IF(TRIM(C966)="","",IFERROR(INDEX('Code Aliases'!$B:$B,MATCH(TRIM(C966),'Code Aliases'!$A:$A,0)),TRIM(C966)))</f>
        <v/>
      </c>
      <c r="H966" s="17" t="str">
        <f aca="false">IF(TRIM(B966)="","",UPPER(TRIM(B966)))</f>
        <v/>
      </c>
    </row>
    <row r="967" customFormat="false" ht="14.25" hidden="false" customHeight="true" outlineLevel="0" collapsed="false">
      <c r="D967" s="17"/>
      <c r="G967" s="17" t="str">
        <f aca="false">IF(TRIM(C967)="","",IFERROR(INDEX('Code Aliases'!$B:$B,MATCH(TRIM(C967),'Code Aliases'!$A:$A,0)),TRIM(C967)))</f>
        <v/>
      </c>
      <c r="H967" s="17" t="str">
        <f aca="false">IF(TRIM(B967)="","",UPPER(TRIM(B967)))</f>
        <v/>
      </c>
    </row>
    <row r="968" customFormat="false" ht="14.25" hidden="false" customHeight="true" outlineLevel="0" collapsed="false">
      <c r="D968" s="17"/>
      <c r="G968" s="17" t="str">
        <f aca="false">IF(TRIM(C968)="","",IFERROR(INDEX('Code Aliases'!$B:$B,MATCH(TRIM(C968),'Code Aliases'!$A:$A,0)),TRIM(C968)))</f>
        <v/>
      </c>
      <c r="H968" s="17" t="str">
        <f aca="false">IF(TRIM(B968)="","",UPPER(TRIM(B968)))</f>
        <v/>
      </c>
    </row>
    <row r="969" customFormat="false" ht="14.25" hidden="false" customHeight="true" outlineLevel="0" collapsed="false">
      <c r="D969" s="17"/>
      <c r="G969" s="17" t="str">
        <f aca="false">IF(TRIM(C969)="","",IFERROR(INDEX('Code Aliases'!$B:$B,MATCH(TRIM(C969),'Code Aliases'!$A:$A,0)),TRIM(C969)))</f>
        <v/>
      </c>
      <c r="H969" s="17" t="str">
        <f aca="false">IF(TRIM(B969)="","",UPPER(TRIM(B969)))</f>
        <v/>
      </c>
    </row>
    <row r="970" customFormat="false" ht="14.25" hidden="false" customHeight="true" outlineLevel="0" collapsed="false">
      <c r="D970" s="17"/>
      <c r="G970" s="17" t="str">
        <f aca="false">IF(TRIM(C970)="","",IFERROR(INDEX('Code Aliases'!$B:$B,MATCH(TRIM(C970),'Code Aliases'!$A:$A,0)),TRIM(C970)))</f>
        <v/>
      </c>
      <c r="H970" s="17" t="str">
        <f aca="false">IF(TRIM(B970)="","",UPPER(TRIM(B970)))</f>
        <v/>
      </c>
    </row>
    <row r="971" customFormat="false" ht="14.25" hidden="false" customHeight="true" outlineLevel="0" collapsed="false">
      <c r="D971" s="17"/>
      <c r="G971" s="17" t="str">
        <f aca="false">IF(TRIM(C971)="","",IFERROR(INDEX('Code Aliases'!$B:$B,MATCH(TRIM(C971),'Code Aliases'!$A:$A,0)),TRIM(C971)))</f>
        <v/>
      </c>
      <c r="H971" s="17" t="str">
        <f aca="false">IF(TRIM(B971)="","",UPPER(TRIM(B971)))</f>
        <v/>
      </c>
    </row>
    <row r="972" customFormat="false" ht="14.25" hidden="false" customHeight="true" outlineLevel="0" collapsed="false">
      <c r="D972" s="17"/>
      <c r="G972" s="17" t="str">
        <f aca="false">IF(TRIM(C972)="","",IFERROR(INDEX('Code Aliases'!$B:$B,MATCH(TRIM(C972),'Code Aliases'!$A:$A,0)),TRIM(C972)))</f>
        <v/>
      </c>
      <c r="H972" s="17" t="str">
        <f aca="false">IF(TRIM(B972)="","",UPPER(TRIM(B972)))</f>
        <v/>
      </c>
    </row>
    <row r="973" customFormat="false" ht="14.25" hidden="false" customHeight="true" outlineLevel="0" collapsed="false">
      <c r="D973" s="17"/>
      <c r="G973" s="17" t="str">
        <f aca="false">IF(TRIM(C973)="","",IFERROR(INDEX('Code Aliases'!$B:$B,MATCH(TRIM(C973),'Code Aliases'!$A:$A,0)),TRIM(C973)))</f>
        <v/>
      </c>
      <c r="H973" s="17" t="str">
        <f aca="false">IF(TRIM(B973)="","",UPPER(TRIM(B973)))</f>
        <v/>
      </c>
    </row>
    <row r="974" customFormat="false" ht="14.25" hidden="false" customHeight="true" outlineLevel="0" collapsed="false">
      <c r="D974" s="17"/>
      <c r="G974" s="17" t="str">
        <f aca="false">IF(TRIM(C974)="","",IFERROR(INDEX('Code Aliases'!$B:$B,MATCH(TRIM(C974),'Code Aliases'!$A:$A,0)),TRIM(C974)))</f>
        <v/>
      </c>
      <c r="H974" s="17" t="str">
        <f aca="false">IF(TRIM(B974)="","",UPPER(TRIM(B974)))</f>
        <v/>
      </c>
    </row>
    <row r="975" customFormat="false" ht="14.25" hidden="false" customHeight="true" outlineLevel="0" collapsed="false">
      <c r="D975" s="17"/>
      <c r="G975" s="17" t="str">
        <f aca="false">IF(TRIM(C975)="","",IFERROR(INDEX('Code Aliases'!$B:$B,MATCH(TRIM(C975),'Code Aliases'!$A:$A,0)),TRIM(C975)))</f>
        <v/>
      </c>
      <c r="H975" s="17" t="str">
        <f aca="false">IF(TRIM(B975)="","",UPPER(TRIM(B975)))</f>
        <v/>
      </c>
    </row>
    <row r="976" customFormat="false" ht="14.25" hidden="false" customHeight="true" outlineLevel="0" collapsed="false">
      <c r="D976" s="17"/>
      <c r="G976" s="17" t="str">
        <f aca="false">IF(TRIM(C976)="","",IFERROR(INDEX('Code Aliases'!$B:$B,MATCH(TRIM(C976),'Code Aliases'!$A:$A,0)),TRIM(C976)))</f>
        <v/>
      </c>
      <c r="H976" s="17" t="str">
        <f aca="false">IF(TRIM(B976)="","",UPPER(TRIM(B976)))</f>
        <v/>
      </c>
    </row>
    <row r="977" customFormat="false" ht="14.25" hidden="false" customHeight="true" outlineLevel="0" collapsed="false">
      <c r="D977" s="17"/>
      <c r="G977" s="17" t="str">
        <f aca="false">IF(TRIM(C977)="","",IFERROR(INDEX('Code Aliases'!$B:$B,MATCH(TRIM(C977),'Code Aliases'!$A:$A,0)),TRIM(C977)))</f>
        <v/>
      </c>
      <c r="H977" s="17" t="str">
        <f aca="false">IF(TRIM(B977)="","",UPPER(TRIM(B977)))</f>
        <v/>
      </c>
    </row>
    <row r="978" customFormat="false" ht="14.25" hidden="false" customHeight="true" outlineLevel="0" collapsed="false">
      <c r="D978" s="17"/>
      <c r="G978" s="17" t="str">
        <f aca="false">IF(TRIM(C978)="","",IFERROR(INDEX('Code Aliases'!$B:$B,MATCH(TRIM(C978),'Code Aliases'!$A:$A,0)),TRIM(C978)))</f>
        <v/>
      </c>
      <c r="H978" s="17" t="str">
        <f aca="false">IF(TRIM(B978)="","",UPPER(TRIM(B978)))</f>
        <v/>
      </c>
    </row>
    <row r="979" customFormat="false" ht="14.25" hidden="false" customHeight="true" outlineLevel="0" collapsed="false">
      <c r="D979" s="17"/>
      <c r="G979" s="17" t="str">
        <f aca="false">IF(TRIM(C979)="","",IFERROR(INDEX('Code Aliases'!$B:$B,MATCH(TRIM(C979),'Code Aliases'!$A:$A,0)),TRIM(C979)))</f>
        <v/>
      </c>
      <c r="H979" s="17" t="str">
        <f aca="false">IF(TRIM(B979)="","",UPPER(TRIM(B979)))</f>
        <v/>
      </c>
    </row>
    <row r="980" customFormat="false" ht="14.25" hidden="false" customHeight="true" outlineLevel="0" collapsed="false">
      <c r="D980" s="17"/>
      <c r="G980" s="17" t="str">
        <f aca="false">IF(TRIM(C980)="","",IFERROR(INDEX('Code Aliases'!$B:$B,MATCH(TRIM(C980),'Code Aliases'!$A:$A,0)),TRIM(C980)))</f>
        <v/>
      </c>
      <c r="H980" s="17" t="str">
        <f aca="false">IF(TRIM(B980)="","",UPPER(TRIM(B980)))</f>
        <v/>
      </c>
    </row>
    <row r="981" customFormat="false" ht="14.25" hidden="false" customHeight="true" outlineLevel="0" collapsed="false">
      <c r="D981" s="17"/>
      <c r="G981" s="17" t="str">
        <f aca="false">IF(TRIM(C981)="","",IFERROR(INDEX('Code Aliases'!$B:$B,MATCH(TRIM(C981),'Code Aliases'!$A:$A,0)),TRIM(C981)))</f>
        <v/>
      </c>
      <c r="H981" s="17" t="str">
        <f aca="false">IF(TRIM(B981)="","",UPPER(TRIM(B981)))</f>
        <v/>
      </c>
    </row>
    <row r="982" customFormat="false" ht="14.25" hidden="false" customHeight="true" outlineLevel="0" collapsed="false">
      <c r="D982" s="17"/>
      <c r="G982" s="17" t="str">
        <f aca="false">IF(TRIM(C982)="","",IFERROR(INDEX('Code Aliases'!$B:$B,MATCH(TRIM(C982),'Code Aliases'!$A:$A,0)),TRIM(C982)))</f>
        <v/>
      </c>
      <c r="H982" s="17" t="str">
        <f aca="false">IF(TRIM(B982)="","",UPPER(TRIM(B982)))</f>
        <v/>
      </c>
    </row>
    <row r="983" customFormat="false" ht="14.25" hidden="false" customHeight="true" outlineLevel="0" collapsed="false">
      <c r="D983" s="17"/>
      <c r="G983" s="17" t="str">
        <f aca="false">IF(TRIM(C983)="","",IFERROR(INDEX('Code Aliases'!$B:$B,MATCH(TRIM(C983),'Code Aliases'!$A:$A,0)),TRIM(C983)))</f>
        <v/>
      </c>
      <c r="H983" s="17" t="str">
        <f aca="false">IF(TRIM(B983)="","",UPPER(TRIM(B983)))</f>
        <v/>
      </c>
    </row>
    <row r="984" customFormat="false" ht="14.25" hidden="false" customHeight="true" outlineLevel="0" collapsed="false">
      <c r="D984" s="17"/>
      <c r="G984" s="17" t="str">
        <f aca="false">IF(TRIM(C984)="","",IFERROR(INDEX('Code Aliases'!$B:$B,MATCH(TRIM(C984),'Code Aliases'!$A:$A,0)),TRIM(C984)))</f>
        <v/>
      </c>
      <c r="H984" s="17" t="str">
        <f aca="false">IF(TRIM(B984)="","",UPPER(TRIM(B984)))</f>
        <v/>
      </c>
    </row>
    <row r="985" customFormat="false" ht="14.25" hidden="false" customHeight="true" outlineLevel="0" collapsed="false">
      <c r="D985" s="17"/>
      <c r="G985" s="17" t="str">
        <f aca="false">IF(TRIM(C985)="","",IFERROR(INDEX('Code Aliases'!$B:$B,MATCH(TRIM(C985),'Code Aliases'!$A:$A,0)),TRIM(C985)))</f>
        <v/>
      </c>
      <c r="H985" s="17" t="str">
        <f aca="false">IF(TRIM(B985)="","",UPPER(TRIM(B985)))</f>
        <v/>
      </c>
    </row>
    <row r="986" customFormat="false" ht="14.25" hidden="false" customHeight="true" outlineLevel="0" collapsed="false">
      <c r="D986" s="17"/>
      <c r="G986" s="17" t="str">
        <f aca="false">IF(TRIM(C986)="","",IFERROR(INDEX('Code Aliases'!$B:$B,MATCH(TRIM(C986),'Code Aliases'!$A:$A,0)),TRIM(C986)))</f>
        <v/>
      </c>
      <c r="H986" s="17" t="str">
        <f aca="false">IF(TRIM(B986)="","",UPPER(TRIM(B986)))</f>
        <v/>
      </c>
    </row>
    <row r="987" customFormat="false" ht="14.25" hidden="false" customHeight="true" outlineLevel="0" collapsed="false">
      <c r="D987" s="17"/>
      <c r="G987" s="17" t="str">
        <f aca="false">IF(TRIM(C987)="","",IFERROR(INDEX('Code Aliases'!$B:$B,MATCH(TRIM(C987),'Code Aliases'!$A:$A,0)),TRIM(C987)))</f>
        <v/>
      </c>
      <c r="H987" s="17" t="str">
        <f aca="false">IF(TRIM(B987)="","",UPPER(TRIM(B987)))</f>
        <v/>
      </c>
    </row>
    <row r="988" customFormat="false" ht="14.25" hidden="false" customHeight="true" outlineLevel="0" collapsed="false">
      <c r="D988" s="17"/>
      <c r="G988" s="17" t="str">
        <f aca="false">IF(TRIM(C988)="","",IFERROR(INDEX('Code Aliases'!$B:$B,MATCH(TRIM(C988),'Code Aliases'!$A:$A,0)),TRIM(C988)))</f>
        <v/>
      </c>
      <c r="H988" s="17" t="str">
        <f aca="false">IF(TRIM(B988)="","",UPPER(TRIM(B988)))</f>
        <v/>
      </c>
    </row>
    <row r="989" customFormat="false" ht="14.25" hidden="false" customHeight="true" outlineLevel="0" collapsed="false">
      <c r="D989" s="17"/>
      <c r="G989" s="17" t="str">
        <f aca="false">IF(TRIM(C989)="","",IFERROR(INDEX('Code Aliases'!$B:$B,MATCH(TRIM(C989),'Code Aliases'!$A:$A,0)),TRIM(C989)))</f>
        <v/>
      </c>
      <c r="H989" s="17" t="str">
        <f aca="false">IF(TRIM(B989)="","",UPPER(TRIM(B989)))</f>
        <v/>
      </c>
    </row>
    <row r="990" customFormat="false" ht="14.25" hidden="false" customHeight="true" outlineLevel="0" collapsed="false">
      <c r="D990" s="17"/>
      <c r="G990" s="17" t="str">
        <f aca="false">IF(TRIM(C990)="","",IFERROR(INDEX('Code Aliases'!$B:$B,MATCH(TRIM(C990),'Code Aliases'!$A:$A,0)),TRIM(C990)))</f>
        <v/>
      </c>
      <c r="H990" s="17" t="str">
        <f aca="false">IF(TRIM(B990)="","",UPPER(TRIM(B990)))</f>
        <v/>
      </c>
    </row>
    <row r="991" customFormat="false" ht="14.25" hidden="false" customHeight="true" outlineLevel="0" collapsed="false">
      <c r="D991" s="17"/>
      <c r="G991" s="17" t="str">
        <f aca="false">IF(TRIM(C991)="","",IFERROR(INDEX('Code Aliases'!$B:$B,MATCH(TRIM(C991),'Code Aliases'!$A:$A,0)),TRIM(C991)))</f>
        <v/>
      </c>
      <c r="H991" s="17" t="str">
        <f aca="false">IF(TRIM(B991)="","",UPPER(TRIM(B991)))</f>
        <v/>
      </c>
    </row>
    <row r="992" customFormat="false" ht="14.25" hidden="false" customHeight="true" outlineLevel="0" collapsed="false">
      <c r="D992" s="17"/>
      <c r="G992" s="17" t="str">
        <f aca="false">IF(TRIM(C992)="","",IFERROR(INDEX('Code Aliases'!$B:$B,MATCH(TRIM(C992),'Code Aliases'!$A:$A,0)),TRIM(C992)))</f>
        <v/>
      </c>
      <c r="H992" s="17" t="str">
        <f aca="false">IF(TRIM(B992)="","",UPPER(TRIM(B992)))</f>
        <v/>
      </c>
    </row>
    <row r="993" customFormat="false" ht="14.25" hidden="false" customHeight="true" outlineLevel="0" collapsed="false">
      <c r="D993" s="17"/>
      <c r="G993" s="17" t="str">
        <f aca="false">IF(TRIM(C993)="","",IFERROR(INDEX('Code Aliases'!$B:$B,MATCH(TRIM(C993),'Code Aliases'!$A:$A,0)),TRIM(C993)))</f>
        <v/>
      </c>
      <c r="H993" s="17" t="str">
        <f aca="false">IF(TRIM(B993)="","",UPPER(TRIM(B993)))</f>
        <v/>
      </c>
    </row>
    <row r="994" customFormat="false" ht="14.25" hidden="false" customHeight="true" outlineLevel="0" collapsed="false">
      <c r="D994" s="17"/>
      <c r="G994" s="17" t="str">
        <f aca="false">IF(TRIM(C994)="","",IFERROR(INDEX('Code Aliases'!$B:$B,MATCH(TRIM(C994),'Code Aliases'!$A:$A,0)),TRIM(C994)))</f>
        <v/>
      </c>
      <c r="H994" s="17" t="str">
        <f aca="false">IF(TRIM(B994)="","",UPPER(TRIM(B994)))</f>
        <v/>
      </c>
    </row>
    <row r="995" customFormat="false" ht="14.25" hidden="false" customHeight="true" outlineLevel="0" collapsed="false">
      <c r="D995" s="17"/>
      <c r="G995" s="17" t="str">
        <f aca="false">IF(TRIM(C995)="","",IFERROR(INDEX('Code Aliases'!$B:$B,MATCH(TRIM(C995),'Code Aliases'!$A:$A,0)),TRIM(C995)))</f>
        <v/>
      </c>
      <c r="H995" s="17" t="str">
        <f aca="false">IF(TRIM(B995)="","",UPPER(TRIM(B995)))</f>
        <v/>
      </c>
    </row>
    <row r="996" customFormat="false" ht="14.25" hidden="false" customHeight="true" outlineLevel="0" collapsed="false">
      <c r="D996" s="17"/>
      <c r="G996" s="17" t="str">
        <f aca="false">IF(TRIM(C996)="","",IFERROR(INDEX('Code Aliases'!$B:$B,MATCH(TRIM(C996),'Code Aliases'!$A:$A,0)),TRIM(C996)))</f>
        <v/>
      </c>
      <c r="H996" s="17" t="str">
        <f aca="false">IF(TRIM(B996)="","",UPPER(TRIM(B996)))</f>
        <v/>
      </c>
    </row>
    <row r="997" customFormat="false" ht="14.25" hidden="false" customHeight="true" outlineLevel="0" collapsed="false">
      <c r="D997" s="17"/>
      <c r="G997" s="17" t="str">
        <f aca="false">IF(TRIM(C997)="","",IFERROR(INDEX('Code Aliases'!$B:$B,MATCH(TRIM(C997),'Code Aliases'!$A:$A,0)),TRIM(C997)))</f>
        <v/>
      </c>
      <c r="H997" s="17" t="str">
        <f aca="false">IF(TRIM(B997)="","",UPPER(TRIM(B997)))</f>
        <v/>
      </c>
    </row>
    <row r="998" customFormat="false" ht="14.25" hidden="false" customHeight="true" outlineLevel="0" collapsed="false">
      <c r="D998" s="17"/>
      <c r="G998" s="17" t="str">
        <f aca="false">IF(TRIM(C998)="","",IFERROR(INDEX('Code Aliases'!$B:$B,MATCH(TRIM(C998),'Code Aliases'!$A:$A,0)),TRIM(C998)))</f>
        <v/>
      </c>
      <c r="H998" s="17" t="str">
        <f aca="false">IF(TRIM(B998)="","",UPPER(TRIM(B998)))</f>
        <v/>
      </c>
    </row>
    <row r="999" customFormat="false" ht="14.25" hidden="false" customHeight="true" outlineLevel="0" collapsed="false">
      <c r="D999" s="17"/>
      <c r="G999" s="17" t="str">
        <f aca="false">IF(TRIM(C999)="","",IFERROR(INDEX('Code Aliases'!$B:$B,MATCH(TRIM(C999),'Code Aliases'!$A:$A,0)),TRIM(C999)))</f>
        <v/>
      </c>
      <c r="H999" s="17" t="str">
        <f aca="false">IF(TRIM(B999)="","",UPPER(TRIM(B999)))</f>
        <v/>
      </c>
    </row>
    <row r="1000" customFormat="false" ht="14.25" hidden="false" customHeight="true" outlineLevel="0" collapsed="false">
      <c r="D1000" s="17"/>
      <c r="G1000" s="17" t="str">
        <f aca="false">IF(TRIM(C1000)="","",IFERROR(INDEX('Code Aliases'!$B:$B,MATCH(TRIM(C1000),'Code Aliases'!$A:$A,0)),TRIM(C1000)))</f>
        <v/>
      </c>
      <c r="H1000" s="17" t="str">
        <f aca="false">IF(TRIM(B1000)="","",UPPER(TRIM(B1000)))</f>
        <v/>
      </c>
    </row>
    <row r="1001" customFormat="false" ht="14.25" hidden="false" customHeight="true" outlineLevel="0" collapsed="false">
      <c r="D1001" s="17"/>
      <c r="G1001" s="17" t="str">
        <f aca="false">IF(TRIM(C1001)="","",IFERROR(INDEX('Code Aliases'!$B:$B,MATCH(TRIM(C1001),'Code Aliases'!$A:$A,0)),TRIM(C1001)))</f>
        <v/>
      </c>
      <c r="H1001" s="17" t="str">
        <f aca="false">IF(TRIM(B1001)="","",UPPER(TRIM(B1001)))</f>
        <v/>
      </c>
    </row>
    <row r="1002" customFormat="false" ht="14.25" hidden="false" customHeight="true" outlineLevel="0" collapsed="false">
      <c r="D1002" s="17"/>
      <c r="G1002" s="17" t="str">
        <f aca="false">IF(TRIM(C1002)="","",IFERROR(INDEX('Code Aliases'!$B:$B,MATCH(TRIM(C1002),'Code Aliases'!$A:$A,0)),TRIM(C1002)))</f>
        <v/>
      </c>
      <c r="H1002" s="17" t="str">
        <f aca="false">IF(TRIM(B1002)="","",UPPER(TRIM(B1002)))</f>
        <v/>
      </c>
    </row>
    <row r="1003" customFormat="false" ht="14.25" hidden="false" customHeight="true" outlineLevel="0" collapsed="false">
      <c r="D1003" s="17"/>
      <c r="G1003" s="17" t="str">
        <f aca="false">IF(TRIM(C1003)="","",IFERROR(INDEX('Code Aliases'!$B:$B,MATCH(TRIM(C1003),'Code Aliases'!$A:$A,0)),TRIM(C1003)))</f>
        <v/>
      </c>
      <c r="H1003" s="17" t="str">
        <f aca="false">IF(TRIM(B1003)="","",UPPER(TRIM(B1003)))</f>
        <v/>
      </c>
    </row>
    <row r="1004" customFormat="false" ht="14.25" hidden="false" customHeight="true" outlineLevel="0" collapsed="false">
      <c r="D1004" s="17"/>
      <c r="G1004" s="17" t="str">
        <f aca="false">IF(TRIM(C1004)="","",IFERROR(INDEX('Code Aliases'!$B:$B,MATCH(TRIM(C1004),'Code Aliases'!$A:$A,0)),TRIM(C1004)))</f>
        <v/>
      </c>
      <c r="H1004" s="17" t="str">
        <f aca="false">IF(TRIM(B1004)="","",UPPER(TRIM(B1004)))</f>
        <v/>
      </c>
    </row>
    <row r="1005" customFormat="false" ht="14.25" hidden="false" customHeight="true" outlineLevel="0" collapsed="false">
      <c r="D1005" s="17"/>
      <c r="G1005" s="17" t="str">
        <f aca="false">IF(TRIM(C1005)="","",IFERROR(INDEX('Code Aliases'!$B:$B,MATCH(TRIM(C1005),'Code Aliases'!$A:$A,0)),TRIM(C1005)))</f>
        <v/>
      </c>
      <c r="H1005" s="17" t="str">
        <f aca="false">IF(TRIM(B1005)="","",UPPER(TRIM(B1005)))</f>
        <v/>
      </c>
    </row>
    <row r="1006" customFormat="false" ht="14.25" hidden="false" customHeight="true" outlineLevel="0" collapsed="false">
      <c r="D1006" s="17"/>
      <c r="G1006" s="17" t="str">
        <f aca="false">IF(TRIM(C1006)="","",IFERROR(INDEX('Code Aliases'!$B:$B,MATCH(TRIM(C1006),'Code Aliases'!$A:$A,0)),TRIM(C1006)))</f>
        <v/>
      </c>
      <c r="H1006" s="17" t="str">
        <f aca="false">IF(TRIM(B1006)="","",UPPER(TRIM(B1006)))</f>
        <v/>
      </c>
    </row>
    <row r="1007" customFormat="false" ht="14.25" hidden="false" customHeight="true" outlineLevel="0" collapsed="false">
      <c r="D1007" s="17"/>
      <c r="G1007" s="17" t="str">
        <f aca="false">IF(TRIM(C1007)="","",IFERROR(INDEX('Code Aliases'!$B:$B,MATCH(TRIM(C1007),'Code Aliases'!$A:$A,0)),TRIM(C1007)))</f>
        <v/>
      </c>
      <c r="H1007" s="17" t="str">
        <f aca="false">IF(TRIM(B1007)="","",UPPER(TRIM(B1007)))</f>
        <v/>
      </c>
    </row>
    <row r="1008" customFormat="false" ht="14.25" hidden="false" customHeight="true" outlineLevel="0" collapsed="false">
      <c r="D1008" s="17"/>
      <c r="G1008" s="17" t="str">
        <f aca="false">IF(TRIM(C1008)="","",IFERROR(INDEX('Code Aliases'!$B:$B,MATCH(TRIM(C1008),'Code Aliases'!$A:$A,0)),TRIM(C1008)))</f>
        <v/>
      </c>
      <c r="H1008" s="17" t="str">
        <f aca="false">IF(TRIM(B1008)="","",UPPER(TRIM(B1008)))</f>
        <v/>
      </c>
    </row>
    <row r="1009" customFormat="false" ht="14.25" hidden="false" customHeight="true" outlineLevel="0" collapsed="false">
      <c r="D1009" s="17"/>
      <c r="G1009" s="17" t="str">
        <f aca="false">IF(TRIM(C1009)="","",IFERROR(INDEX('Code Aliases'!$B:$B,MATCH(TRIM(C1009),'Code Aliases'!$A:$A,0)),TRIM(C1009)))</f>
        <v/>
      </c>
      <c r="H1009" s="17" t="str">
        <f aca="false">IF(TRIM(B1009)="","",UPPER(TRIM(B1009)))</f>
        <v/>
      </c>
    </row>
    <row r="1010" customFormat="false" ht="14.25" hidden="false" customHeight="true" outlineLevel="0" collapsed="false">
      <c r="D1010" s="17"/>
      <c r="G1010" s="17" t="str">
        <f aca="false">IF(TRIM(C1010)="","",IFERROR(INDEX('Code Aliases'!$B:$B,MATCH(TRIM(C1010),'Code Aliases'!$A:$A,0)),TRIM(C1010)))</f>
        <v/>
      </c>
      <c r="H1010" s="17" t="str">
        <f aca="false">IF(TRIM(B1010)="","",UPPER(TRIM(B1010)))</f>
        <v/>
      </c>
    </row>
    <row r="1011" customFormat="false" ht="14.25" hidden="false" customHeight="true" outlineLevel="0" collapsed="false">
      <c r="D1011" s="17"/>
      <c r="G1011" s="17" t="str">
        <f aca="false">IF(TRIM(C1011)="","",IFERROR(INDEX('Code Aliases'!$B:$B,MATCH(TRIM(C1011),'Code Aliases'!$A:$A,0)),TRIM(C1011)))</f>
        <v/>
      </c>
      <c r="H1011" s="17" t="str">
        <f aca="false">IF(TRIM(B1011)="","",UPPER(TRIM(B1011)))</f>
        <v/>
      </c>
    </row>
    <row r="1012" customFormat="false" ht="14.25" hidden="false" customHeight="true" outlineLevel="0" collapsed="false">
      <c r="D1012" s="17"/>
      <c r="G1012" s="17" t="str">
        <f aca="false">IF(TRIM(C1012)="","",IFERROR(INDEX('Code Aliases'!$B:$B,MATCH(TRIM(C1012),'Code Aliases'!$A:$A,0)),TRIM(C1012)))</f>
        <v/>
      </c>
      <c r="H1012" s="17" t="str">
        <f aca="false">IF(TRIM(B1012)="","",UPPER(TRIM(B1012)))</f>
        <v/>
      </c>
    </row>
    <row r="1013" customFormat="false" ht="14.25" hidden="false" customHeight="true" outlineLevel="0" collapsed="false">
      <c r="D1013" s="17"/>
      <c r="G1013" s="17" t="str">
        <f aca="false">IF(TRIM(C1013)="","",IFERROR(INDEX('Code Aliases'!$B:$B,MATCH(TRIM(C1013),'Code Aliases'!$A:$A,0)),TRIM(C1013)))</f>
        <v/>
      </c>
      <c r="H1013" s="17" t="str">
        <f aca="false">IF(TRIM(B1013)="","",UPPER(TRIM(B1013)))</f>
        <v/>
      </c>
    </row>
    <row r="1014" customFormat="false" ht="14.25" hidden="false" customHeight="true" outlineLevel="0" collapsed="false">
      <c r="D1014" s="17"/>
      <c r="G1014" s="17" t="str">
        <f aca="false">IF(TRIM(C1014)="","",IFERROR(INDEX('Code Aliases'!$B:$B,MATCH(TRIM(C1014),'Code Aliases'!$A:$A,0)),TRIM(C1014)))</f>
        <v/>
      </c>
      <c r="H1014" s="17" t="str">
        <f aca="false">IF(TRIM(B1014)="","",UPPER(TRIM(B1014)))</f>
        <v/>
      </c>
    </row>
    <row r="1015" customFormat="false" ht="14.25" hidden="false" customHeight="true" outlineLevel="0" collapsed="false">
      <c r="D1015" s="17"/>
      <c r="G1015" s="17" t="str">
        <f aca="false">IF(TRIM(C1015)="","",IFERROR(INDEX('Code Aliases'!$B:$B,MATCH(TRIM(C1015),'Code Aliases'!$A:$A,0)),TRIM(C1015)))</f>
        <v/>
      </c>
      <c r="H1015" s="17" t="str">
        <f aca="false">IF(TRIM(B1015)="","",UPPER(TRIM(B1015)))</f>
        <v/>
      </c>
    </row>
    <row r="1016" customFormat="false" ht="14.25" hidden="false" customHeight="true" outlineLevel="0" collapsed="false">
      <c r="D1016" s="17"/>
      <c r="G1016" s="17" t="str">
        <f aca="false">IF(TRIM(C1016)="","",IFERROR(INDEX('Code Aliases'!$B:$B,MATCH(TRIM(C1016),'Code Aliases'!$A:$A,0)),TRIM(C1016)))</f>
        <v/>
      </c>
      <c r="H1016" s="17" t="str">
        <f aca="false">IF(TRIM(B1016)="","",UPPER(TRIM(B1016)))</f>
        <v/>
      </c>
    </row>
    <row r="1017" customFormat="false" ht="14.25" hidden="false" customHeight="true" outlineLevel="0" collapsed="false">
      <c r="D1017" s="17"/>
      <c r="G1017" s="17" t="str">
        <f aca="false">IF(TRIM(C1017)="","",IFERROR(INDEX('Code Aliases'!$B:$B,MATCH(TRIM(C1017),'Code Aliases'!$A:$A,0)),TRIM(C1017)))</f>
        <v/>
      </c>
      <c r="H1017" s="17" t="str">
        <f aca="false">IF(TRIM(B1017)="","",UPPER(TRIM(B1017)))</f>
        <v/>
      </c>
    </row>
    <row r="1018" customFormat="false" ht="14.25" hidden="false" customHeight="true" outlineLevel="0" collapsed="false">
      <c r="D1018" s="17"/>
      <c r="G1018" s="17" t="str">
        <f aca="false">IF(TRIM(C1018)="","",IFERROR(INDEX('Code Aliases'!$B:$B,MATCH(TRIM(C1018),'Code Aliases'!$A:$A,0)),TRIM(C1018)))</f>
        <v/>
      </c>
      <c r="H1018" s="17" t="str">
        <f aca="false">IF(TRIM(B1018)="","",UPPER(TRIM(B1018)))</f>
        <v/>
      </c>
    </row>
    <row r="1019" customFormat="false" ht="14.25" hidden="false" customHeight="true" outlineLevel="0" collapsed="false">
      <c r="D1019" s="17"/>
      <c r="G1019" s="17" t="str">
        <f aca="false">IF(TRIM(C1019)="","",IFERROR(INDEX('Code Aliases'!$B:$B,MATCH(TRIM(C1019),'Code Aliases'!$A:$A,0)),TRIM(C1019)))</f>
        <v/>
      </c>
      <c r="H1019" s="17" t="str">
        <f aca="false">IF(TRIM(B1019)="","",UPPER(TRIM(B1019)))</f>
        <v/>
      </c>
    </row>
    <row r="1020" customFormat="false" ht="14.25" hidden="false" customHeight="true" outlineLevel="0" collapsed="false">
      <c r="D1020" s="17"/>
      <c r="G1020" s="17" t="str">
        <f aca="false">IF(TRIM(C1020)="","",IFERROR(INDEX('Code Aliases'!$B:$B,MATCH(TRIM(C1020),'Code Aliases'!$A:$A,0)),TRIM(C1020)))</f>
        <v/>
      </c>
      <c r="H1020" s="17" t="str">
        <f aca="false">IF(TRIM(B1020)="","",UPPER(TRIM(B1020)))</f>
        <v/>
      </c>
    </row>
    <row r="1021" customFormat="false" ht="14.25" hidden="false" customHeight="true" outlineLevel="0" collapsed="false">
      <c r="D1021" s="17"/>
      <c r="G1021" s="17" t="str">
        <f aca="false">IF(TRIM(C1021)="","",IFERROR(INDEX('Code Aliases'!$B:$B,MATCH(TRIM(C1021),'Code Aliases'!$A:$A,0)),TRIM(C1021)))</f>
        <v/>
      </c>
      <c r="H1021" s="17" t="str">
        <f aca="false">IF(TRIM(B1021)="","",UPPER(TRIM(B1021)))</f>
        <v/>
      </c>
    </row>
    <row r="1022" customFormat="false" ht="14.25" hidden="false" customHeight="true" outlineLevel="0" collapsed="false">
      <c r="D1022" s="17"/>
      <c r="G1022" s="17" t="str">
        <f aca="false">IF(TRIM(C1022)="","",IFERROR(INDEX('Code Aliases'!$B:$B,MATCH(TRIM(C1022),'Code Aliases'!$A:$A,0)),TRIM(C1022)))</f>
        <v/>
      </c>
      <c r="H1022" s="17" t="str">
        <f aca="false">IF(TRIM(B1022)="","",UPPER(TRIM(B1022)))</f>
        <v/>
      </c>
    </row>
    <row r="1023" customFormat="false" ht="14.25" hidden="false" customHeight="true" outlineLevel="0" collapsed="false">
      <c r="D1023" s="17"/>
      <c r="G1023" s="17" t="str">
        <f aca="false">IF(TRIM(C1023)="","",IFERROR(INDEX('Code Aliases'!$B:$B,MATCH(TRIM(C1023),'Code Aliases'!$A:$A,0)),TRIM(C1023)))</f>
        <v/>
      </c>
      <c r="H1023" s="17" t="str">
        <f aca="false">IF(TRIM(B1023)="","",UPPER(TRIM(B1023)))</f>
        <v/>
      </c>
    </row>
    <row r="1024" customFormat="false" ht="14.25" hidden="false" customHeight="true" outlineLevel="0" collapsed="false">
      <c r="D1024" s="17"/>
      <c r="G1024" s="17" t="str">
        <f aca="false">IF(TRIM(C1024)="","",IFERROR(INDEX('Code Aliases'!$B:$B,MATCH(TRIM(C1024),'Code Aliases'!$A:$A,0)),TRIM(C1024)))</f>
        <v/>
      </c>
      <c r="H1024" s="17" t="str">
        <f aca="false">IF(TRIM(B1024)="","",UPPER(TRIM(B1024)))</f>
        <v/>
      </c>
    </row>
    <row r="1025" customFormat="false" ht="14.25" hidden="false" customHeight="true" outlineLevel="0" collapsed="false">
      <c r="D1025" s="17"/>
      <c r="G1025" s="17" t="str">
        <f aca="false">IF(TRIM(C1025)="","",IFERROR(INDEX('Code Aliases'!$B:$B,MATCH(TRIM(C1025),'Code Aliases'!$A:$A,0)),TRIM(C1025)))</f>
        <v/>
      </c>
      <c r="H1025" s="17" t="str">
        <f aca="false">IF(TRIM(B1025)="","",UPPER(TRIM(B1025)))</f>
        <v/>
      </c>
    </row>
    <row r="1026" customFormat="false" ht="14.25" hidden="false" customHeight="true" outlineLevel="0" collapsed="false">
      <c r="D1026" s="17"/>
      <c r="G1026" s="17" t="str">
        <f aca="false">IF(TRIM(C1026)="","",IFERROR(INDEX('Code Aliases'!$B:$B,MATCH(TRIM(C1026),'Code Aliases'!$A:$A,0)),TRIM(C1026)))</f>
        <v/>
      </c>
      <c r="H1026" s="17" t="str">
        <f aca="false">IF(TRIM(B1026)="","",UPPER(TRIM(B1026)))</f>
        <v/>
      </c>
    </row>
    <row r="1027" customFormat="false" ht="14.25" hidden="false" customHeight="true" outlineLevel="0" collapsed="false">
      <c r="D1027" s="17"/>
      <c r="G1027" s="17" t="str">
        <f aca="false">IF(TRIM(C1027)="","",IFERROR(INDEX('Code Aliases'!$B:$B,MATCH(TRIM(C1027),'Code Aliases'!$A:$A,0)),TRIM(C1027)))</f>
        <v/>
      </c>
      <c r="H1027" s="17" t="str">
        <f aca="false">IF(TRIM(B1027)="","",UPPER(TRIM(B1027)))</f>
        <v/>
      </c>
    </row>
    <row r="1028" customFormat="false" ht="14.25" hidden="false" customHeight="true" outlineLevel="0" collapsed="false">
      <c r="D1028" s="17"/>
      <c r="G1028" s="17" t="str">
        <f aca="false">IF(TRIM(C1028)="","",IFERROR(INDEX('Code Aliases'!$B:$B,MATCH(TRIM(C1028),'Code Aliases'!$A:$A,0)),TRIM(C1028)))</f>
        <v/>
      </c>
      <c r="H1028" s="17" t="str">
        <f aca="false">IF(TRIM(B1028)="","",UPPER(TRIM(B1028)))</f>
        <v/>
      </c>
    </row>
    <row r="1029" customFormat="false" ht="14.25" hidden="false" customHeight="true" outlineLevel="0" collapsed="false">
      <c r="D1029" s="17"/>
      <c r="G1029" s="17" t="str">
        <f aca="false">IF(TRIM(C1029)="","",IFERROR(INDEX('Code Aliases'!$B:$B,MATCH(TRIM(C1029),'Code Aliases'!$A:$A,0)),TRIM(C1029)))</f>
        <v/>
      </c>
      <c r="H1029" s="17" t="str">
        <f aca="false">IF(TRIM(B1029)="","",UPPER(TRIM(B1029)))</f>
        <v/>
      </c>
    </row>
    <row r="1030" customFormat="false" ht="14.25" hidden="false" customHeight="true" outlineLevel="0" collapsed="false">
      <c r="D1030" s="17"/>
      <c r="G1030" s="17" t="str">
        <f aca="false">IF(TRIM(C1030)="","",IFERROR(INDEX('Code Aliases'!$B:$B,MATCH(TRIM(C1030),'Code Aliases'!$A:$A,0)),TRIM(C1030)))</f>
        <v/>
      </c>
      <c r="H1030" s="17" t="str">
        <f aca="false">IF(TRIM(B1030)="","",UPPER(TRIM(B1030)))</f>
        <v/>
      </c>
    </row>
    <row r="1031" customFormat="false" ht="14.25" hidden="false" customHeight="true" outlineLevel="0" collapsed="false">
      <c r="D1031" s="17"/>
      <c r="G1031" s="17" t="str">
        <f aca="false">IF(TRIM(C1031)="","",IFERROR(INDEX('Code Aliases'!$B:$B,MATCH(TRIM(C1031),'Code Aliases'!$A:$A,0)),TRIM(C1031)))</f>
        <v/>
      </c>
      <c r="H1031" s="17" t="str">
        <f aca="false">IF(TRIM(B1031)="","",UPPER(TRIM(B1031)))</f>
        <v/>
      </c>
    </row>
    <row r="1032" customFormat="false" ht="14.25" hidden="false" customHeight="true" outlineLevel="0" collapsed="false">
      <c r="D1032" s="17"/>
      <c r="G1032" s="17" t="str">
        <f aca="false">IF(TRIM(C1032)="","",IFERROR(INDEX('Code Aliases'!$B:$B,MATCH(TRIM(C1032),'Code Aliases'!$A:$A,0)),TRIM(C1032)))</f>
        <v/>
      </c>
      <c r="H1032" s="17" t="str">
        <f aca="false">IF(TRIM(B1032)="","",UPPER(TRIM(B1032)))</f>
        <v/>
      </c>
    </row>
    <row r="1033" customFormat="false" ht="14.25" hidden="false" customHeight="true" outlineLevel="0" collapsed="false">
      <c r="D1033" s="17"/>
      <c r="G1033" s="17" t="str">
        <f aca="false">IF(TRIM(C1033)="","",IFERROR(INDEX('Code Aliases'!$B:$B,MATCH(TRIM(C1033),'Code Aliases'!$A:$A,0)),TRIM(C1033)))</f>
        <v/>
      </c>
      <c r="H1033" s="17" t="str">
        <f aca="false">IF(TRIM(B1033)="","",UPPER(TRIM(B1033)))</f>
        <v/>
      </c>
    </row>
    <row r="1034" customFormat="false" ht="14.25" hidden="false" customHeight="true" outlineLevel="0" collapsed="false">
      <c r="D1034" s="17"/>
      <c r="G1034" s="17" t="str">
        <f aca="false">IF(TRIM(C1034)="","",IFERROR(INDEX('Code Aliases'!$B:$B,MATCH(TRIM(C1034),'Code Aliases'!$A:$A,0)),TRIM(C1034)))</f>
        <v/>
      </c>
      <c r="H1034" s="17" t="str">
        <f aca="false">IF(TRIM(B1034)="","",UPPER(TRIM(B1034)))</f>
        <v/>
      </c>
    </row>
    <row r="1035" customFormat="false" ht="14.25" hidden="false" customHeight="true" outlineLevel="0" collapsed="false">
      <c r="D1035" s="17"/>
      <c r="G1035" s="17" t="str">
        <f aca="false">IF(TRIM(C1035)="","",IFERROR(INDEX('Code Aliases'!$B:$B,MATCH(TRIM(C1035),'Code Aliases'!$A:$A,0)),TRIM(C1035)))</f>
        <v/>
      </c>
      <c r="H1035" s="17" t="str">
        <f aca="false">IF(TRIM(B1035)="","",UPPER(TRIM(B1035)))</f>
        <v/>
      </c>
    </row>
    <row r="1036" customFormat="false" ht="14.25" hidden="false" customHeight="true" outlineLevel="0" collapsed="false">
      <c r="D1036" s="17"/>
      <c r="G1036" s="17" t="str">
        <f aca="false">IF(TRIM(C1036)="","",IFERROR(INDEX('Code Aliases'!$B:$B,MATCH(TRIM(C1036),'Code Aliases'!$A:$A,0)),TRIM(C1036)))</f>
        <v/>
      </c>
      <c r="H1036" s="17" t="str">
        <f aca="false">IF(TRIM(B1036)="","",UPPER(TRIM(B1036)))</f>
        <v/>
      </c>
    </row>
    <row r="1037" customFormat="false" ht="14.25" hidden="false" customHeight="true" outlineLevel="0" collapsed="false">
      <c r="D1037" s="17"/>
      <c r="G1037" s="17" t="str">
        <f aca="false">IF(TRIM(C1037)="","",IFERROR(INDEX('Code Aliases'!$B:$B,MATCH(TRIM(C1037),'Code Aliases'!$A:$A,0)),TRIM(C1037)))</f>
        <v/>
      </c>
      <c r="H1037" s="17" t="str">
        <f aca="false">IF(TRIM(B1037)="","",UPPER(TRIM(B1037)))</f>
        <v/>
      </c>
    </row>
    <row r="1038" customFormat="false" ht="14.25" hidden="false" customHeight="true" outlineLevel="0" collapsed="false">
      <c r="D1038" s="17"/>
      <c r="G1038" s="17" t="str">
        <f aca="false">IF(TRIM(C1038)="","",IFERROR(INDEX('Code Aliases'!$B:$B,MATCH(TRIM(C1038),'Code Aliases'!$A:$A,0)),TRIM(C1038)))</f>
        <v/>
      </c>
      <c r="H1038" s="17" t="str">
        <f aca="false">IF(TRIM(B1038)="","",UPPER(TRIM(B1038)))</f>
        <v/>
      </c>
    </row>
    <row r="1039" customFormat="false" ht="14.25" hidden="false" customHeight="true" outlineLevel="0" collapsed="false">
      <c r="D1039" s="17"/>
      <c r="G1039" s="17" t="str">
        <f aca="false">IF(TRIM(C1039)="","",IFERROR(INDEX('Code Aliases'!$B:$B,MATCH(TRIM(C1039),'Code Aliases'!$A:$A,0)),TRIM(C1039)))</f>
        <v/>
      </c>
      <c r="H1039" s="17" t="str">
        <f aca="false">IF(TRIM(B1039)="","",UPPER(TRIM(B1039)))</f>
        <v/>
      </c>
    </row>
    <row r="1040" customFormat="false" ht="14.25" hidden="false" customHeight="true" outlineLevel="0" collapsed="false">
      <c r="D1040" s="17"/>
      <c r="G1040" s="17" t="str">
        <f aca="false">IF(TRIM(C1040)="","",IFERROR(INDEX('Code Aliases'!$B:$B,MATCH(TRIM(C1040),'Code Aliases'!$A:$A,0)),TRIM(C1040)))</f>
        <v/>
      </c>
      <c r="H1040" s="17" t="str">
        <f aca="false">IF(TRIM(B1040)="","",UPPER(TRIM(B1040)))</f>
        <v/>
      </c>
    </row>
    <row r="1041" customFormat="false" ht="14.25" hidden="false" customHeight="true" outlineLevel="0" collapsed="false">
      <c r="D1041" s="17"/>
      <c r="G1041" s="17" t="str">
        <f aca="false">IF(TRIM(C1041)="","",IFERROR(INDEX('Code Aliases'!$B:$B,MATCH(TRIM(C1041),'Code Aliases'!$A:$A,0)),TRIM(C1041)))</f>
        <v/>
      </c>
      <c r="H1041" s="17" t="str">
        <f aca="false">IF(TRIM(B1041)="","",UPPER(TRIM(B1041)))</f>
        <v/>
      </c>
    </row>
    <row r="1042" customFormat="false" ht="14.25" hidden="false" customHeight="true" outlineLevel="0" collapsed="false">
      <c r="D1042" s="17"/>
      <c r="G1042" s="17" t="str">
        <f aca="false">IF(TRIM(C1042)="","",IFERROR(INDEX('Code Aliases'!$B:$B,MATCH(TRIM(C1042),'Code Aliases'!$A:$A,0)),TRIM(C1042)))</f>
        <v/>
      </c>
      <c r="H1042" s="17" t="str">
        <f aca="false">IF(TRIM(B1042)="","",UPPER(TRIM(B1042)))</f>
        <v/>
      </c>
    </row>
    <row r="1043" customFormat="false" ht="14.25" hidden="false" customHeight="true" outlineLevel="0" collapsed="false">
      <c r="D1043" s="17"/>
      <c r="G1043" s="17" t="str">
        <f aca="false">IF(TRIM(C1043)="","",IFERROR(INDEX('Code Aliases'!$B:$B,MATCH(TRIM(C1043),'Code Aliases'!$A:$A,0)),TRIM(C1043)))</f>
        <v/>
      </c>
      <c r="H1043" s="17" t="str">
        <f aca="false">IF(TRIM(B1043)="","",UPPER(TRIM(B1043)))</f>
        <v/>
      </c>
    </row>
    <row r="1044" customFormat="false" ht="14.25" hidden="false" customHeight="true" outlineLevel="0" collapsed="false">
      <c r="D1044" s="17"/>
      <c r="G1044" s="17" t="str">
        <f aca="false">IF(TRIM(C1044)="","",IFERROR(INDEX('Code Aliases'!$B:$B,MATCH(TRIM(C1044),'Code Aliases'!$A:$A,0)),TRIM(C1044)))</f>
        <v/>
      </c>
      <c r="H1044" s="17" t="str">
        <f aca="false">IF(TRIM(B1044)="","",UPPER(TRIM(B1044)))</f>
        <v/>
      </c>
    </row>
    <row r="1045" customFormat="false" ht="14.25" hidden="false" customHeight="true" outlineLevel="0" collapsed="false">
      <c r="D1045" s="17"/>
      <c r="G1045" s="17" t="str">
        <f aca="false">IF(TRIM(C1045)="","",IFERROR(INDEX('Code Aliases'!$B:$B,MATCH(TRIM(C1045),'Code Aliases'!$A:$A,0)),TRIM(C1045)))</f>
        <v/>
      </c>
      <c r="H1045" s="17" t="str">
        <f aca="false">IF(TRIM(B1045)="","",UPPER(TRIM(B1045)))</f>
        <v/>
      </c>
    </row>
    <row r="1046" customFormat="false" ht="14.25" hidden="false" customHeight="true" outlineLevel="0" collapsed="false">
      <c r="D1046" s="17"/>
      <c r="G1046" s="17" t="str">
        <f aca="false">IF(TRIM(C1046)="","",IFERROR(INDEX('Code Aliases'!$B:$B,MATCH(TRIM(C1046),'Code Aliases'!$A:$A,0)),TRIM(C1046)))</f>
        <v/>
      </c>
      <c r="H1046" s="17" t="str">
        <f aca="false">IF(TRIM(B1046)="","",UPPER(TRIM(B1046)))</f>
        <v/>
      </c>
    </row>
    <row r="1047" customFormat="false" ht="14.25" hidden="false" customHeight="true" outlineLevel="0" collapsed="false">
      <c r="D1047" s="17"/>
      <c r="G1047" s="17" t="str">
        <f aca="false">IF(TRIM(C1047)="","",IFERROR(INDEX('Code Aliases'!$B:$B,MATCH(TRIM(C1047),'Code Aliases'!$A:$A,0)),TRIM(C1047)))</f>
        <v/>
      </c>
      <c r="H1047" s="17" t="str">
        <f aca="false">IF(TRIM(B1047)="","",UPPER(TRIM(B1047)))</f>
        <v/>
      </c>
    </row>
    <row r="1048" customFormat="false" ht="14.25" hidden="false" customHeight="true" outlineLevel="0" collapsed="false">
      <c r="D1048" s="17"/>
      <c r="G1048" s="17" t="str">
        <f aca="false">IF(TRIM(C1048)="","",IFERROR(INDEX('Code Aliases'!$B:$B,MATCH(TRIM(C1048),'Code Aliases'!$A:$A,0)),TRIM(C1048)))</f>
        <v/>
      </c>
      <c r="H1048" s="17" t="str">
        <f aca="false">IF(TRIM(B1048)="","",UPPER(TRIM(B1048)))</f>
        <v/>
      </c>
    </row>
    <row r="1049" customFormat="false" ht="14.25" hidden="false" customHeight="true" outlineLevel="0" collapsed="false">
      <c r="D1049" s="17"/>
      <c r="G1049" s="17" t="str">
        <f aca="false">IF(TRIM(C1049)="","",IFERROR(INDEX('Code Aliases'!$B:$B,MATCH(TRIM(C1049),'Code Aliases'!$A:$A,0)),TRIM(C1049)))</f>
        <v/>
      </c>
      <c r="H1049" s="17" t="str">
        <f aca="false">IF(TRIM(B1049)="","",UPPER(TRIM(B1049)))</f>
        <v/>
      </c>
    </row>
    <row r="1050" customFormat="false" ht="14.25" hidden="false" customHeight="true" outlineLevel="0" collapsed="false">
      <c r="D1050" s="17"/>
      <c r="G1050" s="17" t="str">
        <f aca="false">IF(TRIM(C1050)="","",IFERROR(INDEX('Code Aliases'!$B:$B,MATCH(TRIM(C1050),'Code Aliases'!$A:$A,0)),TRIM(C1050)))</f>
        <v/>
      </c>
      <c r="H1050" s="17" t="str">
        <f aca="false">IF(TRIM(B1050)="","",UPPER(TRIM(B1050)))</f>
        <v/>
      </c>
    </row>
    <row r="1051" customFormat="false" ht="14.25" hidden="false" customHeight="true" outlineLevel="0" collapsed="false">
      <c r="D1051" s="17"/>
      <c r="G1051" s="17" t="str">
        <f aca="false">IF(TRIM(C1051)="","",IFERROR(INDEX('Code Aliases'!$B:$B,MATCH(TRIM(C1051),'Code Aliases'!$A:$A,0)),TRIM(C1051)))</f>
        <v/>
      </c>
      <c r="H1051" s="17" t="str">
        <f aca="false">IF(TRIM(B1051)="","",UPPER(TRIM(B1051)))</f>
        <v/>
      </c>
    </row>
    <row r="1052" customFormat="false" ht="14.25" hidden="false" customHeight="true" outlineLevel="0" collapsed="false">
      <c r="D1052" s="17"/>
      <c r="G1052" s="17" t="str">
        <f aca="false">IF(TRIM(C1052)="","",IFERROR(INDEX('Code Aliases'!$B:$B,MATCH(TRIM(C1052),'Code Aliases'!$A:$A,0)),TRIM(C1052)))</f>
        <v/>
      </c>
      <c r="H1052" s="17" t="str">
        <f aca="false">IF(TRIM(B1052)="","",UPPER(TRIM(B1052)))</f>
        <v/>
      </c>
    </row>
    <row r="1053" customFormat="false" ht="14.25" hidden="false" customHeight="true" outlineLevel="0" collapsed="false">
      <c r="D1053" s="17"/>
      <c r="G1053" s="17" t="str">
        <f aca="false">IF(TRIM(C1053)="","",IFERROR(INDEX('Code Aliases'!$B:$B,MATCH(TRIM(C1053),'Code Aliases'!$A:$A,0)),TRIM(C1053)))</f>
        <v/>
      </c>
      <c r="H1053" s="17" t="str">
        <f aca="false">IF(TRIM(B1053)="","",UPPER(TRIM(B1053)))</f>
        <v/>
      </c>
    </row>
    <row r="1054" customFormat="false" ht="14.25" hidden="false" customHeight="true" outlineLevel="0" collapsed="false">
      <c r="D1054" s="17"/>
      <c r="G1054" s="17" t="str">
        <f aca="false">IF(TRIM(C1054)="","",IFERROR(INDEX('Code Aliases'!$B:$B,MATCH(TRIM(C1054),'Code Aliases'!$A:$A,0)),TRIM(C1054)))</f>
        <v/>
      </c>
      <c r="H1054" s="17" t="str">
        <f aca="false">IF(TRIM(B1054)="","",UPPER(TRIM(B1054)))</f>
        <v/>
      </c>
    </row>
    <row r="1055" customFormat="false" ht="14.25" hidden="false" customHeight="true" outlineLevel="0" collapsed="false">
      <c r="D1055" s="17"/>
      <c r="G1055" s="17" t="str">
        <f aca="false">IF(TRIM(C1055)="","",IFERROR(INDEX('Code Aliases'!$B:$B,MATCH(TRIM(C1055),'Code Aliases'!$A:$A,0)),TRIM(C1055)))</f>
        <v/>
      </c>
      <c r="H1055" s="17" t="str">
        <f aca="false">IF(TRIM(B1055)="","",UPPER(TRIM(B1055)))</f>
        <v/>
      </c>
    </row>
    <row r="1056" customFormat="false" ht="14.25" hidden="false" customHeight="true" outlineLevel="0" collapsed="false">
      <c r="D1056" s="17"/>
      <c r="G1056" s="17" t="str">
        <f aca="false">IF(TRIM(C1056)="","",IFERROR(INDEX('Code Aliases'!$B:$B,MATCH(TRIM(C1056),'Code Aliases'!$A:$A,0)),TRIM(C1056)))</f>
        <v/>
      </c>
      <c r="H1056" s="17" t="str">
        <f aca="false">IF(TRIM(B1056)="","",UPPER(TRIM(B1056)))</f>
        <v/>
      </c>
    </row>
    <row r="1057" customFormat="false" ht="14.25" hidden="false" customHeight="true" outlineLevel="0" collapsed="false">
      <c r="D1057" s="17"/>
      <c r="G1057" s="17" t="str">
        <f aca="false">IF(TRIM(C1057)="","",IFERROR(INDEX('Code Aliases'!$B:$B,MATCH(TRIM(C1057),'Code Aliases'!$A:$A,0)),TRIM(C1057)))</f>
        <v/>
      </c>
      <c r="H1057" s="17" t="str">
        <f aca="false">IF(TRIM(B1057)="","",UPPER(TRIM(B1057)))</f>
        <v/>
      </c>
    </row>
    <row r="1058" customFormat="false" ht="14.25" hidden="false" customHeight="true" outlineLevel="0" collapsed="false">
      <c r="D1058" s="17"/>
      <c r="G1058" s="17" t="str">
        <f aca="false">IF(TRIM(C1058)="","",IFERROR(INDEX('Code Aliases'!$B:$B,MATCH(TRIM(C1058),'Code Aliases'!$A:$A,0)),TRIM(C1058)))</f>
        <v/>
      </c>
      <c r="H1058" s="17" t="str">
        <f aca="false">IF(TRIM(B1058)="","",UPPER(TRIM(B1058)))</f>
        <v/>
      </c>
    </row>
    <row r="1059" customFormat="false" ht="14.25" hidden="false" customHeight="true" outlineLevel="0" collapsed="false">
      <c r="D1059" s="17"/>
      <c r="G1059" s="17" t="str">
        <f aca="false">IF(TRIM(C1059)="","",IFERROR(INDEX('Code Aliases'!$B:$B,MATCH(TRIM(C1059),'Code Aliases'!$A:$A,0)),TRIM(C1059)))</f>
        <v/>
      </c>
      <c r="H1059" s="17" t="str">
        <f aca="false">IF(TRIM(B1059)="","",UPPER(TRIM(B1059)))</f>
        <v/>
      </c>
    </row>
    <row r="1060" customFormat="false" ht="14.25" hidden="false" customHeight="true" outlineLevel="0" collapsed="false">
      <c r="D1060" s="17"/>
      <c r="G1060" s="17" t="str">
        <f aca="false">IF(TRIM(C1060)="","",IFERROR(INDEX('Code Aliases'!$B:$B,MATCH(TRIM(C1060),'Code Aliases'!$A:$A,0)),TRIM(C1060)))</f>
        <v/>
      </c>
      <c r="H1060" s="17" t="str">
        <f aca="false">IF(TRIM(B1060)="","",UPPER(TRIM(B1060)))</f>
        <v/>
      </c>
    </row>
    <row r="1061" customFormat="false" ht="14.25" hidden="false" customHeight="true" outlineLevel="0" collapsed="false">
      <c r="D1061" s="17"/>
      <c r="G1061" s="17" t="str">
        <f aca="false">IF(TRIM(C1061)="","",IFERROR(INDEX('Code Aliases'!$B:$B,MATCH(TRIM(C1061),'Code Aliases'!$A:$A,0)),TRIM(C1061)))</f>
        <v/>
      </c>
      <c r="H1061" s="17" t="str">
        <f aca="false">IF(TRIM(B1061)="","",UPPER(TRIM(B1061)))</f>
        <v/>
      </c>
    </row>
    <row r="1062" customFormat="false" ht="14.25" hidden="false" customHeight="true" outlineLevel="0" collapsed="false">
      <c r="D1062" s="17"/>
      <c r="G1062" s="17" t="str">
        <f aca="false">IF(TRIM(C1062)="","",IFERROR(INDEX('Code Aliases'!$B:$B,MATCH(TRIM(C1062),'Code Aliases'!$A:$A,0)),TRIM(C1062)))</f>
        <v/>
      </c>
      <c r="H1062" s="17" t="str">
        <f aca="false">IF(TRIM(B1062)="","",UPPER(TRIM(B1062)))</f>
        <v/>
      </c>
    </row>
    <row r="1063" customFormat="false" ht="14.25" hidden="false" customHeight="true" outlineLevel="0" collapsed="false">
      <c r="D1063" s="17"/>
      <c r="G1063" s="17" t="str">
        <f aca="false">IF(TRIM(C1063)="","",IFERROR(INDEX('Code Aliases'!$B:$B,MATCH(TRIM(C1063),'Code Aliases'!$A:$A,0)),TRIM(C1063)))</f>
        <v/>
      </c>
      <c r="H1063" s="17" t="str">
        <f aca="false">IF(TRIM(B1063)="","",UPPER(TRIM(B1063)))</f>
        <v/>
      </c>
    </row>
    <row r="1064" customFormat="false" ht="14.25" hidden="false" customHeight="true" outlineLevel="0" collapsed="false">
      <c r="D1064" s="17"/>
      <c r="G1064" s="17" t="str">
        <f aca="false">IF(TRIM(C1064)="","",IFERROR(INDEX('Code Aliases'!$B:$B,MATCH(TRIM(C1064),'Code Aliases'!$A:$A,0)),TRIM(C1064)))</f>
        <v/>
      </c>
      <c r="H1064" s="17" t="str">
        <f aca="false">IF(TRIM(B1064)="","",UPPER(TRIM(B1064)))</f>
        <v/>
      </c>
    </row>
    <row r="1065" customFormat="false" ht="14.25" hidden="false" customHeight="true" outlineLevel="0" collapsed="false">
      <c r="D1065" s="17"/>
      <c r="G1065" s="17" t="str">
        <f aca="false">IF(TRIM(C1065)="","",IFERROR(INDEX('Code Aliases'!$B:$B,MATCH(TRIM(C1065),'Code Aliases'!$A:$A,0)),TRIM(C1065)))</f>
        <v/>
      </c>
      <c r="H1065" s="17" t="str">
        <f aca="false">IF(TRIM(B1065)="","",UPPER(TRIM(B1065)))</f>
        <v/>
      </c>
    </row>
    <row r="1066" customFormat="false" ht="14.25" hidden="false" customHeight="true" outlineLevel="0" collapsed="false">
      <c r="D1066" s="17"/>
      <c r="G1066" s="17" t="str">
        <f aca="false">IF(TRIM(C1066)="","",IFERROR(INDEX('Code Aliases'!$B:$B,MATCH(TRIM(C1066),'Code Aliases'!$A:$A,0)),TRIM(C1066)))</f>
        <v/>
      </c>
      <c r="H1066" s="17" t="str">
        <f aca="false">IF(TRIM(B1066)="","",UPPER(TRIM(B1066)))</f>
        <v/>
      </c>
    </row>
    <row r="1067" customFormat="false" ht="14.25" hidden="false" customHeight="true" outlineLevel="0" collapsed="false">
      <c r="D1067" s="17"/>
      <c r="G1067" s="17" t="str">
        <f aca="false">IF(TRIM(C1067)="","",IFERROR(INDEX('Code Aliases'!$B:$B,MATCH(TRIM(C1067),'Code Aliases'!$A:$A,0)),TRIM(C1067)))</f>
        <v/>
      </c>
      <c r="H1067" s="17" t="str">
        <f aca="false">IF(TRIM(B1067)="","",UPPER(TRIM(B1067)))</f>
        <v/>
      </c>
    </row>
    <row r="1068" customFormat="false" ht="14.25" hidden="false" customHeight="true" outlineLevel="0" collapsed="false">
      <c r="D1068" s="17"/>
      <c r="G1068" s="17" t="str">
        <f aca="false">IF(TRIM(C1068)="","",IFERROR(INDEX('Code Aliases'!$B:$B,MATCH(TRIM(C1068),'Code Aliases'!$A:$A,0)),TRIM(C1068)))</f>
        <v/>
      </c>
      <c r="H1068" s="17" t="str">
        <f aca="false">IF(TRIM(B1068)="","",UPPER(TRIM(B1068)))</f>
        <v/>
      </c>
    </row>
    <row r="1069" customFormat="false" ht="14.25" hidden="false" customHeight="true" outlineLevel="0" collapsed="false">
      <c r="D1069" s="17"/>
      <c r="G1069" s="17" t="str">
        <f aca="false">IF(TRIM(C1069)="","",IFERROR(INDEX('Code Aliases'!$B:$B,MATCH(TRIM(C1069),'Code Aliases'!$A:$A,0)),TRIM(C1069)))</f>
        <v/>
      </c>
      <c r="H1069" s="17" t="str">
        <f aca="false">IF(TRIM(B1069)="","",UPPER(TRIM(B1069)))</f>
        <v/>
      </c>
    </row>
    <row r="1070" customFormat="false" ht="14.25" hidden="false" customHeight="true" outlineLevel="0" collapsed="false">
      <c r="D1070" s="17"/>
      <c r="G1070" s="17" t="str">
        <f aca="false">IF(TRIM(C1070)="","",IFERROR(INDEX('Code Aliases'!$B:$B,MATCH(TRIM(C1070),'Code Aliases'!$A:$A,0)),TRIM(C1070)))</f>
        <v/>
      </c>
      <c r="H1070" s="17" t="str">
        <f aca="false">IF(TRIM(B1070)="","",UPPER(TRIM(B1070)))</f>
        <v/>
      </c>
    </row>
    <row r="1071" customFormat="false" ht="14.25" hidden="false" customHeight="true" outlineLevel="0" collapsed="false">
      <c r="D1071" s="17"/>
      <c r="G1071" s="17" t="str">
        <f aca="false">IF(TRIM(C1071)="","",IFERROR(INDEX('Code Aliases'!$B:$B,MATCH(TRIM(C1071),'Code Aliases'!$A:$A,0)),TRIM(C1071)))</f>
        <v/>
      </c>
      <c r="H1071" s="17" t="str">
        <f aca="false">IF(TRIM(B1071)="","",UPPER(TRIM(B1071)))</f>
        <v/>
      </c>
    </row>
    <row r="1072" customFormat="false" ht="14.25" hidden="false" customHeight="true" outlineLevel="0" collapsed="false">
      <c r="D1072" s="17"/>
      <c r="G1072" s="17" t="str">
        <f aca="false">IF(TRIM(C1072)="","",IFERROR(INDEX('Code Aliases'!$B:$B,MATCH(TRIM(C1072),'Code Aliases'!$A:$A,0)),TRIM(C1072)))</f>
        <v/>
      </c>
      <c r="H1072" s="17" t="str">
        <f aca="false">IF(TRIM(B1072)="","",UPPER(TRIM(B1072)))</f>
        <v/>
      </c>
    </row>
    <row r="1073" customFormat="false" ht="14.25" hidden="false" customHeight="true" outlineLevel="0" collapsed="false">
      <c r="D1073" s="17"/>
      <c r="G1073" s="17" t="str">
        <f aca="false">IF(TRIM(C1073)="","",IFERROR(INDEX('Code Aliases'!$B:$B,MATCH(TRIM(C1073),'Code Aliases'!$A:$A,0)),TRIM(C1073)))</f>
        <v/>
      </c>
      <c r="H1073" s="17" t="str">
        <f aca="false">IF(TRIM(B1073)="","",UPPER(TRIM(B1073)))</f>
        <v/>
      </c>
    </row>
    <row r="1074" customFormat="false" ht="14.25" hidden="false" customHeight="true" outlineLevel="0" collapsed="false">
      <c r="D1074" s="17"/>
      <c r="G1074" s="17" t="str">
        <f aca="false">IF(TRIM(C1074)="","",IFERROR(INDEX('Code Aliases'!$B:$B,MATCH(TRIM(C1074),'Code Aliases'!$A:$A,0)),TRIM(C1074)))</f>
        <v/>
      </c>
      <c r="H1074" s="17" t="str">
        <f aca="false">IF(TRIM(B1074)="","",UPPER(TRIM(B1074)))</f>
        <v/>
      </c>
    </row>
    <row r="1075" customFormat="false" ht="14.25" hidden="false" customHeight="true" outlineLevel="0" collapsed="false">
      <c r="D1075" s="17"/>
      <c r="G1075" s="17" t="str">
        <f aca="false">IF(TRIM(C1075)="","",IFERROR(INDEX('Code Aliases'!$B:$B,MATCH(TRIM(C1075),'Code Aliases'!$A:$A,0)),TRIM(C1075)))</f>
        <v/>
      </c>
      <c r="H1075" s="17" t="str">
        <f aca="false">IF(TRIM(B1075)="","",UPPER(TRIM(B1075)))</f>
        <v/>
      </c>
    </row>
    <row r="1076" customFormat="false" ht="14.25" hidden="false" customHeight="true" outlineLevel="0" collapsed="false">
      <c r="D1076" s="17"/>
      <c r="G1076" s="17" t="str">
        <f aca="false">IF(TRIM(C1076)="","",IFERROR(INDEX('Code Aliases'!$B:$B,MATCH(TRIM(C1076),'Code Aliases'!$A:$A,0)),TRIM(C1076)))</f>
        <v/>
      </c>
      <c r="H1076" s="17" t="str">
        <f aca="false">IF(TRIM(B1076)="","",UPPER(TRIM(B1076)))</f>
        <v/>
      </c>
    </row>
    <row r="1077" customFormat="false" ht="14.25" hidden="false" customHeight="true" outlineLevel="0" collapsed="false">
      <c r="D1077" s="17"/>
      <c r="G1077" s="17" t="str">
        <f aca="false">IF(TRIM(C1077)="","",IFERROR(INDEX('Code Aliases'!$B:$B,MATCH(TRIM(C1077),'Code Aliases'!$A:$A,0)),TRIM(C1077)))</f>
        <v/>
      </c>
      <c r="H1077" s="17" t="str">
        <f aca="false">IF(TRIM(B1077)="","",UPPER(TRIM(B1077)))</f>
        <v/>
      </c>
    </row>
    <row r="1078" customFormat="false" ht="14.25" hidden="false" customHeight="true" outlineLevel="0" collapsed="false">
      <c r="D1078" s="17"/>
      <c r="G1078" s="17" t="str">
        <f aca="false">IF(TRIM(C1078)="","",IFERROR(INDEX('Code Aliases'!$B:$B,MATCH(TRIM(C1078),'Code Aliases'!$A:$A,0)),TRIM(C1078)))</f>
        <v/>
      </c>
      <c r="H1078" s="17" t="str">
        <f aca="false">IF(TRIM(B1078)="","",UPPER(TRIM(B1078)))</f>
        <v/>
      </c>
    </row>
    <row r="1079" customFormat="false" ht="14.25" hidden="false" customHeight="true" outlineLevel="0" collapsed="false">
      <c r="D1079" s="17"/>
      <c r="G1079" s="17" t="str">
        <f aca="false">IF(TRIM(C1079)="","",IFERROR(INDEX('Code Aliases'!$B:$B,MATCH(TRIM(C1079),'Code Aliases'!$A:$A,0)),TRIM(C1079)))</f>
        <v/>
      </c>
      <c r="H1079" s="17" t="str">
        <f aca="false">IF(TRIM(B1079)="","",UPPER(TRIM(B1079)))</f>
        <v/>
      </c>
    </row>
    <row r="1080" customFormat="false" ht="14.25" hidden="false" customHeight="true" outlineLevel="0" collapsed="false">
      <c r="D1080" s="17"/>
      <c r="G1080" s="17" t="str">
        <f aca="false">IF(TRIM(C1080)="","",IFERROR(INDEX('Code Aliases'!$B:$B,MATCH(TRIM(C1080),'Code Aliases'!$A:$A,0)),TRIM(C1080)))</f>
        <v/>
      </c>
      <c r="H1080" s="17" t="str">
        <f aca="false">IF(TRIM(B1080)="","",UPPER(TRIM(B1080)))</f>
        <v/>
      </c>
    </row>
    <row r="1081" customFormat="false" ht="14.25" hidden="false" customHeight="true" outlineLevel="0" collapsed="false">
      <c r="D1081" s="17"/>
      <c r="G1081" s="17" t="str">
        <f aca="false">IF(TRIM(C1081)="","",IFERROR(INDEX('Code Aliases'!$B:$B,MATCH(TRIM(C1081),'Code Aliases'!$A:$A,0)),TRIM(C1081)))</f>
        <v/>
      </c>
      <c r="H1081" s="17" t="str">
        <f aca="false">IF(TRIM(B1081)="","",UPPER(TRIM(B1081)))</f>
        <v/>
      </c>
    </row>
    <row r="1082" customFormat="false" ht="14.25" hidden="false" customHeight="true" outlineLevel="0" collapsed="false">
      <c r="D1082" s="17"/>
      <c r="G1082" s="17" t="str">
        <f aca="false">IF(TRIM(C1082)="","",IFERROR(INDEX('Code Aliases'!$B:$B,MATCH(TRIM(C1082),'Code Aliases'!$A:$A,0)),TRIM(C1082)))</f>
        <v/>
      </c>
      <c r="H1082" s="17" t="str">
        <f aca="false">IF(TRIM(B1082)="","",UPPER(TRIM(B1082)))</f>
        <v/>
      </c>
    </row>
    <row r="1083" customFormat="false" ht="14.25" hidden="false" customHeight="true" outlineLevel="0" collapsed="false">
      <c r="D1083" s="17"/>
      <c r="G1083" s="17" t="str">
        <f aca="false">IF(TRIM(C1083)="","",IFERROR(INDEX('Code Aliases'!$B:$B,MATCH(TRIM(C1083),'Code Aliases'!$A:$A,0)),TRIM(C1083)))</f>
        <v/>
      </c>
      <c r="H1083" s="17" t="str">
        <f aca="false">IF(TRIM(B1083)="","",UPPER(TRIM(B1083)))</f>
        <v/>
      </c>
    </row>
    <row r="1084" customFormat="false" ht="14.25" hidden="false" customHeight="true" outlineLevel="0" collapsed="false">
      <c r="D1084" s="17"/>
      <c r="G1084" s="17" t="str">
        <f aca="false">IF(TRIM(C1084)="","",IFERROR(INDEX('Code Aliases'!$B:$B,MATCH(TRIM(C1084),'Code Aliases'!$A:$A,0)),TRIM(C1084)))</f>
        <v/>
      </c>
      <c r="H1084" s="17" t="str">
        <f aca="false">IF(TRIM(B1084)="","",UPPER(TRIM(B1084)))</f>
        <v/>
      </c>
    </row>
    <row r="1085" customFormat="false" ht="14.25" hidden="false" customHeight="true" outlineLevel="0" collapsed="false">
      <c r="D1085" s="17"/>
      <c r="G1085" s="17" t="str">
        <f aca="false">IF(TRIM(C1085)="","",IFERROR(INDEX('Code Aliases'!$B:$B,MATCH(TRIM(C1085),'Code Aliases'!$A:$A,0)),TRIM(C1085)))</f>
        <v/>
      </c>
      <c r="H1085" s="17" t="str">
        <f aca="false">IF(TRIM(B1085)="","",UPPER(TRIM(B1085)))</f>
        <v/>
      </c>
    </row>
    <row r="1086" customFormat="false" ht="14.25" hidden="false" customHeight="true" outlineLevel="0" collapsed="false">
      <c r="D1086" s="17"/>
      <c r="G1086" s="17" t="str">
        <f aca="false">IF(TRIM(C1086)="","",IFERROR(INDEX('Code Aliases'!$B:$B,MATCH(TRIM(C1086),'Code Aliases'!$A:$A,0)),TRIM(C1086)))</f>
        <v/>
      </c>
      <c r="H1086" s="17" t="str">
        <f aca="false">IF(TRIM(B1086)="","",UPPER(TRIM(B1086)))</f>
        <v/>
      </c>
    </row>
    <row r="1087" customFormat="false" ht="14.25" hidden="false" customHeight="true" outlineLevel="0" collapsed="false">
      <c r="D1087" s="17"/>
      <c r="G1087" s="17" t="str">
        <f aca="false">IF(TRIM(C1087)="","",IFERROR(INDEX('Code Aliases'!$B:$B,MATCH(TRIM(C1087),'Code Aliases'!$A:$A,0)),TRIM(C1087)))</f>
        <v/>
      </c>
      <c r="H1087" s="17" t="str">
        <f aca="false">IF(TRIM(B1087)="","",UPPER(TRIM(B1087)))</f>
        <v/>
      </c>
    </row>
    <row r="1088" customFormat="false" ht="14.25" hidden="false" customHeight="true" outlineLevel="0" collapsed="false">
      <c r="D1088" s="17"/>
      <c r="G1088" s="17" t="str">
        <f aca="false">IF(TRIM(C1088)="","",IFERROR(INDEX('Code Aliases'!$B:$B,MATCH(TRIM(C1088),'Code Aliases'!$A:$A,0)),TRIM(C1088)))</f>
        <v/>
      </c>
      <c r="H1088" s="17" t="str">
        <f aca="false">IF(TRIM(B1088)="","",UPPER(TRIM(B1088)))</f>
        <v/>
      </c>
    </row>
    <row r="1089" customFormat="false" ht="14.25" hidden="false" customHeight="true" outlineLevel="0" collapsed="false">
      <c r="D1089" s="17"/>
      <c r="G1089" s="17" t="str">
        <f aca="false">IF(TRIM(C1089)="","",IFERROR(INDEX('Code Aliases'!$B:$B,MATCH(TRIM(C1089),'Code Aliases'!$A:$A,0)),TRIM(C1089)))</f>
        <v/>
      </c>
      <c r="H1089" s="17" t="str">
        <f aca="false">IF(TRIM(B1089)="","",UPPER(TRIM(B1089)))</f>
        <v/>
      </c>
    </row>
    <row r="1090" customFormat="false" ht="14.25" hidden="false" customHeight="true" outlineLevel="0" collapsed="false">
      <c r="D1090" s="17"/>
      <c r="G1090" s="17" t="str">
        <f aca="false">IF(TRIM(C1090)="","",IFERROR(INDEX('Code Aliases'!$B:$B,MATCH(TRIM(C1090),'Code Aliases'!$A:$A,0)),TRIM(C1090)))</f>
        <v/>
      </c>
      <c r="H1090" s="17" t="str">
        <f aca="false">IF(TRIM(B1090)="","",UPPER(TRIM(B1090)))</f>
        <v/>
      </c>
    </row>
    <row r="1091" customFormat="false" ht="14.25" hidden="false" customHeight="true" outlineLevel="0" collapsed="false">
      <c r="D1091" s="17"/>
      <c r="G1091" s="17" t="str">
        <f aca="false">IF(TRIM(C1091)="","",IFERROR(INDEX('Code Aliases'!$B:$B,MATCH(TRIM(C1091),'Code Aliases'!$A:$A,0)),TRIM(C1091)))</f>
        <v/>
      </c>
      <c r="H1091" s="17" t="str">
        <f aca="false">IF(TRIM(B1091)="","",UPPER(TRIM(B1091)))</f>
        <v/>
      </c>
    </row>
    <row r="1092" customFormat="false" ht="14.25" hidden="false" customHeight="true" outlineLevel="0" collapsed="false">
      <c r="D1092" s="17"/>
      <c r="G1092" s="17" t="str">
        <f aca="false">IF(TRIM(C1092)="","",IFERROR(INDEX('Code Aliases'!$B:$B,MATCH(TRIM(C1092),'Code Aliases'!$A:$A,0)),TRIM(C1092)))</f>
        <v/>
      </c>
      <c r="H1092" s="17" t="str">
        <f aca="false">IF(TRIM(B1092)="","",UPPER(TRIM(B1092)))</f>
        <v/>
      </c>
    </row>
    <row r="1093" customFormat="false" ht="14.25" hidden="false" customHeight="true" outlineLevel="0" collapsed="false">
      <c r="D1093" s="17"/>
      <c r="G1093" s="17" t="str">
        <f aca="false">IF(TRIM(C1093)="","",IFERROR(INDEX('Code Aliases'!$B:$B,MATCH(TRIM(C1093),'Code Aliases'!$A:$A,0)),TRIM(C1093)))</f>
        <v/>
      </c>
      <c r="H1093" s="17" t="str">
        <f aca="false">IF(TRIM(B1093)="","",UPPER(TRIM(B1093)))</f>
        <v/>
      </c>
    </row>
    <row r="1094" customFormat="false" ht="14.25" hidden="false" customHeight="true" outlineLevel="0" collapsed="false">
      <c r="D1094" s="17"/>
      <c r="G1094" s="17" t="str">
        <f aca="false">IF(TRIM(C1094)="","",IFERROR(INDEX('Code Aliases'!$B:$B,MATCH(TRIM(C1094),'Code Aliases'!$A:$A,0)),TRIM(C1094)))</f>
        <v/>
      </c>
      <c r="H1094" s="17" t="str">
        <f aca="false">IF(TRIM(B1094)="","",UPPER(TRIM(B1094)))</f>
        <v/>
      </c>
    </row>
    <row r="1095" customFormat="false" ht="14.25" hidden="false" customHeight="true" outlineLevel="0" collapsed="false">
      <c r="D1095" s="17"/>
      <c r="G1095" s="17" t="str">
        <f aca="false">IF(TRIM(C1095)="","",IFERROR(INDEX('Code Aliases'!$B:$B,MATCH(TRIM(C1095),'Code Aliases'!$A:$A,0)),TRIM(C1095)))</f>
        <v/>
      </c>
      <c r="H1095" s="17" t="str">
        <f aca="false">IF(TRIM(B1095)="","",UPPER(TRIM(B1095)))</f>
        <v/>
      </c>
    </row>
    <row r="1096" customFormat="false" ht="14.25" hidden="false" customHeight="true" outlineLevel="0" collapsed="false">
      <c r="D1096" s="17"/>
      <c r="G1096" s="17" t="str">
        <f aca="false">IF(TRIM(C1096)="","",IFERROR(INDEX('Code Aliases'!$B:$B,MATCH(TRIM(C1096),'Code Aliases'!$A:$A,0)),TRIM(C1096)))</f>
        <v/>
      </c>
      <c r="H1096" s="17" t="str">
        <f aca="false">IF(TRIM(B1096)="","",UPPER(TRIM(B1096)))</f>
        <v/>
      </c>
    </row>
    <row r="1097" customFormat="false" ht="14.25" hidden="false" customHeight="true" outlineLevel="0" collapsed="false">
      <c r="D1097" s="17"/>
      <c r="G1097" s="17" t="str">
        <f aca="false">IF(TRIM(C1097)="","",IFERROR(INDEX('Code Aliases'!$B:$B,MATCH(TRIM(C1097),'Code Aliases'!$A:$A,0)),TRIM(C1097)))</f>
        <v/>
      </c>
      <c r="H1097" s="17" t="str">
        <f aca="false">IF(TRIM(B1097)="","",UPPER(TRIM(B1097)))</f>
        <v/>
      </c>
    </row>
    <row r="1098" customFormat="false" ht="14.25" hidden="false" customHeight="true" outlineLevel="0" collapsed="false">
      <c r="D1098" s="17"/>
      <c r="G1098" s="17" t="str">
        <f aca="false">IF(TRIM(C1098)="","",IFERROR(INDEX('Code Aliases'!$B:$B,MATCH(TRIM(C1098),'Code Aliases'!$A:$A,0)),TRIM(C1098)))</f>
        <v/>
      </c>
      <c r="H1098" s="17" t="str">
        <f aca="false">IF(TRIM(B1098)="","",UPPER(TRIM(B1098)))</f>
        <v/>
      </c>
    </row>
    <row r="1099" customFormat="false" ht="14.25" hidden="false" customHeight="true" outlineLevel="0" collapsed="false">
      <c r="D1099" s="17"/>
      <c r="G1099" s="17" t="str">
        <f aca="false">IF(TRIM(C1099)="","",IFERROR(INDEX('Code Aliases'!$B:$B,MATCH(TRIM(C1099),'Code Aliases'!$A:$A,0)),TRIM(C1099)))</f>
        <v/>
      </c>
      <c r="H1099" s="17" t="str">
        <f aca="false">IF(TRIM(B1099)="","",UPPER(TRIM(B1099)))</f>
        <v/>
      </c>
    </row>
    <row r="1100" customFormat="false" ht="14.25" hidden="false" customHeight="true" outlineLevel="0" collapsed="false">
      <c r="D1100" s="17"/>
      <c r="G1100" s="17" t="str">
        <f aca="false">IF(TRIM(C1100)="","",IFERROR(INDEX('Code Aliases'!$B:$B,MATCH(TRIM(C1100),'Code Aliases'!$A:$A,0)),TRIM(C1100)))</f>
        <v/>
      </c>
      <c r="H1100" s="17" t="str">
        <f aca="false">IF(TRIM(B1100)="","",UPPER(TRIM(B1100)))</f>
        <v/>
      </c>
    </row>
    <row r="1101" customFormat="false" ht="14.25" hidden="false" customHeight="true" outlineLevel="0" collapsed="false">
      <c r="D1101" s="17"/>
      <c r="G1101" s="17" t="str">
        <f aca="false">IF(TRIM(C1101)="","",IFERROR(INDEX('Code Aliases'!$B:$B,MATCH(TRIM(C1101),'Code Aliases'!$A:$A,0)),TRIM(C1101)))</f>
        <v/>
      </c>
      <c r="H1101" s="17" t="str">
        <f aca="false">IF(TRIM(B1101)="","",UPPER(TRIM(B1101)))</f>
        <v/>
      </c>
    </row>
    <row r="1102" customFormat="false" ht="14.25" hidden="false" customHeight="true" outlineLevel="0" collapsed="false">
      <c r="D1102" s="17"/>
      <c r="G1102" s="17" t="str">
        <f aca="false">IF(TRIM(C1102)="","",IFERROR(INDEX('Code Aliases'!$B:$B,MATCH(TRIM(C1102),'Code Aliases'!$A:$A,0)),TRIM(C1102)))</f>
        <v/>
      </c>
      <c r="H1102" s="17" t="str">
        <f aca="false">IF(TRIM(B1102)="","",UPPER(TRIM(B1102)))</f>
        <v/>
      </c>
    </row>
    <row r="1103" customFormat="false" ht="14.25" hidden="false" customHeight="true" outlineLevel="0" collapsed="false">
      <c r="D1103" s="17"/>
      <c r="G1103" s="17" t="str">
        <f aca="false">IF(TRIM(C1103)="","",IFERROR(INDEX('Code Aliases'!$B:$B,MATCH(TRIM(C1103),'Code Aliases'!$A:$A,0)),TRIM(C1103)))</f>
        <v/>
      </c>
      <c r="H1103" s="17" t="str">
        <f aca="false">IF(TRIM(B1103)="","",UPPER(TRIM(B1103)))</f>
        <v/>
      </c>
    </row>
    <row r="1104" customFormat="false" ht="14.25" hidden="false" customHeight="true" outlineLevel="0" collapsed="false">
      <c r="D1104" s="17"/>
      <c r="G1104" s="17" t="str">
        <f aca="false">IF(TRIM(C1104)="","",IFERROR(INDEX('Code Aliases'!$B:$B,MATCH(TRIM(C1104),'Code Aliases'!$A:$A,0)),TRIM(C1104)))</f>
        <v/>
      </c>
      <c r="H1104" s="17" t="str">
        <f aca="false">IF(TRIM(B1104)="","",UPPER(TRIM(B1104)))</f>
        <v/>
      </c>
    </row>
    <row r="1105" customFormat="false" ht="14.25" hidden="false" customHeight="true" outlineLevel="0" collapsed="false">
      <c r="D1105" s="17"/>
      <c r="G1105" s="17" t="str">
        <f aca="false">IF(TRIM(C1105)="","",IFERROR(INDEX('Code Aliases'!$B:$B,MATCH(TRIM(C1105),'Code Aliases'!$A:$A,0)),TRIM(C1105)))</f>
        <v/>
      </c>
      <c r="H1105" s="17" t="str">
        <f aca="false">IF(TRIM(B1105)="","",UPPER(TRIM(B1105)))</f>
        <v/>
      </c>
    </row>
    <row r="1106" customFormat="false" ht="14.25" hidden="false" customHeight="true" outlineLevel="0" collapsed="false">
      <c r="D1106" s="17"/>
      <c r="G1106" s="17" t="str">
        <f aca="false">IF(TRIM(C1106)="","",IFERROR(INDEX('Code Aliases'!$B:$B,MATCH(TRIM(C1106),'Code Aliases'!$A:$A,0)),TRIM(C1106)))</f>
        <v/>
      </c>
      <c r="H1106" s="17" t="str">
        <f aca="false">IF(TRIM(B1106)="","",UPPER(TRIM(B1106)))</f>
        <v/>
      </c>
    </row>
    <row r="1107" customFormat="false" ht="14.25" hidden="false" customHeight="true" outlineLevel="0" collapsed="false">
      <c r="D1107" s="17"/>
      <c r="G1107" s="17" t="str">
        <f aca="false">IF(TRIM(C1107)="","",IFERROR(INDEX('Code Aliases'!$B:$B,MATCH(TRIM(C1107),'Code Aliases'!$A:$A,0)),TRIM(C1107)))</f>
        <v/>
      </c>
      <c r="H1107" s="17" t="str">
        <f aca="false">IF(TRIM(B1107)="","",UPPER(TRIM(B1107)))</f>
        <v/>
      </c>
    </row>
    <row r="1108" customFormat="false" ht="14.25" hidden="false" customHeight="true" outlineLevel="0" collapsed="false">
      <c r="D1108" s="17"/>
      <c r="G1108" s="17" t="str">
        <f aca="false">IF(TRIM(C1108)="","",IFERROR(INDEX('Code Aliases'!$B:$B,MATCH(TRIM(C1108),'Code Aliases'!$A:$A,0)),TRIM(C1108)))</f>
        <v/>
      </c>
      <c r="H1108" s="17" t="str">
        <f aca="false">IF(TRIM(B1108)="","",UPPER(TRIM(B1108)))</f>
        <v/>
      </c>
    </row>
    <row r="1109" customFormat="false" ht="14.25" hidden="false" customHeight="true" outlineLevel="0" collapsed="false">
      <c r="D1109" s="17"/>
      <c r="G1109" s="17" t="str">
        <f aca="false">IF(TRIM(C1109)="","",IFERROR(INDEX('Code Aliases'!$B:$B,MATCH(TRIM(C1109),'Code Aliases'!$A:$A,0)),TRIM(C1109)))</f>
        <v/>
      </c>
      <c r="H1109" s="17" t="str">
        <f aca="false">IF(TRIM(B1109)="","",UPPER(TRIM(B1109)))</f>
        <v/>
      </c>
    </row>
    <row r="1110" customFormat="false" ht="14.25" hidden="false" customHeight="true" outlineLevel="0" collapsed="false">
      <c r="D1110" s="17"/>
      <c r="G1110" s="17" t="str">
        <f aca="false">IF(TRIM(C1110)="","",IFERROR(INDEX('Code Aliases'!$B:$B,MATCH(TRIM(C1110),'Code Aliases'!$A:$A,0)),TRIM(C1110)))</f>
        <v/>
      </c>
      <c r="H1110" s="17" t="str">
        <f aca="false">IF(TRIM(B1110)="","",UPPER(TRIM(B1110)))</f>
        <v/>
      </c>
    </row>
    <row r="1111" customFormat="false" ht="14.25" hidden="false" customHeight="true" outlineLevel="0" collapsed="false">
      <c r="D1111" s="17"/>
      <c r="G1111" s="17" t="str">
        <f aca="false">IF(TRIM(C1111)="","",IFERROR(INDEX('Code Aliases'!$B:$B,MATCH(TRIM(C1111),'Code Aliases'!$A:$A,0)),TRIM(C1111)))</f>
        <v/>
      </c>
      <c r="H1111" s="17" t="str">
        <f aca="false">IF(TRIM(B1111)="","",UPPER(TRIM(B1111)))</f>
        <v/>
      </c>
    </row>
    <row r="1112" customFormat="false" ht="14.25" hidden="false" customHeight="true" outlineLevel="0" collapsed="false">
      <c r="D1112" s="17"/>
      <c r="G1112" s="17" t="str">
        <f aca="false">IF(TRIM(C1112)="","",IFERROR(INDEX('Code Aliases'!$B:$B,MATCH(TRIM(C1112),'Code Aliases'!$A:$A,0)),TRIM(C1112)))</f>
        <v/>
      </c>
      <c r="H1112" s="17" t="str">
        <f aca="false">IF(TRIM(B1112)="","",UPPER(TRIM(B1112)))</f>
        <v/>
      </c>
    </row>
    <row r="1113" customFormat="false" ht="14.25" hidden="false" customHeight="true" outlineLevel="0" collapsed="false">
      <c r="D1113" s="17"/>
      <c r="G1113" s="17" t="str">
        <f aca="false">IF(TRIM(C1113)="","",IFERROR(INDEX('Code Aliases'!$B:$B,MATCH(TRIM(C1113),'Code Aliases'!$A:$A,0)),TRIM(C1113)))</f>
        <v/>
      </c>
      <c r="H1113" s="17" t="str">
        <f aca="false">IF(TRIM(B1113)="","",UPPER(TRIM(B1113)))</f>
        <v/>
      </c>
    </row>
    <row r="1114" customFormat="false" ht="14.25" hidden="false" customHeight="true" outlineLevel="0" collapsed="false">
      <c r="D1114" s="17"/>
      <c r="G1114" s="17" t="str">
        <f aca="false">IF(TRIM(C1114)="","",IFERROR(INDEX('Code Aliases'!$B:$B,MATCH(TRIM(C1114),'Code Aliases'!$A:$A,0)),TRIM(C1114)))</f>
        <v/>
      </c>
      <c r="H1114" s="17" t="str">
        <f aca="false">IF(TRIM(B1114)="","",UPPER(TRIM(B1114)))</f>
        <v/>
      </c>
    </row>
    <row r="1115" customFormat="false" ht="14.25" hidden="false" customHeight="true" outlineLevel="0" collapsed="false">
      <c r="D1115" s="17"/>
      <c r="G1115" s="17" t="str">
        <f aca="false">IF(TRIM(C1115)="","",IFERROR(INDEX('Code Aliases'!$B:$B,MATCH(TRIM(C1115),'Code Aliases'!$A:$A,0)),TRIM(C1115)))</f>
        <v/>
      </c>
      <c r="H1115" s="17" t="str">
        <f aca="false">IF(TRIM(B1115)="","",UPPER(TRIM(B1115)))</f>
        <v/>
      </c>
    </row>
    <row r="1116" customFormat="false" ht="14.25" hidden="false" customHeight="true" outlineLevel="0" collapsed="false">
      <c r="D1116" s="17"/>
      <c r="G1116" s="17" t="str">
        <f aca="false">IF(TRIM(C1116)="","",IFERROR(INDEX('Code Aliases'!$B:$B,MATCH(TRIM(C1116),'Code Aliases'!$A:$A,0)),TRIM(C1116)))</f>
        <v/>
      </c>
      <c r="H1116" s="17" t="str">
        <f aca="false">IF(TRIM(B1116)="","",UPPER(TRIM(B1116)))</f>
        <v/>
      </c>
    </row>
    <row r="1117" customFormat="false" ht="14.25" hidden="false" customHeight="true" outlineLevel="0" collapsed="false">
      <c r="D1117" s="17"/>
      <c r="G1117" s="17" t="str">
        <f aca="false">IF(TRIM(C1117)="","",IFERROR(INDEX('Code Aliases'!$B:$B,MATCH(TRIM(C1117),'Code Aliases'!$A:$A,0)),TRIM(C1117)))</f>
        <v/>
      </c>
      <c r="H1117" s="17" t="str">
        <f aca="false">IF(TRIM(B1117)="","",UPPER(TRIM(B1117)))</f>
        <v/>
      </c>
    </row>
    <row r="1118" customFormat="false" ht="14.25" hidden="false" customHeight="true" outlineLevel="0" collapsed="false">
      <c r="D1118" s="17"/>
      <c r="G1118" s="17" t="str">
        <f aca="false">IF(TRIM(C1118)="","",IFERROR(INDEX('Code Aliases'!$B:$B,MATCH(TRIM(C1118),'Code Aliases'!$A:$A,0)),TRIM(C1118)))</f>
        <v/>
      </c>
      <c r="H1118" s="17" t="str">
        <f aca="false">IF(TRIM(B1118)="","",UPPER(TRIM(B1118)))</f>
        <v/>
      </c>
    </row>
    <row r="1119" customFormat="false" ht="14.25" hidden="false" customHeight="true" outlineLevel="0" collapsed="false">
      <c r="D1119" s="17"/>
      <c r="G1119" s="17" t="str">
        <f aca="false">IF(TRIM(C1119)="","",IFERROR(INDEX('Code Aliases'!$B:$B,MATCH(TRIM(C1119),'Code Aliases'!$A:$A,0)),TRIM(C1119)))</f>
        <v/>
      </c>
      <c r="H1119" s="17" t="str">
        <f aca="false">IF(TRIM(B1119)="","",UPPER(TRIM(B1119)))</f>
        <v/>
      </c>
    </row>
    <row r="1120" customFormat="false" ht="14.25" hidden="false" customHeight="true" outlineLevel="0" collapsed="false">
      <c r="D1120" s="17"/>
      <c r="G1120" s="17" t="str">
        <f aca="false">IF(TRIM(C1120)="","",IFERROR(INDEX('Code Aliases'!$B:$B,MATCH(TRIM(C1120),'Code Aliases'!$A:$A,0)),TRIM(C1120)))</f>
        <v/>
      </c>
      <c r="H1120" s="17" t="str">
        <f aca="false">IF(TRIM(B1120)="","",UPPER(TRIM(B1120)))</f>
        <v/>
      </c>
    </row>
    <row r="1121" customFormat="false" ht="14.25" hidden="false" customHeight="true" outlineLevel="0" collapsed="false">
      <c r="D1121" s="17"/>
      <c r="G1121" s="17" t="str">
        <f aca="false">IF(TRIM(C1121)="","",IFERROR(INDEX('Code Aliases'!$B:$B,MATCH(TRIM(C1121),'Code Aliases'!$A:$A,0)),TRIM(C1121)))</f>
        <v/>
      </c>
      <c r="H1121" s="17" t="str">
        <f aca="false">IF(TRIM(B1121)="","",UPPER(TRIM(B1121)))</f>
        <v/>
      </c>
    </row>
    <row r="1122" customFormat="false" ht="14.25" hidden="false" customHeight="true" outlineLevel="0" collapsed="false">
      <c r="D1122" s="17"/>
      <c r="G1122" s="17" t="str">
        <f aca="false">IF(TRIM(C1122)="","",IFERROR(INDEX('Code Aliases'!$B:$B,MATCH(TRIM(C1122),'Code Aliases'!$A:$A,0)),TRIM(C1122)))</f>
        <v/>
      </c>
      <c r="H1122" s="17" t="str">
        <f aca="false">IF(TRIM(B1122)="","",UPPER(TRIM(B1122)))</f>
        <v/>
      </c>
    </row>
    <row r="1123" customFormat="false" ht="14.25" hidden="false" customHeight="true" outlineLevel="0" collapsed="false">
      <c r="D1123" s="17"/>
      <c r="G1123" s="17" t="str">
        <f aca="false">IF(TRIM(C1123)="","",IFERROR(INDEX('Code Aliases'!$B:$B,MATCH(TRIM(C1123),'Code Aliases'!$A:$A,0)),TRIM(C1123)))</f>
        <v/>
      </c>
      <c r="H1123" s="17" t="str">
        <f aca="false">IF(TRIM(B1123)="","",UPPER(TRIM(B1123)))</f>
        <v/>
      </c>
    </row>
    <row r="1124" customFormat="false" ht="14.25" hidden="false" customHeight="true" outlineLevel="0" collapsed="false">
      <c r="D1124" s="17"/>
      <c r="G1124" s="17" t="str">
        <f aca="false">IF(TRIM(C1124)="","",IFERROR(INDEX('Code Aliases'!$B:$B,MATCH(TRIM(C1124),'Code Aliases'!$A:$A,0)),TRIM(C1124)))</f>
        <v/>
      </c>
      <c r="H1124" s="17" t="str">
        <f aca="false">IF(TRIM(B1124)="","",UPPER(TRIM(B1124)))</f>
        <v/>
      </c>
    </row>
    <row r="1125" customFormat="false" ht="14.25" hidden="false" customHeight="true" outlineLevel="0" collapsed="false">
      <c r="D1125" s="17"/>
      <c r="G1125" s="17" t="str">
        <f aca="false">IF(TRIM(C1125)="","",IFERROR(INDEX('Code Aliases'!$B:$B,MATCH(TRIM(C1125),'Code Aliases'!$A:$A,0)),TRIM(C1125)))</f>
        <v/>
      </c>
      <c r="H1125" s="17" t="str">
        <f aca="false">IF(TRIM(B1125)="","",UPPER(TRIM(B1125)))</f>
        <v/>
      </c>
    </row>
    <row r="1126" customFormat="false" ht="14.25" hidden="false" customHeight="true" outlineLevel="0" collapsed="false">
      <c r="D1126" s="17"/>
      <c r="G1126" s="17" t="str">
        <f aca="false">IF(TRIM(C1126)="","",IFERROR(INDEX('Code Aliases'!$B:$B,MATCH(TRIM(C1126),'Code Aliases'!$A:$A,0)),TRIM(C1126)))</f>
        <v/>
      </c>
      <c r="H1126" s="17" t="str">
        <f aca="false">IF(TRIM(B1126)="","",UPPER(TRIM(B1126)))</f>
        <v/>
      </c>
    </row>
    <row r="1127" customFormat="false" ht="14.25" hidden="false" customHeight="true" outlineLevel="0" collapsed="false">
      <c r="D1127" s="17"/>
      <c r="G1127" s="17" t="str">
        <f aca="false">IF(TRIM(C1127)="","",IFERROR(INDEX('Code Aliases'!$B:$B,MATCH(TRIM(C1127),'Code Aliases'!$A:$A,0)),TRIM(C1127)))</f>
        <v/>
      </c>
      <c r="H1127" s="17" t="str">
        <f aca="false">IF(TRIM(B1127)="","",UPPER(TRIM(B1127)))</f>
        <v/>
      </c>
    </row>
    <row r="1128" customFormat="false" ht="14.25" hidden="false" customHeight="true" outlineLevel="0" collapsed="false">
      <c r="D1128" s="17"/>
      <c r="G1128" s="17" t="str">
        <f aca="false">IF(TRIM(C1128)="","",IFERROR(INDEX('Code Aliases'!$B:$B,MATCH(TRIM(C1128),'Code Aliases'!$A:$A,0)),TRIM(C1128)))</f>
        <v/>
      </c>
      <c r="H1128" s="17" t="str">
        <f aca="false">IF(TRIM(B1128)="","",UPPER(TRIM(B1128)))</f>
        <v/>
      </c>
    </row>
    <row r="1129" customFormat="false" ht="14.25" hidden="false" customHeight="true" outlineLevel="0" collapsed="false">
      <c r="D1129" s="17"/>
      <c r="G1129" s="17" t="str">
        <f aca="false">IF(TRIM(C1129)="","",IFERROR(INDEX('Code Aliases'!$B:$B,MATCH(TRIM(C1129),'Code Aliases'!$A:$A,0)),TRIM(C1129)))</f>
        <v/>
      </c>
      <c r="H1129" s="17" t="str">
        <f aca="false">IF(TRIM(B1129)="","",UPPER(TRIM(B1129)))</f>
        <v/>
      </c>
    </row>
    <row r="1130" customFormat="false" ht="14.25" hidden="false" customHeight="true" outlineLevel="0" collapsed="false">
      <c r="D1130" s="17"/>
      <c r="G1130" s="17" t="str">
        <f aca="false">IF(TRIM(C1130)="","",IFERROR(INDEX('Code Aliases'!$B:$B,MATCH(TRIM(C1130),'Code Aliases'!$A:$A,0)),TRIM(C1130)))</f>
        <v/>
      </c>
      <c r="H1130" s="17" t="str">
        <f aca="false">IF(TRIM(B1130)="","",UPPER(TRIM(B1130)))</f>
        <v/>
      </c>
    </row>
    <row r="1131" customFormat="false" ht="14.25" hidden="false" customHeight="true" outlineLevel="0" collapsed="false">
      <c r="D1131" s="17"/>
      <c r="G1131" s="17" t="str">
        <f aca="false">IF(TRIM(C1131)="","",IFERROR(INDEX('Code Aliases'!$B:$B,MATCH(TRIM(C1131),'Code Aliases'!$A:$A,0)),TRIM(C1131)))</f>
        <v/>
      </c>
      <c r="H1131" s="17" t="str">
        <f aca="false">IF(TRIM(B1131)="","",UPPER(TRIM(B1131)))</f>
        <v/>
      </c>
    </row>
    <row r="1132" customFormat="false" ht="14.25" hidden="false" customHeight="true" outlineLevel="0" collapsed="false">
      <c r="D1132" s="17"/>
      <c r="G1132" s="17" t="str">
        <f aca="false">IF(TRIM(C1132)="","",IFERROR(INDEX('Code Aliases'!$B:$B,MATCH(TRIM(C1132),'Code Aliases'!$A:$A,0)),TRIM(C1132)))</f>
        <v/>
      </c>
      <c r="H1132" s="17" t="str">
        <f aca="false">IF(TRIM(B1132)="","",UPPER(TRIM(B1132)))</f>
        <v/>
      </c>
    </row>
    <row r="1133" customFormat="false" ht="14.25" hidden="false" customHeight="true" outlineLevel="0" collapsed="false">
      <c r="D1133" s="17"/>
      <c r="G1133" s="17" t="str">
        <f aca="false">IF(TRIM(C1133)="","",IFERROR(INDEX('Code Aliases'!$B:$B,MATCH(TRIM(C1133),'Code Aliases'!$A:$A,0)),TRIM(C1133)))</f>
        <v/>
      </c>
      <c r="H1133" s="17" t="str">
        <f aca="false">IF(TRIM(B1133)="","",UPPER(TRIM(B1133)))</f>
        <v/>
      </c>
    </row>
    <row r="1134" customFormat="false" ht="14.25" hidden="false" customHeight="true" outlineLevel="0" collapsed="false">
      <c r="D1134" s="17"/>
      <c r="G1134" s="17" t="str">
        <f aca="false">IF(TRIM(C1134)="","",IFERROR(INDEX('Code Aliases'!$B:$B,MATCH(TRIM(C1134),'Code Aliases'!$A:$A,0)),TRIM(C1134)))</f>
        <v/>
      </c>
      <c r="H1134" s="17" t="str">
        <f aca="false">IF(TRIM(B1134)="","",UPPER(TRIM(B1134)))</f>
        <v/>
      </c>
    </row>
    <row r="1135" customFormat="false" ht="14.25" hidden="false" customHeight="true" outlineLevel="0" collapsed="false">
      <c r="D1135" s="17"/>
      <c r="G1135" s="17" t="str">
        <f aca="false">IF(TRIM(C1135)="","",IFERROR(INDEX('Code Aliases'!$B:$B,MATCH(TRIM(C1135),'Code Aliases'!$A:$A,0)),TRIM(C1135)))</f>
        <v/>
      </c>
      <c r="H1135" s="17" t="str">
        <f aca="false">IF(TRIM(B1135)="","",UPPER(TRIM(B1135)))</f>
        <v/>
      </c>
    </row>
    <row r="1136" customFormat="false" ht="14.25" hidden="false" customHeight="true" outlineLevel="0" collapsed="false">
      <c r="D1136" s="17"/>
      <c r="G1136" s="17" t="str">
        <f aca="false">IF(TRIM(C1136)="","",IFERROR(INDEX('Code Aliases'!$B:$B,MATCH(TRIM(C1136),'Code Aliases'!$A:$A,0)),TRIM(C1136)))</f>
        <v/>
      </c>
      <c r="H1136" s="17" t="str">
        <f aca="false">IF(TRIM(B1136)="","",UPPER(TRIM(B1136)))</f>
        <v/>
      </c>
    </row>
    <row r="1137" customFormat="false" ht="14.25" hidden="false" customHeight="true" outlineLevel="0" collapsed="false">
      <c r="D1137" s="17"/>
      <c r="G1137" s="17" t="str">
        <f aca="false">IF(TRIM(C1137)="","",IFERROR(INDEX('Code Aliases'!$B:$B,MATCH(TRIM(C1137),'Code Aliases'!$A:$A,0)),TRIM(C1137)))</f>
        <v/>
      </c>
      <c r="H1137" s="17" t="str">
        <f aca="false">IF(TRIM(B1137)="","",UPPER(TRIM(B1137)))</f>
        <v/>
      </c>
    </row>
    <row r="1138" customFormat="false" ht="14.25" hidden="false" customHeight="true" outlineLevel="0" collapsed="false">
      <c r="D1138" s="17"/>
      <c r="G1138" s="17" t="str">
        <f aca="false">IF(TRIM(C1138)="","",IFERROR(INDEX('Code Aliases'!$B:$B,MATCH(TRIM(C1138),'Code Aliases'!$A:$A,0)),TRIM(C1138)))</f>
        <v/>
      </c>
      <c r="H1138" s="17" t="str">
        <f aca="false">IF(TRIM(B1138)="","",UPPER(TRIM(B1138)))</f>
        <v/>
      </c>
    </row>
    <row r="1139" customFormat="false" ht="14.25" hidden="false" customHeight="true" outlineLevel="0" collapsed="false">
      <c r="D1139" s="17"/>
      <c r="G1139" s="17" t="str">
        <f aca="false">IF(TRIM(C1139)="","",IFERROR(INDEX('Code Aliases'!$B:$B,MATCH(TRIM(C1139),'Code Aliases'!$A:$A,0)),TRIM(C1139)))</f>
        <v/>
      </c>
      <c r="H1139" s="17" t="str">
        <f aca="false">IF(TRIM(B1139)="","",UPPER(TRIM(B1139)))</f>
        <v/>
      </c>
    </row>
    <row r="1140" customFormat="false" ht="14.25" hidden="false" customHeight="true" outlineLevel="0" collapsed="false">
      <c r="D1140" s="17"/>
      <c r="G1140" s="17" t="str">
        <f aca="false">IF(TRIM(C1140)="","",IFERROR(INDEX('Code Aliases'!$B:$B,MATCH(TRIM(C1140),'Code Aliases'!$A:$A,0)),TRIM(C1140)))</f>
        <v/>
      </c>
      <c r="H1140" s="17" t="str">
        <f aca="false">IF(TRIM(B1140)="","",UPPER(TRIM(B1140)))</f>
        <v/>
      </c>
    </row>
    <row r="1141" customFormat="false" ht="14.25" hidden="false" customHeight="true" outlineLevel="0" collapsed="false">
      <c r="D1141" s="17"/>
      <c r="G1141" s="17" t="str">
        <f aca="false">IF(TRIM(C1141)="","",IFERROR(INDEX('Code Aliases'!$B:$B,MATCH(TRIM(C1141),'Code Aliases'!$A:$A,0)),TRIM(C1141)))</f>
        <v/>
      </c>
      <c r="H1141" s="17" t="str">
        <f aca="false">IF(TRIM(B1141)="","",UPPER(TRIM(B1141)))</f>
        <v/>
      </c>
    </row>
    <row r="1142" customFormat="false" ht="14.25" hidden="false" customHeight="true" outlineLevel="0" collapsed="false">
      <c r="D1142" s="17"/>
      <c r="G1142" s="17" t="str">
        <f aca="false">IF(TRIM(C1142)="","",IFERROR(INDEX('Code Aliases'!$B:$B,MATCH(TRIM(C1142),'Code Aliases'!$A:$A,0)),TRIM(C1142)))</f>
        <v/>
      </c>
      <c r="H1142" s="17" t="str">
        <f aca="false">IF(TRIM(B1142)="","",UPPER(TRIM(B1142)))</f>
        <v/>
      </c>
    </row>
    <row r="1143" customFormat="false" ht="14.25" hidden="false" customHeight="true" outlineLevel="0" collapsed="false">
      <c r="D1143" s="17"/>
      <c r="G1143" s="17" t="str">
        <f aca="false">IF(TRIM(C1143)="","",IFERROR(INDEX('Code Aliases'!$B:$B,MATCH(TRIM(C1143),'Code Aliases'!$A:$A,0)),TRIM(C1143)))</f>
        <v/>
      </c>
      <c r="H1143" s="17" t="str">
        <f aca="false">IF(TRIM(B1143)="","",UPPER(TRIM(B1143)))</f>
        <v/>
      </c>
    </row>
    <row r="1144" customFormat="false" ht="14.25" hidden="false" customHeight="true" outlineLevel="0" collapsed="false">
      <c r="D1144" s="17"/>
      <c r="G1144" s="17" t="str">
        <f aca="false">IF(TRIM(C1144)="","",IFERROR(INDEX('Code Aliases'!$B:$B,MATCH(TRIM(C1144),'Code Aliases'!$A:$A,0)),TRIM(C1144)))</f>
        <v/>
      </c>
      <c r="H1144" s="17" t="str">
        <f aca="false">IF(TRIM(B1144)="","",UPPER(TRIM(B1144)))</f>
        <v/>
      </c>
    </row>
    <row r="1145" customFormat="false" ht="14.25" hidden="false" customHeight="true" outlineLevel="0" collapsed="false">
      <c r="D1145" s="17"/>
      <c r="G1145" s="17" t="str">
        <f aca="false">IF(TRIM(C1145)="","",IFERROR(INDEX('Code Aliases'!$B:$B,MATCH(TRIM(C1145),'Code Aliases'!$A:$A,0)),TRIM(C1145)))</f>
        <v/>
      </c>
      <c r="H1145" s="17" t="str">
        <f aca="false">IF(TRIM(B1145)="","",UPPER(TRIM(B1145)))</f>
        <v/>
      </c>
    </row>
    <row r="1146" customFormat="false" ht="14.25" hidden="false" customHeight="true" outlineLevel="0" collapsed="false">
      <c r="D1146" s="17"/>
      <c r="G1146" s="17" t="str">
        <f aca="false">IF(TRIM(C1146)="","",IFERROR(INDEX('Code Aliases'!$B:$B,MATCH(TRIM(C1146),'Code Aliases'!$A:$A,0)),TRIM(C1146)))</f>
        <v/>
      </c>
      <c r="H1146" s="17" t="str">
        <f aca="false">IF(TRIM(B1146)="","",UPPER(TRIM(B1146)))</f>
        <v/>
      </c>
    </row>
    <row r="1147" customFormat="false" ht="14.25" hidden="false" customHeight="true" outlineLevel="0" collapsed="false">
      <c r="D1147" s="17"/>
      <c r="G1147" s="17" t="str">
        <f aca="false">IF(TRIM(C1147)="","",IFERROR(INDEX('Code Aliases'!$B:$B,MATCH(TRIM(C1147),'Code Aliases'!$A:$A,0)),TRIM(C1147)))</f>
        <v/>
      </c>
      <c r="H1147" s="17" t="str">
        <f aca="false">IF(TRIM(B1147)="","",UPPER(TRIM(B1147)))</f>
        <v/>
      </c>
    </row>
    <row r="1148" customFormat="false" ht="14.25" hidden="false" customHeight="true" outlineLevel="0" collapsed="false">
      <c r="D1148" s="17"/>
      <c r="G1148" s="17" t="str">
        <f aca="false">IF(TRIM(C1148)="","",IFERROR(INDEX('Code Aliases'!$B:$B,MATCH(TRIM(C1148),'Code Aliases'!$A:$A,0)),TRIM(C1148)))</f>
        <v/>
      </c>
      <c r="H1148" s="17" t="str">
        <f aca="false">IF(TRIM(B1148)="","",UPPER(TRIM(B1148)))</f>
        <v/>
      </c>
    </row>
    <row r="1149" customFormat="false" ht="14.25" hidden="false" customHeight="true" outlineLevel="0" collapsed="false">
      <c r="D1149" s="17"/>
      <c r="G1149" s="17" t="str">
        <f aca="false">IF(TRIM(C1149)="","",IFERROR(INDEX('Code Aliases'!$B:$B,MATCH(TRIM(C1149),'Code Aliases'!$A:$A,0)),TRIM(C1149)))</f>
        <v/>
      </c>
      <c r="H1149" s="17" t="str">
        <f aca="false">IF(TRIM(B1149)="","",UPPER(TRIM(B1149)))</f>
        <v/>
      </c>
    </row>
    <row r="1150" customFormat="false" ht="14.25" hidden="false" customHeight="true" outlineLevel="0" collapsed="false">
      <c r="D1150" s="17"/>
      <c r="G1150" s="17" t="str">
        <f aca="false">IF(TRIM(C1150)="","",IFERROR(INDEX('Code Aliases'!$B:$B,MATCH(TRIM(C1150),'Code Aliases'!$A:$A,0)),TRIM(C1150)))</f>
        <v/>
      </c>
      <c r="H1150" s="17" t="str">
        <f aca="false">IF(TRIM(B1150)="","",UPPER(TRIM(B1150)))</f>
        <v/>
      </c>
    </row>
    <row r="1151" customFormat="false" ht="14.25" hidden="false" customHeight="true" outlineLevel="0" collapsed="false">
      <c r="D1151" s="17"/>
      <c r="G1151" s="17" t="str">
        <f aca="false">IF(TRIM(C1151)="","",IFERROR(INDEX('Code Aliases'!$B:$B,MATCH(TRIM(C1151),'Code Aliases'!$A:$A,0)),TRIM(C1151)))</f>
        <v/>
      </c>
      <c r="H1151" s="17" t="str">
        <f aca="false">IF(TRIM(B1151)="","",UPPER(TRIM(B1151)))</f>
        <v/>
      </c>
    </row>
    <row r="1152" customFormat="false" ht="14.25" hidden="false" customHeight="true" outlineLevel="0" collapsed="false">
      <c r="D1152" s="17"/>
      <c r="G1152" s="17" t="str">
        <f aca="false">IF(TRIM(C1152)="","",IFERROR(INDEX('Code Aliases'!$B:$B,MATCH(TRIM(C1152),'Code Aliases'!$A:$A,0)),TRIM(C1152)))</f>
        <v/>
      </c>
      <c r="H1152" s="17" t="str">
        <f aca="false">IF(TRIM(B1152)="","",UPPER(TRIM(B1152)))</f>
        <v/>
      </c>
    </row>
    <row r="1153" customFormat="false" ht="14.25" hidden="false" customHeight="true" outlineLevel="0" collapsed="false">
      <c r="D1153" s="17"/>
      <c r="G1153" s="17" t="str">
        <f aca="false">IF(TRIM(C1153)="","",IFERROR(INDEX('Code Aliases'!$B:$B,MATCH(TRIM(C1153),'Code Aliases'!$A:$A,0)),TRIM(C1153)))</f>
        <v/>
      </c>
      <c r="H1153" s="17" t="str">
        <f aca="false">IF(TRIM(B1153)="","",UPPER(TRIM(B1153)))</f>
        <v/>
      </c>
    </row>
    <row r="1154" customFormat="false" ht="14.25" hidden="false" customHeight="true" outlineLevel="0" collapsed="false">
      <c r="D1154" s="17"/>
      <c r="G1154" s="17" t="str">
        <f aca="false">IF(TRIM(C1154)="","",IFERROR(INDEX('Code Aliases'!$B:$B,MATCH(TRIM(C1154),'Code Aliases'!$A:$A,0)),TRIM(C1154)))</f>
        <v/>
      </c>
      <c r="H1154" s="17" t="str">
        <f aca="false">IF(TRIM(B1154)="","",UPPER(TRIM(B1154)))</f>
        <v/>
      </c>
    </row>
    <row r="1155" customFormat="false" ht="14.25" hidden="false" customHeight="true" outlineLevel="0" collapsed="false">
      <c r="D1155" s="17"/>
      <c r="G1155" s="17" t="str">
        <f aca="false">IF(TRIM(C1155)="","",IFERROR(INDEX('Code Aliases'!$B:$B,MATCH(TRIM(C1155),'Code Aliases'!$A:$A,0)),TRIM(C1155)))</f>
        <v/>
      </c>
      <c r="H1155" s="17" t="str">
        <f aca="false">IF(TRIM(B1155)="","",UPPER(TRIM(B1155)))</f>
        <v/>
      </c>
    </row>
    <row r="1156" customFormat="false" ht="14.25" hidden="false" customHeight="true" outlineLevel="0" collapsed="false">
      <c r="D1156" s="17"/>
      <c r="G1156" s="17" t="str">
        <f aca="false">IF(TRIM(C1156)="","",IFERROR(INDEX('Code Aliases'!$B:$B,MATCH(TRIM(C1156),'Code Aliases'!$A:$A,0)),TRIM(C1156)))</f>
        <v/>
      </c>
      <c r="H1156" s="17" t="str">
        <f aca="false">IF(TRIM(B1156)="","",UPPER(TRIM(B1156)))</f>
        <v/>
      </c>
    </row>
    <row r="1157" customFormat="false" ht="14.25" hidden="false" customHeight="true" outlineLevel="0" collapsed="false">
      <c r="D1157" s="17"/>
      <c r="G1157" s="17" t="str">
        <f aca="false">IF(TRIM(C1157)="","",IFERROR(INDEX('Code Aliases'!$B:$B,MATCH(TRIM(C1157),'Code Aliases'!$A:$A,0)),TRIM(C1157)))</f>
        <v/>
      </c>
      <c r="H1157" s="17" t="str">
        <f aca="false">IF(TRIM(B1157)="","",UPPER(TRIM(B1157)))</f>
        <v/>
      </c>
    </row>
    <row r="1158" customFormat="false" ht="14.25" hidden="false" customHeight="true" outlineLevel="0" collapsed="false">
      <c r="D1158" s="17"/>
      <c r="G1158" s="17" t="str">
        <f aca="false">IF(TRIM(C1158)="","",IFERROR(INDEX('Code Aliases'!$B:$B,MATCH(TRIM(C1158),'Code Aliases'!$A:$A,0)),TRIM(C1158)))</f>
        <v/>
      </c>
      <c r="H1158" s="17" t="str">
        <f aca="false">IF(TRIM(B1158)="","",UPPER(TRIM(B1158)))</f>
        <v/>
      </c>
    </row>
    <row r="1159" customFormat="false" ht="14.25" hidden="false" customHeight="true" outlineLevel="0" collapsed="false">
      <c r="D1159" s="17"/>
      <c r="G1159" s="17" t="str">
        <f aca="false">IF(TRIM(C1159)="","",IFERROR(INDEX('Code Aliases'!$B:$B,MATCH(TRIM(C1159),'Code Aliases'!$A:$A,0)),TRIM(C1159)))</f>
        <v/>
      </c>
      <c r="H1159" s="17" t="str">
        <f aca="false">IF(TRIM(B1159)="","",UPPER(TRIM(B1159)))</f>
        <v/>
      </c>
    </row>
    <row r="1160" customFormat="false" ht="14.25" hidden="false" customHeight="true" outlineLevel="0" collapsed="false">
      <c r="D1160" s="17"/>
      <c r="G1160" s="17" t="str">
        <f aca="false">IF(TRIM(C1160)="","",IFERROR(INDEX('Code Aliases'!$B:$B,MATCH(TRIM(C1160),'Code Aliases'!$A:$A,0)),TRIM(C1160)))</f>
        <v/>
      </c>
      <c r="H1160" s="17" t="str">
        <f aca="false">IF(TRIM(B1160)="","",UPPER(TRIM(B1160)))</f>
        <v/>
      </c>
    </row>
    <row r="1161" customFormat="false" ht="14.25" hidden="false" customHeight="true" outlineLevel="0" collapsed="false">
      <c r="D1161" s="17"/>
      <c r="G1161" s="17" t="str">
        <f aca="false">IF(TRIM(C1161)="","",IFERROR(INDEX('Code Aliases'!$B:$B,MATCH(TRIM(C1161),'Code Aliases'!$A:$A,0)),TRIM(C1161)))</f>
        <v/>
      </c>
      <c r="H1161" s="17" t="str">
        <f aca="false">IF(TRIM(B1161)="","",UPPER(TRIM(B1161)))</f>
        <v/>
      </c>
    </row>
    <row r="1162" customFormat="false" ht="14.25" hidden="false" customHeight="true" outlineLevel="0" collapsed="false">
      <c r="D1162" s="17"/>
      <c r="G1162" s="17" t="str">
        <f aca="false">IF(TRIM(C1162)="","",IFERROR(INDEX('Code Aliases'!$B:$B,MATCH(TRIM(C1162),'Code Aliases'!$A:$A,0)),TRIM(C1162)))</f>
        <v/>
      </c>
      <c r="H1162" s="17" t="str">
        <f aca="false">IF(TRIM(B1162)="","",UPPER(TRIM(B1162)))</f>
        <v/>
      </c>
    </row>
    <row r="1163" customFormat="false" ht="14.25" hidden="false" customHeight="true" outlineLevel="0" collapsed="false">
      <c r="D1163" s="17"/>
      <c r="G1163" s="17" t="str">
        <f aca="false">IF(TRIM(C1163)="","",IFERROR(INDEX('Code Aliases'!$B:$B,MATCH(TRIM(C1163),'Code Aliases'!$A:$A,0)),TRIM(C1163)))</f>
        <v/>
      </c>
      <c r="H1163" s="17" t="str">
        <f aca="false">IF(TRIM(B1163)="","",UPPER(TRIM(B1163)))</f>
        <v/>
      </c>
    </row>
    <row r="1164" customFormat="false" ht="14.25" hidden="false" customHeight="true" outlineLevel="0" collapsed="false">
      <c r="D1164" s="17"/>
      <c r="G1164" s="17" t="str">
        <f aca="false">IF(TRIM(C1164)="","",IFERROR(INDEX('Code Aliases'!$B:$B,MATCH(TRIM(C1164),'Code Aliases'!$A:$A,0)),TRIM(C1164)))</f>
        <v/>
      </c>
      <c r="H1164" s="17" t="str">
        <f aca="false">IF(TRIM(B1164)="","",UPPER(TRIM(B1164)))</f>
        <v/>
      </c>
    </row>
    <row r="1165" customFormat="false" ht="14.25" hidden="false" customHeight="true" outlineLevel="0" collapsed="false">
      <c r="D1165" s="17"/>
      <c r="G1165" s="17" t="str">
        <f aca="false">IF(TRIM(C1165)="","",IFERROR(INDEX('Code Aliases'!$B:$B,MATCH(TRIM(C1165),'Code Aliases'!$A:$A,0)),TRIM(C1165)))</f>
        <v/>
      </c>
      <c r="H1165" s="17" t="str">
        <f aca="false">IF(TRIM(B1165)="","",UPPER(TRIM(B1165)))</f>
        <v/>
      </c>
    </row>
    <row r="1166" customFormat="false" ht="14.25" hidden="false" customHeight="true" outlineLevel="0" collapsed="false">
      <c r="D1166" s="17"/>
      <c r="G1166" s="17" t="str">
        <f aca="false">IF(TRIM(C1166)="","",IFERROR(INDEX('Code Aliases'!$B:$B,MATCH(TRIM(C1166),'Code Aliases'!$A:$A,0)),TRIM(C1166)))</f>
        <v/>
      </c>
      <c r="H1166" s="17" t="str">
        <f aca="false">IF(TRIM(B1166)="","",UPPER(TRIM(B1166)))</f>
        <v/>
      </c>
    </row>
    <row r="1167" customFormat="false" ht="14.25" hidden="false" customHeight="true" outlineLevel="0" collapsed="false">
      <c r="D1167" s="17"/>
      <c r="G1167" s="17" t="str">
        <f aca="false">IF(TRIM(C1167)="","",IFERROR(INDEX('Code Aliases'!$B:$B,MATCH(TRIM(C1167),'Code Aliases'!$A:$A,0)),TRIM(C1167)))</f>
        <v/>
      </c>
      <c r="H1167" s="17" t="str">
        <f aca="false">IF(TRIM(B1167)="","",UPPER(TRIM(B1167)))</f>
        <v/>
      </c>
    </row>
    <row r="1168" customFormat="false" ht="14.25" hidden="false" customHeight="true" outlineLevel="0" collapsed="false">
      <c r="D1168" s="17"/>
      <c r="G1168" s="17" t="str">
        <f aca="false">IF(TRIM(C1168)="","",IFERROR(INDEX('Code Aliases'!$B:$B,MATCH(TRIM(C1168),'Code Aliases'!$A:$A,0)),TRIM(C1168)))</f>
        <v/>
      </c>
      <c r="H1168" s="17" t="str">
        <f aca="false">IF(TRIM(B1168)="","",UPPER(TRIM(B1168)))</f>
        <v/>
      </c>
    </row>
    <row r="1169" customFormat="false" ht="14.25" hidden="false" customHeight="true" outlineLevel="0" collapsed="false">
      <c r="D1169" s="17"/>
      <c r="G1169" s="17" t="str">
        <f aca="false">IF(TRIM(C1169)="","",IFERROR(INDEX('Code Aliases'!$B:$B,MATCH(TRIM(C1169),'Code Aliases'!$A:$A,0)),TRIM(C1169)))</f>
        <v/>
      </c>
      <c r="H1169" s="17" t="str">
        <f aca="false">IF(TRIM(B1169)="","",UPPER(TRIM(B1169)))</f>
        <v/>
      </c>
    </row>
    <row r="1170" customFormat="false" ht="14.25" hidden="false" customHeight="true" outlineLevel="0" collapsed="false">
      <c r="D1170" s="17"/>
      <c r="G1170" s="17" t="str">
        <f aca="false">IF(TRIM(C1170)="","",IFERROR(INDEX('Code Aliases'!$B:$B,MATCH(TRIM(C1170),'Code Aliases'!$A:$A,0)),TRIM(C1170)))</f>
        <v/>
      </c>
      <c r="H1170" s="17" t="str">
        <f aca="false">IF(TRIM(B1170)="","",UPPER(TRIM(B1170)))</f>
        <v/>
      </c>
    </row>
    <row r="1171" customFormat="false" ht="14.25" hidden="false" customHeight="true" outlineLevel="0" collapsed="false">
      <c r="D1171" s="17"/>
      <c r="G1171" s="17" t="str">
        <f aca="false">IF(TRIM(C1171)="","",IFERROR(INDEX('Code Aliases'!$B:$B,MATCH(TRIM(C1171),'Code Aliases'!$A:$A,0)),TRIM(C1171)))</f>
        <v/>
      </c>
      <c r="H1171" s="17" t="str">
        <f aca="false">IF(TRIM(B1171)="","",UPPER(TRIM(B1171)))</f>
        <v/>
      </c>
    </row>
    <row r="1172" customFormat="false" ht="14.25" hidden="false" customHeight="true" outlineLevel="0" collapsed="false">
      <c r="D1172" s="17"/>
      <c r="G1172" s="17" t="str">
        <f aca="false">IF(TRIM(C1172)="","",IFERROR(INDEX('Code Aliases'!$B:$B,MATCH(TRIM(C1172),'Code Aliases'!$A:$A,0)),TRIM(C1172)))</f>
        <v/>
      </c>
      <c r="H1172" s="17" t="str">
        <f aca="false">IF(TRIM(B1172)="","",UPPER(TRIM(B1172)))</f>
        <v/>
      </c>
    </row>
    <row r="1173" customFormat="false" ht="14.25" hidden="false" customHeight="true" outlineLevel="0" collapsed="false">
      <c r="D1173" s="17"/>
      <c r="G1173" s="17" t="str">
        <f aca="false">IF(TRIM(C1173)="","",IFERROR(INDEX('Code Aliases'!$B:$B,MATCH(TRIM(C1173),'Code Aliases'!$A:$A,0)),TRIM(C1173)))</f>
        <v/>
      </c>
      <c r="H1173" s="17" t="str">
        <f aca="false">IF(TRIM(B1173)="","",UPPER(TRIM(B1173)))</f>
        <v/>
      </c>
    </row>
    <row r="1174" customFormat="false" ht="14.25" hidden="false" customHeight="true" outlineLevel="0" collapsed="false">
      <c r="D1174" s="17"/>
      <c r="G1174" s="17" t="str">
        <f aca="false">IF(TRIM(C1174)="","",IFERROR(INDEX('Code Aliases'!$B:$B,MATCH(TRIM(C1174),'Code Aliases'!$A:$A,0)),TRIM(C1174)))</f>
        <v/>
      </c>
      <c r="H1174" s="17" t="str">
        <f aca="false">IF(TRIM(B1174)="","",UPPER(TRIM(B1174)))</f>
        <v/>
      </c>
    </row>
    <row r="1175" customFormat="false" ht="14.25" hidden="false" customHeight="true" outlineLevel="0" collapsed="false">
      <c r="D1175" s="17"/>
      <c r="G1175" s="17" t="str">
        <f aca="false">IF(TRIM(C1175)="","",IFERROR(INDEX('Code Aliases'!$B:$B,MATCH(TRIM(C1175),'Code Aliases'!$A:$A,0)),TRIM(C1175)))</f>
        <v/>
      </c>
      <c r="H1175" s="17" t="str">
        <f aca="false">IF(TRIM(B1175)="","",UPPER(TRIM(B1175)))</f>
        <v/>
      </c>
    </row>
    <row r="1176" customFormat="false" ht="14.25" hidden="false" customHeight="true" outlineLevel="0" collapsed="false">
      <c r="D1176" s="17"/>
      <c r="G1176" s="17" t="str">
        <f aca="false">IF(TRIM(C1176)="","",IFERROR(INDEX('Code Aliases'!$B:$B,MATCH(TRIM(C1176),'Code Aliases'!$A:$A,0)),TRIM(C1176)))</f>
        <v/>
      </c>
      <c r="H1176" s="17" t="str">
        <f aca="false">IF(TRIM(B1176)="","",UPPER(TRIM(B1176)))</f>
        <v/>
      </c>
    </row>
    <row r="1177" customFormat="false" ht="14.25" hidden="false" customHeight="true" outlineLevel="0" collapsed="false">
      <c r="D1177" s="17"/>
      <c r="G1177" s="17" t="str">
        <f aca="false">IF(TRIM(C1177)="","",IFERROR(INDEX('Code Aliases'!$B:$B,MATCH(TRIM(C1177),'Code Aliases'!$A:$A,0)),TRIM(C1177)))</f>
        <v/>
      </c>
      <c r="H1177" s="17" t="str">
        <f aca="false">IF(TRIM(B1177)="","",UPPER(TRIM(B1177)))</f>
        <v/>
      </c>
    </row>
    <row r="1178" customFormat="false" ht="14.25" hidden="false" customHeight="true" outlineLevel="0" collapsed="false">
      <c r="D1178" s="17"/>
      <c r="G1178" s="17" t="str">
        <f aca="false">IF(TRIM(C1178)="","",IFERROR(INDEX('Code Aliases'!$B:$B,MATCH(TRIM(C1178),'Code Aliases'!$A:$A,0)),TRIM(C1178)))</f>
        <v/>
      </c>
      <c r="H1178" s="17" t="str">
        <f aca="false">IF(TRIM(B1178)="","",UPPER(TRIM(B1178)))</f>
        <v/>
      </c>
    </row>
    <row r="1179" customFormat="false" ht="14.25" hidden="false" customHeight="true" outlineLevel="0" collapsed="false">
      <c r="D1179" s="17"/>
      <c r="G1179" s="17" t="str">
        <f aca="false">IF(TRIM(C1179)="","",IFERROR(INDEX('Code Aliases'!$B:$B,MATCH(TRIM(C1179),'Code Aliases'!$A:$A,0)),TRIM(C1179)))</f>
        <v/>
      </c>
      <c r="H1179" s="17" t="str">
        <f aca="false">IF(TRIM(B1179)="","",UPPER(TRIM(B1179)))</f>
        <v/>
      </c>
    </row>
    <row r="1180" customFormat="false" ht="14.25" hidden="false" customHeight="true" outlineLevel="0" collapsed="false">
      <c r="D1180" s="17"/>
      <c r="G1180" s="17" t="str">
        <f aca="false">IF(TRIM(C1180)="","",IFERROR(INDEX('Code Aliases'!$B:$B,MATCH(TRIM(C1180),'Code Aliases'!$A:$A,0)),TRIM(C1180)))</f>
        <v/>
      </c>
      <c r="H1180" s="17" t="str">
        <f aca="false">IF(TRIM(B1180)="","",UPPER(TRIM(B1180)))</f>
        <v/>
      </c>
    </row>
    <row r="1181" customFormat="false" ht="14.25" hidden="false" customHeight="true" outlineLevel="0" collapsed="false">
      <c r="D1181" s="17"/>
      <c r="G1181" s="17" t="str">
        <f aca="false">IF(TRIM(C1181)="","",IFERROR(INDEX('Code Aliases'!$B:$B,MATCH(TRIM(C1181),'Code Aliases'!$A:$A,0)),TRIM(C1181)))</f>
        <v/>
      </c>
      <c r="H1181" s="17" t="str">
        <f aca="false">IF(TRIM(B1181)="","",UPPER(TRIM(B1181)))</f>
        <v/>
      </c>
    </row>
    <row r="1182" customFormat="false" ht="14.25" hidden="false" customHeight="true" outlineLevel="0" collapsed="false">
      <c r="D1182" s="17"/>
      <c r="G1182" s="17" t="str">
        <f aca="false">IF(TRIM(C1182)="","",IFERROR(INDEX('Code Aliases'!$B:$B,MATCH(TRIM(C1182),'Code Aliases'!$A:$A,0)),TRIM(C1182)))</f>
        <v/>
      </c>
      <c r="H1182" s="17" t="str">
        <f aca="false">IF(TRIM(B1182)="","",UPPER(TRIM(B1182)))</f>
        <v/>
      </c>
    </row>
    <row r="1183" customFormat="false" ht="14.25" hidden="false" customHeight="true" outlineLevel="0" collapsed="false">
      <c r="D1183" s="17"/>
      <c r="G1183" s="17" t="str">
        <f aca="false">IF(TRIM(C1183)="","",IFERROR(INDEX('Code Aliases'!$B:$B,MATCH(TRIM(C1183),'Code Aliases'!$A:$A,0)),TRIM(C1183)))</f>
        <v/>
      </c>
      <c r="H1183" s="17" t="str">
        <f aca="false">IF(TRIM(B1183)="","",UPPER(TRIM(B1183)))</f>
        <v/>
      </c>
    </row>
    <row r="1184" customFormat="false" ht="14.25" hidden="false" customHeight="true" outlineLevel="0" collapsed="false">
      <c r="D1184" s="17"/>
      <c r="G1184" s="17" t="str">
        <f aca="false">IF(TRIM(C1184)="","",IFERROR(INDEX('Code Aliases'!$B:$B,MATCH(TRIM(C1184),'Code Aliases'!$A:$A,0)),TRIM(C1184)))</f>
        <v/>
      </c>
      <c r="H1184" s="17" t="str">
        <f aca="false">IF(TRIM(B1184)="","",UPPER(TRIM(B1184)))</f>
        <v/>
      </c>
    </row>
    <row r="1185" customFormat="false" ht="14.25" hidden="false" customHeight="true" outlineLevel="0" collapsed="false">
      <c r="D1185" s="17"/>
      <c r="G1185" s="17" t="str">
        <f aca="false">IF(TRIM(C1185)="","",IFERROR(INDEX('Code Aliases'!$B:$B,MATCH(TRIM(C1185),'Code Aliases'!$A:$A,0)),TRIM(C1185)))</f>
        <v/>
      </c>
      <c r="H1185" s="17" t="str">
        <f aca="false">IF(TRIM(B1185)="","",UPPER(TRIM(B1185)))</f>
        <v/>
      </c>
    </row>
    <row r="1186" customFormat="false" ht="14.25" hidden="false" customHeight="true" outlineLevel="0" collapsed="false">
      <c r="D1186" s="17"/>
      <c r="G1186" s="17" t="str">
        <f aca="false">IF(TRIM(C1186)="","",IFERROR(INDEX('Code Aliases'!$B:$B,MATCH(TRIM(C1186),'Code Aliases'!$A:$A,0)),TRIM(C1186)))</f>
        <v/>
      </c>
      <c r="H1186" s="17" t="str">
        <f aca="false">IF(TRIM(B1186)="","",UPPER(TRIM(B1186)))</f>
        <v/>
      </c>
    </row>
    <row r="1187" customFormat="false" ht="14.25" hidden="false" customHeight="true" outlineLevel="0" collapsed="false">
      <c r="D1187" s="17"/>
      <c r="G1187" s="17" t="str">
        <f aca="false">IF(TRIM(C1187)="","",IFERROR(INDEX('Code Aliases'!$B:$B,MATCH(TRIM(C1187),'Code Aliases'!$A:$A,0)),TRIM(C1187)))</f>
        <v/>
      </c>
      <c r="H1187" s="17" t="str">
        <f aca="false">IF(TRIM(B1187)="","",UPPER(TRIM(B1187)))</f>
        <v/>
      </c>
    </row>
    <row r="1188" customFormat="false" ht="14.25" hidden="false" customHeight="true" outlineLevel="0" collapsed="false">
      <c r="D1188" s="17"/>
      <c r="G1188" s="17" t="str">
        <f aca="false">IF(TRIM(C1188)="","",IFERROR(INDEX('Code Aliases'!$B:$B,MATCH(TRIM(C1188),'Code Aliases'!$A:$A,0)),TRIM(C1188)))</f>
        <v/>
      </c>
      <c r="H1188" s="17" t="str">
        <f aca="false">IF(TRIM(B1188)="","",UPPER(TRIM(B1188)))</f>
        <v/>
      </c>
    </row>
    <row r="1189" customFormat="false" ht="14.25" hidden="false" customHeight="true" outlineLevel="0" collapsed="false">
      <c r="D1189" s="17"/>
      <c r="G1189" s="17" t="str">
        <f aca="false">IF(TRIM(C1189)="","",IFERROR(INDEX('Code Aliases'!$B:$B,MATCH(TRIM(C1189),'Code Aliases'!$A:$A,0)),TRIM(C1189)))</f>
        <v/>
      </c>
      <c r="H1189" s="17" t="str">
        <f aca="false">IF(TRIM(B1189)="","",UPPER(TRIM(B1189)))</f>
        <v/>
      </c>
    </row>
    <row r="1190" customFormat="false" ht="14.25" hidden="false" customHeight="true" outlineLevel="0" collapsed="false">
      <c r="D1190" s="17"/>
      <c r="G1190" s="17" t="str">
        <f aca="false">IF(TRIM(C1190)="","",IFERROR(INDEX('Code Aliases'!$B:$B,MATCH(TRIM(C1190),'Code Aliases'!$A:$A,0)),TRIM(C1190)))</f>
        <v/>
      </c>
      <c r="H1190" s="17" t="str">
        <f aca="false">IF(TRIM(B1190)="","",UPPER(TRIM(B1190)))</f>
        <v/>
      </c>
    </row>
    <row r="1191" customFormat="false" ht="14.25" hidden="false" customHeight="true" outlineLevel="0" collapsed="false">
      <c r="D1191" s="17"/>
      <c r="G1191" s="17" t="str">
        <f aca="false">IF(TRIM(C1191)="","",IFERROR(INDEX('Code Aliases'!$B:$B,MATCH(TRIM(C1191),'Code Aliases'!$A:$A,0)),TRIM(C1191)))</f>
        <v/>
      </c>
      <c r="H1191" s="17" t="str">
        <f aca="false">IF(TRIM(B1191)="","",UPPER(TRIM(B1191)))</f>
        <v/>
      </c>
    </row>
    <row r="1192" customFormat="false" ht="14.25" hidden="false" customHeight="true" outlineLevel="0" collapsed="false">
      <c r="D1192" s="17"/>
      <c r="G1192" s="17" t="str">
        <f aca="false">IF(TRIM(C1192)="","",IFERROR(INDEX('Code Aliases'!$B:$B,MATCH(TRIM(C1192),'Code Aliases'!$A:$A,0)),TRIM(C1192)))</f>
        <v/>
      </c>
      <c r="H1192" s="17" t="str">
        <f aca="false">IF(TRIM(B1192)="","",UPPER(TRIM(B1192)))</f>
        <v/>
      </c>
    </row>
    <row r="1193" customFormat="false" ht="14.25" hidden="false" customHeight="true" outlineLevel="0" collapsed="false">
      <c r="D1193" s="17"/>
      <c r="G1193" s="17" t="str">
        <f aca="false">IF(TRIM(C1193)="","",IFERROR(INDEX('Code Aliases'!$B:$B,MATCH(TRIM(C1193),'Code Aliases'!$A:$A,0)),TRIM(C1193)))</f>
        <v/>
      </c>
      <c r="H1193" s="17" t="str">
        <f aca="false">IF(TRIM(B1193)="","",UPPER(TRIM(B1193)))</f>
        <v/>
      </c>
    </row>
    <row r="1194" customFormat="false" ht="14.25" hidden="false" customHeight="true" outlineLevel="0" collapsed="false">
      <c r="D1194" s="17"/>
      <c r="G1194" s="17" t="str">
        <f aca="false">IF(TRIM(C1194)="","",IFERROR(INDEX('Code Aliases'!$B:$B,MATCH(TRIM(C1194),'Code Aliases'!$A:$A,0)),TRIM(C1194)))</f>
        <v/>
      </c>
      <c r="H1194" s="17" t="str">
        <f aca="false">IF(TRIM(B1194)="","",UPPER(TRIM(B1194)))</f>
        <v/>
      </c>
    </row>
    <row r="1195" customFormat="false" ht="14.25" hidden="false" customHeight="true" outlineLevel="0" collapsed="false">
      <c r="D1195" s="17"/>
      <c r="G1195" s="17" t="str">
        <f aca="false">IF(TRIM(C1195)="","",IFERROR(INDEX('Code Aliases'!$B:$B,MATCH(TRIM(C1195),'Code Aliases'!$A:$A,0)),TRIM(C1195)))</f>
        <v/>
      </c>
      <c r="H1195" s="17" t="str">
        <f aca="false">IF(TRIM(B1195)="","",UPPER(TRIM(B1195)))</f>
        <v/>
      </c>
    </row>
    <row r="1196" customFormat="false" ht="14.25" hidden="false" customHeight="true" outlineLevel="0" collapsed="false">
      <c r="D1196" s="17"/>
      <c r="G1196" s="17" t="str">
        <f aca="false">IF(TRIM(C1196)="","",IFERROR(INDEX('Code Aliases'!$B:$B,MATCH(TRIM(C1196),'Code Aliases'!$A:$A,0)),TRIM(C1196)))</f>
        <v/>
      </c>
      <c r="H1196" s="17" t="str">
        <f aca="false">IF(TRIM(B1196)="","",UPPER(TRIM(B1196)))</f>
        <v/>
      </c>
    </row>
    <row r="1197" customFormat="false" ht="14.25" hidden="false" customHeight="true" outlineLevel="0" collapsed="false">
      <c r="D1197" s="17"/>
      <c r="G1197" s="17" t="str">
        <f aca="false">IF(TRIM(C1197)="","",IFERROR(INDEX('Code Aliases'!$B:$B,MATCH(TRIM(C1197),'Code Aliases'!$A:$A,0)),TRIM(C1197)))</f>
        <v/>
      </c>
      <c r="H1197" s="17" t="str">
        <f aca="false">IF(TRIM(B1197)="","",UPPER(TRIM(B1197)))</f>
        <v/>
      </c>
    </row>
    <row r="1198" customFormat="false" ht="14.25" hidden="false" customHeight="true" outlineLevel="0" collapsed="false">
      <c r="D1198" s="17"/>
      <c r="G1198" s="17" t="str">
        <f aca="false">IF(TRIM(C1198)="","",IFERROR(INDEX('Code Aliases'!$B:$B,MATCH(TRIM(C1198),'Code Aliases'!$A:$A,0)),TRIM(C1198)))</f>
        <v/>
      </c>
      <c r="H1198" s="17" t="str">
        <f aca="false">IF(TRIM(B1198)="","",UPPER(TRIM(B1198)))</f>
        <v/>
      </c>
    </row>
    <row r="1199" customFormat="false" ht="14.25" hidden="false" customHeight="true" outlineLevel="0" collapsed="false">
      <c r="D1199" s="17"/>
      <c r="G1199" s="17" t="str">
        <f aca="false">IF(TRIM(C1199)="","",IFERROR(INDEX('Code Aliases'!$B:$B,MATCH(TRIM(C1199),'Code Aliases'!$A:$A,0)),TRIM(C1199)))</f>
        <v/>
      </c>
      <c r="H1199" s="17" t="str">
        <f aca="false">IF(TRIM(B1199)="","",UPPER(TRIM(B1199)))</f>
        <v/>
      </c>
    </row>
    <row r="1200" customFormat="false" ht="14.25" hidden="false" customHeight="true" outlineLevel="0" collapsed="false">
      <c r="D1200" s="17"/>
      <c r="G1200" s="17" t="str">
        <f aca="false">IF(TRIM(C1200)="","",IFERROR(INDEX('Code Aliases'!$B:$B,MATCH(TRIM(C1200),'Code Aliases'!$A:$A,0)),TRIM(C1200)))</f>
        <v/>
      </c>
      <c r="H1200" s="17" t="str">
        <f aca="false">IF(TRIM(B1200)="","",UPPER(TRIM(B1200)))</f>
        <v/>
      </c>
    </row>
    <row r="1201" customFormat="false" ht="14.25" hidden="false" customHeight="true" outlineLevel="0" collapsed="false">
      <c r="D1201" s="17"/>
      <c r="G1201" s="17" t="str">
        <f aca="false">IF(TRIM(C1201)="","",IFERROR(INDEX('Code Aliases'!$B:$B,MATCH(TRIM(C1201),'Code Aliases'!$A:$A,0)),TRIM(C1201)))</f>
        <v/>
      </c>
      <c r="H1201" s="17" t="str">
        <f aca="false">IF(TRIM(B1201)="","",UPPER(TRIM(B1201)))</f>
        <v/>
      </c>
    </row>
    <row r="1202" customFormat="false" ht="14.25" hidden="false" customHeight="true" outlineLevel="0" collapsed="false">
      <c r="D1202" s="17"/>
      <c r="G1202" s="17" t="str">
        <f aca="false">IF(TRIM(C1202)="","",IFERROR(INDEX('Code Aliases'!$B:$B,MATCH(TRIM(C1202),'Code Aliases'!$A:$A,0)),TRIM(C1202)))</f>
        <v/>
      </c>
      <c r="H1202" s="17" t="str">
        <f aca="false">IF(TRIM(B1202)="","",UPPER(TRIM(B1202)))</f>
        <v/>
      </c>
    </row>
    <row r="1203" customFormat="false" ht="14.25" hidden="false" customHeight="true" outlineLevel="0" collapsed="false">
      <c r="D1203" s="17"/>
      <c r="G1203" s="17" t="str">
        <f aca="false">IF(TRIM(C1203)="","",IFERROR(INDEX('Code Aliases'!$B:$B,MATCH(TRIM(C1203),'Code Aliases'!$A:$A,0)),TRIM(C1203)))</f>
        <v/>
      </c>
      <c r="H1203" s="17" t="str">
        <f aca="false">IF(TRIM(B1203)="","",UPPER(TRIM(B1203)))</f>
        <v/>
      </c>
    </row>
    <row r="1204" customFormat="false" ht="14.25" hidden="false" customHeight="true" outlineLevel="0" collapsed="false">
      <c r="D1204" s="17"/>
      <c r="G1204" s="17" t="str">
        <f aca="false">IF(TRIM(C1204)="","",IFERROR(INDEX('Code Aliases'!$B:$B,MATCH(TRIM(C1204),'Code Aliases'!$A:$A,0)),TRIM(C1204)))</f>
        <v/>
      </c>
      <c r="H1204" s="17" t="str">
        <f aca="false">IF(TRIM(B1204)="","",UPPER(TRIM(B1204)))</f>
        <v/>
      </c>
    </row>
    <row r="1205" customFormat="false" ht="14.25" hidden="false" customHeight="true" outlineLevel="0" collapsed="false">
      <c r="D1205" s="17"/>
      <c r="G1205" s="17" t="str">
        <f aca="false">IF(TRIM(C1205)="","",IFERROR(INDEX('Code Aliases'!$B:$B,MATCH(TRIM(C1205),'Code Aliases'!$A:$A,0)),TRIM(C1205)))</f>
        <v/>
      </c>
      <c r="H1205" s="17" t="str">
        <f aca="false">IF(TRIM(B1205)="","",UPPER(TRIM(B1205)))</f>
        <v/>
      </c>
    </row>
    <row r="1206" customFormat="false" ht="14.25" hidden="false" customHeight="true" outlineLevel="0" collapsed="false">
      <c r="D1206" s="17"/>
      <c r="G1206" s="17" t="str">
        <f aca="false">IF(TRIM(C1206)="","",IFERROR(INDEX('Code Aliases'!$B:$B,MATCH(TRIM(C1206),'Code Aliases'!$A:$A,0)),TRIM(C1206)))</f>
        <v/>
      </c>
      <c r="H1206" s="17" t="str">
        <f aca="false">IF(TRIM(B1206)="","",UPPER(TRIM(B1206)))</f>
        <v/>
      </c>
    </row>
    <row r="1207" customFormat="false" ht="14.25" hidden="false" customHeight="true" outlineLevel="0" collapsed="false">
      <c r="D1207" s="17"/>
      <c r="G1207" s="17" t="str">
        <f aca="false">IF(TRIM(C1207)="","",IFERROR(INDEX('Code Aliases'!$B:$B,MATCH(TRIM(C1207),'Code Aliases'!$A:$A,0)),TRIM(C1207)))</f>
        <v/>
      </c>
      <c r="H1207" s="17" t="str">
        <f aca="false">IF(TRIM(B1207)="","",UPPER(TRIM(B1207)))</f>
        <v/>
      </c>
    </row>
    <row r="1208" customFormat="false" ht="14.25" hidden="false" customHeight="true" outlineLevel="0" collapsed="false">
      <c r="D1208" s="17"/>
      <c r="G1208" s="17" t="str">
        <f aca="false">IF(TRIM(C1208)="","",IFERROR(INDEX('Code Aliases'!$B:$B,MATCH(TRIM(C1208),'Code Aliases'!$A:$A,0)),TRIM(C1208)))</f>
        <v/>
      </c>
      <c r="H1208" s="17" t="str">
        <f aca="false">IF(TRIM(B1208)="","",UPPER(TRIM(B1208)))</f>
        <v/>
      </c>
    </row>
    <row r="1209" customFormat="false" ht="14.25" hidden="false" customHeight="true" outlineLevel="0" collapsed="false">
      <c r="D1209" s="17"/>
      <c r="G1209" s="17" t="str">
        <f aca="false">IF(TRIM(C1209)="","",IFERROR(INDEX('Code Aliases'!$B:$B,MATCH(TRIM(C1209),'Code Aliases'!$A:$A,0)),TRIM(C1209)))</f>
        <v/>
      </c>
      <c r="H1209" s="17" t="str">
        <f aca="false">IF(TRIM(B1209)="","",UPPER(TRIM(B1209)))</f>
        <v/>
      </c>
    </row>
    <row r="1210" customFormat="false" ht="14.25" hidden="false" customHeight="true" outlineLevel="0" collapsed="false">
      <c r="D1210" s="17"/>
      <c r="G1210" s="17" t="str">
        <f aca="false">IF(TRIM(C1210)="","",IFERROR(INDEX('Code Aliases'!$B:$B,MATCH(TRIM(C1210),'Code Aliases'!$A:$A,0)),TRIM(C1210)))</f>
        <v/>
      </c>
      <c r="H1210" s="17" t="str">
        <f aca="false">IF(TRIM(B1210)="","",UPPER(TRIM(B1210)))</f>
        <v/>
      </c>
    </row>
    <row r="1211" customFormat="false" ht="14.25" hidden="false" customHeight="true" outlineLevel="0" collapsed="false">
      <c r="D1211" s="17"/>
      <c r="G1211" s="17" t="str">
        <f aca="false">IF(TRIM(C1211)="","",IFERROR(INDEX('Code Aliases'!$B:$B,MATCH(TRIM(C1211),'Code Aliases'!$A:$A,0)),TRIM(C1211)))</f>
        <v/>
      </c>
      <c r="H1211" s="17" t="str">
        <f aca="false">IF(TRIM(B1211)="","",UPPER(TRIM(B1211)))</f>
        <v/>
      </c>
    </row>
    <row r="1212" customFormat="false" ht="14.25" hidden="false" customHeight="true" outlineLevel="0" collapsed="false">
      <c r="D1212" s="17"/>
      <c r="G1212" s="17" t="str">
        <f aca="false">IF(TRIM(C1212)="","",IFERROR(INDEX('Code Aliases'!$B:$B,MATCH(TRIM(C1212),'Code Aliases'!$A:$A,0)),TRIM(C1212)))</f>
        <v/>
      </c>
      <c r="H1212" s="17" t="str">
        <f aca="false">IF(TRIM(B1212)="","",UPPER(TRIM(B1212)))</f>
        <v/>
      </c>
    </row>
    <row r="1213" customFormat="false" ht="14.25" hidden="false" customHeight="true" outlineLevel="0" collapsed="false">
      <c r="D1213" s="17"/>
      <c r="G1213" s="17" t="str">
        <f aca="false">IF(TRIM(C1213)="","",IFERROR(INDEX('Code Aliases'!$B:$B,MATCH(TRIM(C1213),'Code Aliases'!$A:$A,0)),TRIM(C1213)))</f>
        <v/>
      </c>
      <c r="H1213" s="17" t="str">
        <f aca="false">IF(TRIM(B1213)="","",UPPER(TRIM(B1213)))</f>
        <v/>
      </c>
    </row>
    <row r="1214" customFormat="false" ht="14.25" hidden="false" customHeight="true" outlineLevel="0" collapsed="false">
      <c r="D1214" s="17"/>
      <c r="G1214" s="17" t="str">
        <f aca="false">IF(TRIM(C1214)="","",IFERROR(INDEX('Code Aliases'!$B:$B,MATCH(TRIM(C1214),'Code Aliases'!$A:$A,0)),TRIM(C1214)))</f>
        <v/>
      </c>
      <c r="H1214" s="17" t="str">
        <f aca="false">IF(TRIM(B1214)="","",UPPER(TRIM(B1214)))</f>
        <v/>
      </c>
    </row>
    <row r="1215" customFormat="false" ht="14.25" hidden="false" customHeight="true" outlineLevel="0" collapsed="false">
      <c r="D1215" s="17"/>
      <c r="G1215" s="17" t="str">
        <f aca="false">IF(TRIM(C1215)="","",IFERROR(INDEX('Code Aliases'!$B:$B,MATCH(TRIM(C1215),'Code Aliases'!$A:$A,0)),TRIM(C1215)))</f>
        <v/>
      </c>
      <c r="H1215" s="17" t="str">
        <f aca="false">IF(TRIM(B1215)="","",UPPER(TRIM(B1215)))</f>
        <v/>
      </c>
    </row>
    <row r="1216" customFormat="false" ht="14.25" hidden="false" customHeight="true" outlineLevel="0" collapsed="false">
      <c r="D1216" s="17"/>
      <c r="G1216" s="17" t="str">
        <f aca="false">IF(TRIM(C1216)="","",IFERROR(INDEX('Code Aliases'!$B:$B,MATCH(TRIM(C1216),'Code Aliases'!$A:$A,0)),TRIM(C1216)))</f>
        <v/>
      </c>
      <c r="H1216" s="17" t="str">
        <f aca="false">IF(TRIM(B1216)="","",UPPER(TRIM(B1216)))</f>
        <v/>
      </c>
    </row>
    <row r="1217" customFormat="false" ht="14.25" hidden="false" customHeight="true" outlineLevel="0" collapsed="false">
      <c r="D1217" s="17"/>
      <c r="G1217" s="17" t="str">
        <f aca="false">IF(TRIM(C1217)="","",IFERROR(INDEX('Code Aliases'!$B:$B,MATCH(TRIM(C1217),'Code Aliases'!$A:$A,0)),TRIM(C1217)))</f>
        <v/>
      </c>
      <c r="H1217" s="17" t="str">
        <f aca="false">IF(TRIM(B1217)="","",UPPER(TRIM(B1217)))</f>
        <v/>
      </c>
    </row>
    <row r="1218" customFormat="false" ht="14.25" hidden="false" customHeight="true" outlineLevel="0" collapsed="false">
      <c r="D1218" s="17"/>
      <c r="G1218" s="17" t="str">
        <f aca="false">IF(TRIM(C1218)="","",IFERROR(INDEX('Code Aliases'!$B:$B,MATCH(TRIM(C1218),'Code Aliases'!$A:$A,0)),TRIM(C1218)))</f>
        <v/>
      </c>
      <c r="H1218" s="17" t="str">
        <f aca="false">IF(TRIM(B1218)="","",UPPER(TRIM(B1218)))</f>
        <v/>
      </c>
    </row>
    <row r="1219" customFormat="false" ht="14.25" hidden="false" customHeight="true" outlineLevel="0" collapsed="false">
      <c r="D1219" s="17"/>
      <c r="G1219" s="17" t="str">
        <f aca="false">IF(TRIM(C1219)="","",IFERROR(INDEX('Code Aliases'!$B:$B,MATCH(TRIM(C1219),'Code Aliases'!$A:$A,0)),TRIM(C1219)))</f>
        <v/>
      </c>
      <c r="H1219" s="17" t="str">
        <f aca="false">IF(TRIM(B1219)="","",UPPER(TRIM(B1219)))</f>
        <v/>
      </c>
    </row>
    <row r="1220" customFormat="false" ht="14.25" hidden="false" customHeight="true" outlineLevel="0" collapsed="false">
      <c r="D1220" s="17"/>
      <c r="G1220" s="17" t="str">
        <f aca="false">IF(TRIM(C1220)="","",IFERROR(INDEX('Code Aliases'!$B:$B,MATCH(TRIM(C1220),'Code Aliases'!$A:$A,0)),TRIM(C1220)))</f>
        <v/>
      </c>
      <c r="H1220" s="17" t="str">
        <f aca="false">IF(TRIM(B1220)="","",UPPER(TRIM(B1220)))</f>
        <v/>
      </c>
    </row>
    <row r="1221" customFormat="false" ht="14.25" hidden="false" customHeight="true" outlineLevel="0" collapsed="false">
      <c r="D1221" s="17"/>
      <c r="G1221" s="17" t="str">
        <f aca="false">IF(TRIM(C1221)="","",IFERROR(INDEX('Code Aliases'!$B:$B,MATCH(TRIM(C1221),'Code Aliases'!$A:$A,0)),TRIM(C1221)))</f>
        <v/>
      </c>
      <c r="H1221" s="17" t="str">
        <f aca="false">IF(TRIM(B1221)="","",UPPER(TRIM(B1221)))</f>
        <v/>
      </c>
    </row>
    <row r="1222" customFormat="false" ht="14.25" hidden="false" customHeight="true" outlineLevel="0" collapsed="false">
      <c r="D1222" s="17"/>
      <c r="G1222" s="17" t="str">
        <f aca="false">IF(TRIM(C1222)="","",IFERROR(INDEX('Code Aliases'!$B:$B,MATCH(TRIM(C1222),'Code Aliases'!$A:$A,0)),TRIM(C1222)))</f>
        <v/>
      </c>
      <c r="H1222" s="17" t="str">
        <f aca="false">IF(TRIM(B1222)="","",UPPER(TRIM(B1222)))</f>
        <v/>
      </c>
    </row>
    <row r="1223" customFormat="false" ht="14.25" hidden="false" customHeight="true" outlineLevel="0" collapsed="false">
      <c r="D1223" s="17"/>
      <c r="G1223" s="17" t="str">
        <f aca="false">IF(TRIM(C1223)="","",IFERROR(INDEX('Code Aliases'!$B:$B,MATCH(TRIM(C1223),'Code Aliases'!$A:$A,0)),TRIM(C1223)))</f>
        <v/>
      </c>
      <c r="H1223" s="17" t="str">
        <f aca="false">IF(TRIM(B1223)="","",UPPER(TRIM(B1223)))</f>
        <v/>
      </c>
    </row>
    <row r="1224" customFormat="false" ht="14.25" hidden="false" customHeight="true" outlineLevel="0" collapsed="false">
      <c r="D1224" s="17"/>
      <c r="G1224" s="17" t="str">
        <f aca="false">IF(TRIM(C1224)="","",IFERROR(INDEX('Code Aliases'!$B:$B,MATCH(TRIM(C1224),'Code Aliases'!$A:$A,0)),TRIM(C1224)))</f>
        <v/>
      </c>
      <c r="H1224" s="17" t="str">
        <f aca="false">IF(TRIM(B1224)="","",UPPER(TRIM(B1224)))</f>
        <v/>
      </c>
    </row>
    <row r="1225" customFormat="false" ht="14.25" hidden="false" customHeight="true" outlineLevel="0" collapsed="false">
      <c r="D1225" s="17"/>
      <c r="G1225" s="17" t="str">
        <f aca="false">IF(TRIM(C1225)="","",IFERROR(INDEX('Code Aliases'!$B:$B,MATCH(TRIM(C1225),'Code Aliases'!$A:$A,0)),TRIM(C1225)))</f>
        <v/>
      </c>
      <c r="H1225" s="17" t="str">
        <f aca="false">IF(TRIM(B1225)="","",UPPER(TRIM(B1225)))</f>
        <v/>
      </c>
    </row>
    <row r="1226" customFormat="false" ht="14.25" hidden="false" customHeight="true" outlineLevel="0" collapsed="false">
      <c r="D1226" s="17"/>
      <c r="G1226" s="17" t="str">
        <f aca="false">IF(TRIM(C1226)="","",IFERROR(INDEX('Code Aliases'!$B:$B,MATCH(TRIM(C1226),'Code Aliases'!$A:$A,0)),TRIM(C1226)))</f>
        <v/>
      </c>
      <c r="H1226" s="17" t="str">
        <f aca="false">IF(TRIM(B1226)="","",UPPER(TRIM(B1226)))</f>
        <v/>
      </c>
    </row>
    <row r="1227" customFormat="false" ht="14.25" hidden="false" customHeight="true" outlineLevel="0" collapsed="false">
      <c r="D1227" s="17"/>
      <c r="G1227" s="17" t="str">
        <f aca="false">IF(TRIM(C1227)="","",IFERROR(INDEX('Code Aliases'!$B:$B,MATCH(TRIM(C1227),'Code Aliases'!$A:$A,0)),TRIM(C1227)))</f>
        <v/>
      </c>
      <c r="H1227" s="17" t="str">
        <f aca="false">IF(TRIM(B1227)="","",UPPER(TRIM(B1227)))</f>
        <v/>
      </c>
    </row>
    <row r="1228" customFormat="false" ht="14.25" hidden="false" customHeight="true" outlineLevel="0" collapsed="false">
      <c r="D1228" s="17"/>
      <c r="G1228" s="17" t="str">
        <f aca="false">IF(TRIM(C1228)="","",IFERROR(INDEX('Code Aliases'!$B:$B,MATCH(TRIM(C1228),'Code Aliases'!$A:$A,0)),TRIM(C1228)))</f>
        <v/>
      </c>
      <c r="H1228" s="17" t="str">
        <f aca="false">IF(TRIM(B1228)="","",UPPER(TRIM(B1228)))</f>
        <v/>
      </c>
    </row>
    <row r="1229" customFormat="false" ht="14.25" hidden="false" customHeight="true" outlineLevel="0" collapsed="false">
      <c r="D1229" s="17"/>
      <c r="G1229" s="17" t="str">
        <f aca="false">IF(TRIM(C1229)="","",IFERROR(INDEX('Code Aliases'!$B:$B,MATCH(TRIM(C1229),'Code Aliases'!$A:$A,0)),TRIM(C1229)))</f>
        <v/>
      </c>
      <c r="H1229" s="17" t="str">
        <f aca="false">IF(TRIM(B1229)="","",UPPER(TRIM(B1229)))</f>
        <v/>
      </c>
    </row>
    <row r="1230" customFormat="false" ht="14.25" hidden="false" customHeight="true" outlineLevel="0" collapsed="false">
      <c r="D1230" s="17"/>
      <c r="G1230" s="17" t="str">
        <f aca="false">IF(TRIM(C1230)="","",IFERROR(INDEX('Code Aliases'!$B:$B,MATCH(TRIM(C1230),'Code Aliases'!$A:$A,0)),TRIM(C1230)))</f>
        <v/>
      </c>
      <c r="H1230" s="17" t="str">
        <f aca="false">IF(TRIM(B1230)="","",UPPER(TRIM(B1230)))</f>
        <v/>
      </c>
    </row>
    <row r="1231" customFormat="false" ht="14.25" hidden="false" customHeight="true" outlineLevel="0" collapsed="false">
      <c r="D1231" s="17"/>
      <c r="G1231" s="17" t="str">
        <f aca="false">IF(TRIM(C1231)="","",IFERROR(INDEX('Code Aliases'!$B:$B,MATCH(TRIM(C1231),'Code Aliases'!$A:$A,0)),TRIM(C1231)))</f>
        <v/>
      </c>
      <c r="H1231" s="17" t="str">
        <f aca="false">IF(TRIM(B1231)="","",UPPER(TRIM(B1231)))</f>
        <v/>
      </c>
    </row>
    <row r="1232" customFormat="false" ht="14.25" hidden="false" customHeight="true" outlineLevel="0" collapsed="false">
      <c r="D1232" s="17"/>
      <c r="G1232" s="17" t="str">
        <f aca="false">IF(TRIM(C1232)="","",IFERROR(INDEX('Code Aliases'!$B:$B,MATCH(TRIM(C1232),'Code Aliases'!$A:$A,0)),TRIM(C1232)))</f>
        <v/>
      </c>
      <c r="H1232" s="17" t="str">
        <f aca="false">IF(TRIM(B1232)="","",UPPER(TRIM(B1232)))</f>
        <v/>
      </c>
    </row>
    <row r="1233" customFormat="false" ht="14.25" hidden="false" customHeight="true" outlineLevel="0" collapsed="false">
      <c r="D1233" s="17"/>
      <c r="G1233" s="17" t="str">
        <f aca="false">IF(TRIM(C1233)="","",IFERROR(INDEX('Code Aliases'!$B:$B,MATCH(TRIM(C1233),'Code Aliases'!$A:$A,0)),TRIM(C1233)))</f>
        <v/>
      </c>
      <c r="H1233" s="17" t="str">
        <f aca="false">IF(TRIM(B1233)="","",UPPER(TRIM(B1233)))</f>
        <v/>
      </c>
    </row>
    <row r="1234" customFormat="false" ht="14.25" hidden="false" customHeight="true" outlineLevel="0" collapsed="false">
      <c r="D1234" s="17"/>
      <c r="G1234" s="17" t="str">
        <f aca="false">IF(TRIM(C1234)="","",IFERROR(INDEX('Code Aliases'!$B:$B,MATCH(TRIM(C1234),'Code Aliases'!$A:$A,0)),TRIM(C1234)))</f>
        <v/>
      </c>
      <c r="H1234" s="17" t="str">
        <f aca="false">IF(TRIM(B1234)="","",UPPER(TRIM(B1234)))</f>
        <v/>
      </c>
    </row>
    <row r="1235" customFormat="false" ht="14.25" hidden="false" customHeight="true" outlineLevel="0" collapsed="false">
      <c r="D1235" s="17"/>
      <c r="G1235" s="17" t="str">
        <f aca="false">IF(TRIM(C1235)="","",IFERROR(INDEX('Code Aliases'!$B:$B,MATCH(TRIM(C1235),'Code Aliases'!$A:$A,0)),TRIM(C1235)))</f>
        <v/>
      </c>
      <c r="H1235" s="17" t="str">
        <f aca="false">IF(TRIM(B1235)="","",UPPER(TRIM(B1235)))</f>
        <v/>
      </c>
    </row>
    <row r="1236" customFormat="false" ht="14.25" hidden="false" customHeight="true" outlineLevel="0" collapsed="false">
      <c r="D1236" s="17"/>
      <c r="G1236" s="17" t="str">
        <f aca="false">IF(TRIM(C1236)="","",IFERROR(INDEX('Code Aliases'!$B:$B,MATCH(TRIM(C1236),'Code Aliases'!$A:$A,0)),TRIM(C1236)))</f>
        <v/>
      </c>
      <c r="H1236" s="17" t="str">
        <f aca="false">IF(TRIM(B1236)="","",UPPER(TRIM(B1236)))</f>
        <v/>
      </c>
    </row>
    <row r="1237" customFormat="false" ht="14.25" hidden="false" customHeight="true" outlineLevel="0" collapsed="false">
      <c r="D1237" s="17"/>
      <c r="G1237" s="17" t="str">
        <f aca="false">IF(TRIM(C1237)="","",IFERROR(INDEX('Code Aliases'!$B:$B,MATCH(TRIM(C1237),'Code Aliases'!$A:$A,0)),TRIM(C1237)))</f>
        <v/>
      </c>
      <c r="H1237" s="17" t="str">
        <f aca="false">IF(TRIM(B1237)="","",UPPER(TRIM(B1237)))</f>
        <v/>
      </c>
    </row>
    <row r="1238" customFormat="false" ht="14.25" hidden="false" customHeight="true" outlineLevel="0" collapsed="false">
      <c r="D1238" s="17"/>
      <c r="G1238" s="17" t="str">
        <f aca="false">IF(TRIM(C1238)="","",IFERROR(INDEX('Code Aliases'!$B:$B,MATCH(TRIM(C1238),'Code Aliases'!$A:$A,0)),TRIM(C1238)))</f>
        <v/>
      </c>
      <c r="H1238" s="17" t="str">
        <f aca="false">IF(TRIM(B1238)="","",UPPER(TRIM(B1238)))</f>
        <v/>
      </c>
    </row>
    <row r="1239" customFormat="false" ht="14.25" hidden="false" customHeight="true" outlineLevel="0" collapsed="false">
      <c r="D1239" s="17"/>
      <c r="G1239" s="17" t="str">
        <f aca="false">IF(TRIM(C1239)="","",IFERROR(INDEX('Code Aliases'!$B:$B,MATCH(TRIM(C1239),'Code Aliases'!$A:$A,0)),TRIM(C1239)))</f>
        <v/>
      </c>
      <c r="H1239" s="17" t="str">
        <f aca="false">IF(TRIM(B1239)="","",UPPER(TRIM(B1239)))</f>
        <v/>
      </c>
    </row>
    <row r="1240" customFormat="false" ht="14.25" hidden="false" customHeight="true" outlineLevel="0" collapsed="false">
      <c r="D1240" s="17"/>
      <c r="G1240" s="17" t="str">
        <f aca="false">IF(TRIM(C1240)="","",IFERROR(INDEX('Code Aliases'!$B:$B,MATCH(TRIM(C1240),'Code Aliases'!$A:$A,0)),TRIM(C1240)))</f>
        <v/>
      </c>
      <c r="H1240" s="17" t="str">
        <f aca="false">IF(TRIM(B1240)="","",UPPER(TRIM(B1240)))</f>
        <v/>
      </c>
    </row>
    <row r="1241" customFormat="false" ht="14.25" hidden="false" customHeight="true" outlineLevel="0" collapsed="false">
      <c r="D1241" s="17"/>
      <c r="G1241" s="17" t="str">
        <f aca="false">IF(TRIM(C1241)="","",IFERROR(INDEX('Code Aliases'!$B:$B,MATCH(TRIM(C1241),'Code Aliases'!$A:$A,0)),TRIM(C1241)))</f>
        <v/>
      </c>
      <c r="H1241" s="17" t="str">
        <f aca="false">IF(TRIM(B1241)="","",UPPER(TRIM(B1241)))</f>
        <v/>
      </c>
    </row>
    <row r="1242" customFormat="false" ht="14.25" hidden="false" customHeight="true" outlineLevel="0" collapsed="false">
      <c r="D1242" s="17"/>
      <c r="G1242" s="17" t="str">
        <f aca="false">IF(TRIM(C1242)="","",IFERROR(INDEX('Code Aliases'!$B:$B,MATCH(TRIM(C1242),'Code Aliases'!$A:$A,0)),TRIM(C1242)))</f>
        <v/>
      </c>
      <c r="H1242" s="17" t="str">
        <f aca="false">IF(TRIM(B1242)="","",UPPER(TRIM(B1242)))</f>
        <v/>
      </c>
    </row>
    <row r="1243" customFormat="false" ht="14.25" hidden="false" customHeight="true" outlineLevel="0" collapsed="false">
      <c r="D1243" s="17"/>
      <c r="G1243" s="17" t="str">
        <f aca="false">IF(TRIM(C1243)="","",IFERROR(INDEX('Code Aliases'!$B:$B,MATCH(TRIM(C1243),'Code Aliases'!$A:$A,0)),TRIM(C1243)))</f>
        <v/>
      </c>
      <c r="H1243" s="17" t="str">
        <f aca="false">IF(TRIM(B1243)="","",UPPER(TRIM(B1243)))</f>
        <v/>
      </c>
    </row>
    <row r="1244" customFormat="false" ht="14.25" hidden="false" customHeight="true" outlineLevel="0" collapsed="false">
      <c r="D1244" s="17"/>
      <c r="G1244" s="17" t="str">
        <f aca="false">IF(TRIM(C1244)="","",IFERROR(INDEX('Code Aliases'!$B:$B,MATCH(TRIM(C1244),'Code Aliases'!$A:$A,0)),TRIM(C1244)))</f>
        <v/>
      </c>
      <c r="H1244" s="17" t="str">
        <f aca="false">IF(TRIM(B1244)="","",UPPER(TRIM(B1244)))</f>
        <v/>
      </c>
    </row>
    <row r="1245" customFormat="false" ht="14.25" hidden="false" customHeight="true" outlineLevel="0" collapsed="false">
      <c r="D1245" s="17"/>
      <c r="G1245" s="17" t="str">
        <f aca="false">IF(TRIM(C1245)="","",IFERROR(INDEX('Code Aliases'!$B:$B,MATCH(TRIM(C1245),'Code Aliases'!$A:$A,0)),TRIM(C1245)))</f>
        <v/>
      </c>
      <c r="H1245" s="17" t="str">
        <f aca="false">IF(TRIM(B1245)="","",UPPER(TRIM(B1245)))</f>
        <v/>
      </c>
    </row>
    <row r="1246" customFormat="false" ht="14.25" hidden="false" customHeight="true" outlineLevel="0" collapsed="false">
      <c r="D1246" s="17"/>
      <c r="G1246" s="17" t="str">
        <f aca="false">IF(TRIM(C1246)="","",IFERROR(INDEX('Code Aliases'!$B:$B,MATCH(TRIM(C1246),'Code Aliases'!$A:$A,0)),TRIM(C1246)))</f>
        <v/>
      </c>
      <c r="H1246" s="17" t="str">
        <f aca="false">IF(TRIM(B1246)="","",UPPER(TRIM(B1246)))</f>
        <v/>
      </c>
    </row>
    <row r="1247" customFormat="false" ht="14.25" hidden="false" customHeight="true" outlineLevel="0" collapsed="false">
      <c r="D1247" s="17"/>
      <c r="G1247" s="17" t="str">
        <f aca="false">IF(TRIM(C1247)="","",IFERROR(INDEX('Code Aliases'!$B:$B,MATCH(TRIM(C1247),'Code Aliases'!$A:$A,0)),TRIM(C1247)))</f>
        <v/>
      </c>
      <c r="H1247" s="17" t="str">
        <f aca="false">IF(TRIM(B1247)="","",UPPER(TRIM(B1247)))</f>
        <v/>
      </c>
    </row>
    <row r="1248" customFormat="false" ht="14.25" hidden="false" customHeight="true" outlineLevel="0" collapsed="false">
      <c r="D1248" s="17"/>
      <c r="G1248" s="17" t="str">
        <f aca="false">IF(TRIM(C1248)="","",IFERROR(INDEX('Code Aliases'!$B:$B,MATCH(TRIM(C1248),'Code Aliases'!$A:$A,0)),TRIM(C1248)))</f>
        <v/>
      </c>
      <c r="H1248" s="17" t="str">
        <f aca="false">IF(TRIM(B1248)="","",UPPER(TRIM(B1248)))</f>
        <v/>
      </c>
    </row>
    <row r="1249" customFormat="false" ht="14.25" hidden="false" customHeight="true" outlineLevel="0" collapsed="false">
      <c r="D1249" s="17"/>
      <c r="G1249" s="17" t="str">
        <f aca="false">IF(TRIM(C1249)="","",IFERROR(INDEX('Code Aliases'!$B:$B,MATCH(TRIM(C1249),'Code Aliases'!$A:$A,0)),TRIM(C1249)))</f>
        <v/>
      </c>
      <c r="H1249" s="17" t="str">
        <f aca="false">IF(TRIM(B1249)="","",UPPER(TRIM(B1249)))</f>
        <v/>
      </c>
    </row>
    <row r="1250" customFormat="false" ht="14.25" hidden="false" customHeight="true" outlineLevel="0" collapsed="false">
      <c r="D1250" s="17"/>
      <c r="G1250" s="17" t="str">
        <f aca="false">IF(TRIM(C1250)="","",IFERROR(INDEX('Code Aliases'!$B:$B,MATCH(TRIM(C1250),'Code Aliases'!$A:$A,0)),TRIM(C1250)))</f>
        <v/>
      </c>
      <c r="H1250" s="17" t="str">
        <f aca="false">IF(TRIM(B1250)="","",UPPER(TRIM(B1250)))</f>
        <v/>
      </c>
    </row>
    <row r="1251" customFormat="false" ht="14.25" hidden="false" customHeight="true" outlineLevel="0" collapsed="false">
      <c r="D1251" s="17"/>
      <c r="G1251" s="17" t="str">
        <f aca="false">IF(TRIM(C1251)="","",IFERROR(INDEX('Code Aliases'!$B:$B,MATCH(TRIM(C1251),'Code Aliases'!$A:$A,0)),TRIM(C1251)))</f>
        <v/>
      </c>
      <c r="H1251" s="17" t="str">
        <f aca="false">IF(TRIM(B1251)="","",UPPER(TRIM(B1251)))</f>
        <v/>
      </c>
    </row>
    <row r="1252" customFormat="false" ht="14.25" hidden="false" customHeight="true" outlineLevel="0" collapsed="false">
      <c r="D1252" s="17"/>
      <c r="G1252" s="17" t="str">
        <f aca="false">IF(TRIM(C1252)="","",IFERROR(INDEX('Code Aliases'!$B:$B,MATCH(TRIM(C1252),'Code Aliases'!$A:$A,0)),TRIM(C1252)))</f>
        <v/>
      </c>
      <c r="H1252" s="17" t="str">
        <f aca="false">IF(TRIM(B1252)="","",UPPER(TRIM(B1252)))</f>
        <v/>
      </c>
    </row>
    <row r="1253" customFormat="false" ht="14.25" hidden="false" customHeight="true" outlineLevel="0" collapsed="false">
      <c r="D1253" s="17"/>
      <c r="G1253" s="17" t="str">
        <f aca="false">IF(TRIM(C1253)="","",IFERROR(INDEX('Code Aliases'!$B:$B,MATCH(TRIM(C1253),'Code Aliases'!$A:$A,0)),TRIM(C1253)))</f>
        <v/>
      </c>
      <c r="H1253" s="17" t="str">
        <f aca="false">IF(TRIM(B1253)="","",UPPER(TRIM(B1253)))</f>
        <v/>
      </c>
    </row>
    <row r="1254" customFormat="false" ht="14.25" hidden="false" customHeight="true" outlineLevel="0" collapsed="false">
      <c r="D1254" s="17"/>
      <c r="G1254" s="17" t="str">
        <f aca="false">IF(TRIM(C1254)="","",IFERROR(INDEX('Code Aliases'!$B:$B,MATCH(TRIM(C1254),'Code Aliases'!$A:$A,0)),TRIM(C1254)))</f>
        <v/>
      </c>
      <c r="H1254" s="17" t="str">
        <f aca="false">IF(TRIM(B1254)="","",UPPER(TRIM(B1254)))</f>
        <v/>
      </c>
    </row>
    <row r="1255" customFormat="false" ht="14.25" hidden="false" customHeight="true" outlineLevel="0" collapsed="false">
      <c r="D1255" s="17"/>
      <c r="G1255" s="17" t="str">
        <f aca="false">IF(TRIM(C1255)="","",IFERROR(INDEX('Code Aliases'!$B:$B,MATCH(TRIM(C1255),'Code Aliases'!$A:$A,0)),TRIM(C1255)))</f>
        <v/>
      </c>
      <c r="H1255" s="17" t="str">
        <f aca="false">IF(TRIM(B1255)="","",UPPER(TRIM(B1255)))</f>
        <v/>
      </c>
    </row>
    <row r="1256" customFormat="false" ht="14.25" hidden="false" customHeight="true" outlineLevel="0" collapsed="false">
      <c r="D1256" s="17"/>
      <c r="G1256" s="17" t="str">
        <f aca="false">IF(TRIM(C1256)="","",IFERROR(INDEX('Code Aliases'!$B:$B,MATCH(TRIM(C1256),'Code Aliases'!$A:$A,0)),TRIM(C1256)))</f>
        <v/>
      </c>
      <c r="H1256" s="17" t="str">
        <f aca="false">IF(TRIM(B1256)="","",UPPER(TRIM(B1256)))</f>
        <v/>
      </c>
    </row>
    <row r="1257" customFormat="false" ht="14.25" hidden="false" customHeight="true" outlineLevel="0" collapsed="false">
      <c r="D1257" s="17"/>
      <c r="G1257" s="17" t="str">
        <f aca="false">IF(TRIM(C1257)="","",IFERROR(INDEX('Code Aliases'!$B:$B,MATCH(TRIM(C1257),'Code Aliases'!$A:$A,0)),TRIM(C1257)))</f>
        <v/>
      </c>
      <c r="H1257" s="17" t="str">
        <f aca="false">IF(TRIM(B1257)="","",UPPER(TRIM(B1257)))</f>
        <v/>
      </c>
    </row>
    <row r="1258" customFormat="false" ht="14.25" hidden="false" customHeight="true" outlineLevel="0" collapsed="false">
      <c r="D1258" s="17"/>
      <c r="G1258" s="17" t="str">
        <f aca="false">IF(TRIM(C1258)="","",IFERROR(INDEX('Code Aliases'!$B:$B,MATCH(TRIM(C1258),'Code Aliases'!$A:$A,0)),TRIM(C1258)))</f>
        <v/>
      </c>
      <c r="H1258" s="17" t="str">
        <f aca="false">IF(TRIM(B1258)="","",UPPER(TRIM(B1258)))</f>
        <v/>
      </c>
    </row>
    <row r="1259" customFormat="false" ht="14.25" hidden="false" customHeight="true" outlineLevel="0" collapsed="false">
      <c r="D1259" s="17"/>
      <c r="G1259" s="17" t="str">
        <f aca="false">IF(TRIM(C1259)="","",IFERROR(INDEX('Code Aliases'!$B:$B,MATCH(TRIM(C1259),'Code Aliases'!$A:$A,0)),TRIM(C1259)))</f>
        <v/>
      </c>
      <c r="H1259" s="17" t="str">
        <f aca="false">IF(TRIM(B1259)="","",UPPER(TRIM(B1259)))</f>
        <v/>
      </c>
    </row>
    <row r="1260" customFormat="false" ht="14.25" hidden="false" customHeight="true" outlineLevel="0" collapsed="false">
      <c r="D1260" s="17"/>
      <c r="G1260" s="17" t="str">
        <f aca="false">IF(TRIM(C1260)="","",IFERROR(INDEX('Code Aliases'!$B:$B,MATCH(TRIM(C1260),'Code Aliases'!$A:$A,0)),TRIM(C1260)))</f>
        <v/>
      </c>
      <c r="H1260" s="17" t="str">
        <f aca="false">IF(TRIM(B1260)="","",UPPER(TRIM(B1260)))</f>
        <v/>
      </c>
    </row>
    <row r="1261" customFormat="false" ht="14.25" hidden="false" customHeight="true" outlineLevel="0" collapsed="false">
      <c r="D1261" s="17"/>
      <c r="G1261" s="17" t="str">
        <f aca="false">IF(TRIM(C1261)="","",IFERROR(INDEX('Code Aliases'!$B:$B,MATCH(TRIM(C1261),'Code Aliases'!$A:$A,0)),TRIM(C1261)))</f>
        <v/>
      </c>
      <c r="H1261" s="17" t="str">
        <f aca="false">IF(TRIM(B1261)="","",UPPER(TRIM(B1261)))</f>
        <v/>
      </c>
    </row>
    <row r="1262" customFormat="false" ht="14.25" hidden="false" customHeight="true" outlineLevel="0" collapsed="false">
      <c r="D1262" s="17"/>
      <c r="G1262" s="17" t="str">
        <f aca="false">IF(TRIM(C1262)="","",IFERROR(INDEX('Code Aliases'!$B:$B,MATCH(TRIM(C1262),'Code Aliases'!$A:$A,0)),TRIM(C1262)))</f>
        <v/>
      </c>
      <c r="H1262" s="17" t="str">
        <f aca="false">IF(TRIM(B1262)="","",UPPER(TRIM(B1262)))</f>
        <v/>
      </c>
    </row>
    <row r="1263" customFormat="false" ht="14.25" hidden="false" customHeight="true" outlineLevel="0" collapsed="false">
      <c r="D1263" s="17"/>
      <c r="G1263" s="17" t="str">
        <f aca="false">IF(TRIM(C1263)="","",IFERROR(INDEX('Code Aliases'!$B:$B,MATCH(TRIM(C1263),'Code Aliases'!$A:$A,0)),TRIM(C1263)))</f>
        <v/>
      </c>
      <c r="H1263" s="17" t="str">
        <f aca="false">IF(TRIM(B1263)="","",UPPER(TRIM(B1263)))</f>
        <v/>
      </c>
    </row>
    <row r="1264" customFormat="false" ht="14.25" hidden="false" customHeight="true" outlineLevel="0" collapsed="false">
      <c r="D1264" s="17"/>
      <c r="G1264" s="17" t="str">
        <f aca="false">IF(TRIM(C1264)="","",IFERROR(INDEX('Code Aliases'!$B:$B,MATCH(TRIM(C1264),'Code Aliases'!$A:$A,0)),TRIM(C1264)))</f>
        <v/>
      </c>
      <c r="H1264" s="17" t="str">
        <f aca="false">IF(TRIM(B1264)="","",UPPER(TRIM(B1264)))</f>
        <v/>
      </c>
    </row>
    <row r="1265" customFormat="false" ht="14.25" hidden="false" customHeight="true" outlineLevel="0" collapsed="false">
      <c r="D1265" s="17"/>
      <c r="G1265" s="17" t="str">
        <f aca="false">IF(TRIM(C1265)="","",IFERROR(INDEX('Code Aliases'!$B:$B,MATCH(TRIM(C1265),'Code Aliases'!$A:$A,0)),TRIM(C1265)))</f>
        <v/>
      </c>
      <c r="H1265" s="17" t="str">
        <f aca="false">IF(TRIM(B1265)="","",UPPER(TRIM(B1265)))</f>
        <v/>
      </c>
    </row>
    <row r="1266" customFormat="false" ht="14.25" hidden="false" customHeight="true" outlineLevel="0" collapsed="false">
      <c r="D1266" s="17"/>
      <c r="G1266" s="17" t="str">
        <f aca="false">IF(TRIM(C1266)="","",IFERROR(INDEX('Code Aliases'!$B:$B,MATCH(TRIM(C1266),'Code Aliases'!$A:$A,0)),TRIM(C1266)))</f>
        <v/>
      </c>
      <c r="H1266" s="17" t="str">
        <f aca="false">IF(TRIM(B1266)="","",UPPER(TRIM(B1266)))</f>
        <v/>
      </c>
    </row>
    <row r="1267" customFormat="false" ht="14.25" hidden="false" customHeight="true" outlineLevel="0" collapsed="false">
      <c r="D1267" s="17"/>
      <c r="G1267" s="17" t="str">
        <f aca="false">IF(TRIM(C1267)="","",IFERROR(INDEX('Code Aliases'!$B:$B,MATCH(TRIM(C1267),'Code Aliases'!$A:$A,0)),TRIM(C1267)))</f>
        <v/>
      </c>
      <c r="H1267" s="17" t="str">
        <f aca="false">IF(TRIM(B1267)="","",UPPER(TRIM(B1267)))</f>
        <v/>
      </c>
    </row>
    <row r="1268" customFormat="false" ht="14.25" hidden="false" customHeight="true" outlineLevel="0" collapsed="false">
      <c r="D1268" s="17"/>
      <c r="G1268" s="17" t="str">
        <f aca="false">IF(TRIM(C1268)="","",IFERROR(INDEX('Code Aliases'!$B:$B,MATCH(TRIM(C1268),'Code Aliases'!$A:$A,0)),TRIM(C1268)))</f>
        <v/>
      </c>
      <c r="H1268" s="17" t="str">
        <f aca="false">IF(TRIM(B1268)="","",UPPER(TRIM(B1268)))</f>
        <v/>
      </c>
    </row>
    <row r="1269" customFormat="false" ht="14.25" hidden="false" customHeight="true" outlineLevel="0" collapsed="false">
      <c r="D1269" s="17"/>
      <c r="G1269" s="17" t="str">
        <f aca="false">IF(TRIM(C1269)="","",IFERROR(INDEX('Code Aliases'!$B:$B,MATCH(TRIM(C1269),'Code Aliases'!$A:$A,0)),TRIM(C1269)))</f>
        <v/>
      </c>
      <c r="H1269" s="17" t="str">
        <f aca="false">IF(TRIM(B1269)="","",UPPER(TRIM(B1269)))</f>
        <v/>
      </c>
    </row>
    <row r="1270" customFormat="false" ht="14.25" hidden="false" customHeight="true" outlineLevel="0" collapsed="false">
      <c r="D1270" s="17"/>
      <c r="G1270" s="17" t="str">
        <f aca="false">IF(TRIM(C1270)="","",IFERROR(INDEX('Code Aliases'!$B:$B,MATCH(TRIM(C1270),'Code Aliases'!$A:$A,0)),TRIM(C1270)))</f>
        <v/>
      </c>
      <c r="H1270" s="17" t="str">
        <f aca="false">IF(TRIM(B1270)="","",UPPER(TRIM(B1270)))</f>
        <v/>
      </c>
    </row>
    <row r="1271" customFormat="false" ht="14.25" hidden="false" customHeight="true" outlineLevel="0" collapsed="false">
      <c r="D1271" s="17"/>
      <c r="G1271" s="17" t="str">
        <f aca="false">IF(TRIM(C1271)="","",IFERROR(INDEX('Code Aliases'!$B:$B,MATCH(TRIM(C1271),'Code Aliases'!$A:$A,0)),TRIM(C1271)))</f>
        <v/>
      </c>
      <c r="H1271" s="17" t="str">
        <f aca="false">IF(TRIM(B1271)="","",UPPER(TRIM(B1271)))</f>
        <v/>
      </c>
    </row>
    <row r="1272" customFormat="false" ht="14.25" hidden="false" customHeight="true" outlineLevel="0" collapsed="false">
      <c r="D1272" s="17"/>
      <c r="G1272" s="17" t="str">
        <f aca="false">IF(TRIM(C1272)="","",IFERROR(INDEX('Code Aliases'!$B:$B,MATCH(TRIM(C1272),'Code Aliases'!$A:$A,0)),TRIM(C1272)))</f>
        <v/>
      </c>
      <c r="H1272" s="17" t="str">
        <f aca="false">IF(TRIM(B1272)="","",UPPER(TRIM(B1272)))</f>
        <v/>
      </c>
    </row>
    <row r="1273" customFormat="false" ht="14.25" hidden="false" customHeight="true" outlineLevel="0" collapsed="false">
      <c r="D1273" s="17"/>
      <c r="G1273" s="17" t="str">
        <f aca="false">IF(TRIM(C1273)="","",IFERROR(INDEX('Code Aliases'!$B:$B,MATCH(TRIM(C1273),'Code Aliases'!$A:$A,0)),TRIM(C1273)))</f>
        <v/>
      </c>
      <c r="H1273" s="17" t="str">
        <f aca="false">IF(TRIM(B1273)="","",UPPER(TRIM(B1273)))</f>
        <v/>
      </c>
    </row>
    <row r="1274" customFormat="false" ht="14.25" hidden="false" customHeight="true" outlineLevel="0" collapsed="false">
      <c r="D1274" s="17"/>
      <c r="G1274" s="17" t="str">
        <f aca="false">IF(TRIM(C1274)="","",IFERROR(INDEX('Code Aliases'!$B:$B,MATCH(TRIM(C1274),'Code Aliases'!$A:$A,0)),TRIM(C1274)))</f>
        <v/>
      </c>
      <c r="H1274" s="17" t="str">
        <f aca="false">IF(TRIM(B1274)="","",UPPER(TRIM(B1274)))</f>
        <v/>
      </c>
    </row>
    <row r="1275" customFormat="false" ht="14.25" hidden="false" customHeight="true" outlineLevel="0" collapsed="false">
      <c r="D1275" s="17"/>
      <c r="G1275" s="17" t="str">
        <f aca="false">IF(TRIM(C1275)="","",IFERROR(INDEX('Code Aliases'!$B:$B,MATCH(TRIM(C1275),'Code Aliases'!$A:$A,0)),TRIM(C1275)))</f>
        <v/>
      </c>
      <c r="H1275" s="17" t="str">
        <f aca="false">IF(TRIM(B1275)="","",UPPER(TRIM(B1275)))</f>
        <v/>
      </c>
    </row>
    <row r="1276" customFormat="false" ht="14.25" hidden="false" customHeight="true" outlineLevel="0" collapsed="false">
      <c r="D1276" s="17"/>
      <c r="G1276" s="17" t="str">
        <f aca="false">IF(TRIM(C1276)="","",IFERROR(INDEX('Code Aliases'!$B:$B,MATCH(TRIM(C1276),'Code Aliases'!$A:$A,0)),TRIM(C1276)))</f>
        <v/>
      </c>
      <c r="H1276" s="17" t="str">
        <f aca="false">IF(TRIM(B1276)="","",UPPER(TRIM(B1276)))</f>
        <v/>
      </c>
    </row>
    <row r="1277" customFormat="false" ht="14.25" hidden="false" customHeight="true" outlineLevel="0" collapsed="false">
      <c r="D1277" s="17"/>
      <c r="G1277" s="17" t="str">
        <f aca="false">IF(TRIM(C1277)="","",IFERROR(INDEX('Code Aliases'!$B:$B,MATCH(TRIM(C1277),'Code Aliases'!$A:$A,0)),TRIM(C1277)))</f>
        <v/>
      </c>
      <c r="H1277" s="17" t="str">
        <f aca="false">IF(TRIM(B1277)="","",UPPER(TRIM(B1277)))</f>
        <v/>
      </c>
    </row>
    <row r="1278" customFormat="false" ht="14.25" hidden="false" customHeight="true" outlineLevel="0" collapsed="false">
      <c r="D1278" s="17"/>
      <c r="G1278" s="17" t="str">
        <f aca="false">IF(TRIM(C1278)="","",IFERROR(INDEX('Code Aliases'!$B:$B,MATCH(TRIM(C1278),'Code Aliases'!$A:$A,0)),TRIM(C1278)))</f>
        <v/>
      </c>
      <c r="H1278" s="17" t="str">
        <f aca="false">IF(TRIM(B1278)="","",UPPER(TRIM(B1278)))</f>
        <v/>
      </c>
    </row>
    <row r="1279" customFormat="false" ht="14.25" hidden="false" customHeight="true" outlineLevel="0" collapsed="false">
      <c r="D1279" s="17"/>
      <c r="G1279" s="17" t="str">
        <f aca="false">IF(TRIM(C1279)="","",IFERROR(INDEX('Code Aliases'!$B:$B,MATCH(TRIM(C1279),'Code Aliases'!$A:$A,0)),TRIM(C1279)))</f>
        <v/>
      </c>
      <c r="H1279" s="17" t="str">
        <f aca="false">IF(TRIM(B1279)="","",UPPER(TRIM(B1279)))</f>
        <v/>
      </c>
    </row>
    <row r="1280" customFormat="false" ht="14.25" hidden="false" customHeight="true" outlineLevel="0" collapsed="false">
      <c r="D1280" s="17"/>
      <c r="G1280" s="17" t="str">
        <f aca="false">IF(TRIM(C1280)="","",IFERROR(INDEX('Code Aliases'!$B:$B,MATCH(TRIM(C1280),'Code Aliases'!$A:$A,0)),TRIM(C1280)))</f>
        <v/>
      </c>
      <c r="H1280" s="17" t="str">
        <f aca="false">IF(TRIM(B1280)="","",UPPER(TRIM(B1280)))</f>
        <v/>
      </c>
    </row>
    <row r="1281" customFormat="false" ht="14.25" hidden="false" customHeight="true" outlineLevel="0" collapsed="false">
      <c r="D1281" s="17"/>
      <c r="G1281" s="17" t="str">
        <f aca="false">IF(TRIM(C1281)="","",IFERROR(INDEX('Code Aliases'!$B:$B,MATCH(TRIM(C1281),'Code Aliases'!$A:$A,0)),TRIM(C1281)))</f>
        <v/>
      </c>
      <c r="H1281" s="17" t="str">
        <f aca="false">IF(TRIM(B1281)="","",UPPER(TRIM(B1281)))</f>
        <v/>
      </c>
    </row>
    <row r="1282" customFormat="false" ht="14.25" hidden="false" customHeight="true" outlineLevel="0" collapsed="false">
      <c r="D1282" s="17"/>
      <c r="G1282" s="17" t="str">
        <f aca="false">IF(TRIM(C1282)="","",IFERROR(INDEX('Code Aliases'!$B:$B,MATCH(TRIM(C1282),'Code Aliases'!$A:$A,0)),TRIM(C1282)))</f>
        <v/>
      </c>
      <c r="H1282" s="17" t="str">
        <f aca="false">IF(TRIM(B1282)="","",UPPER(TRIM(B1282)))</f>
        <v/>
      </c>
    </row>
    <row r="1283" customFormat="false" ht="14.25" hidden="false" customHeight="true" outlineLevel="0" collapsed="false">
      <c r="D1283" s="17"/>
      <c r="G1283" s="17" t="str">
        <f aca="false">IF(TRIM(C1283)="","",IFERROR(INDEX('Code Aliases'!$B:$B,MATCH(TRIM(C1283),'Code Aliases'!$A:$A,0)),TRIM(C1283)))</f>
        <v/>
      </c>
      <c r="H1283" s="17" t="str">
        <f aca="false">IF(TRIM(B1283)="","",UPPER(TRIM(B1283)))</f>
        <v/>
      </c>
    </row>
    <row r="1284" customFormat="false" ht="14.25" hidden="false" customHeight="true" outlineLevel="0" collapsed="false">
      <c r="D1284" s="17"/>
      <c r="G1284" s="17" t="str">
        <f aca="false">IF(TRIM(C1284)="","",IFERROR(INDEX('Code Aliases'!$B:$B,MATCH(TRIM(C1284),'Code Aliases'!$A:$A,0)),TRIM(C1284)))</f>
        <v/>
      </c>
      <c r="H1284" s="17" t="str">
        <f aca="false">IF(TRIM(B1284)="","",UPPER(TRIM(B1284)))</f>
        <v/>
      </c>
    </row>
    <row r="1285" customFormat="false" ht="14.25" hidden="false" customHeight="true" outlineLevel="0" collapsed="false">
      <c r="D1285" s="17"/>
      <c r="G1285" s="17" t="str">
        <f aca="false">IF(TRIM(C1285)="","",IFERROR(INDEX('Code Aliases'!$B:$B,MATCH(TRIM(C1285),'Code Aliases'!$A:$A,0)),TRIM(C1285)))</f>
        <v/>
      </c>
      <c r="H1285" s="17" t="str">
        <f aca="false">IF(TRIM(B1285)="","",UPPER(TRIM(B1285)))</f>
        <v/>
      </c>
    </row>
    <row r="1286" customFormat="false" ht="14.25" hidden="false" customHeight="true" outlineLevel="0" collapsed="false">
      <c r="D1286" s="17"/>
      <c r="G1286" s="17" t="str">
        <f aca="false">IF(TRIM(C1286)="","",IFERROR(INDEX('Code Aliases'!$B:$B,MATCH(TRIM(C1286),'Code Aliases'!$A:$A,0)),TRIM(C1286)))</f>
        <v/>
      </c>
      <c r="H1286" s="17" t="str">
        <f aca="false">IF(TRIM(B1286)="","",UPPER(TRIM(B1286)))</f>
        <v/>
      </c>
    </row>
    <row r="1287" customFormat="false" ht="14.25" hidden="false" customHeight="true" outlineLevel="0" collapsed="false">
      <c r="D1287" s="17"/>
      <c r="G1287" s="17" t="str">
        <f aca="false">IF(TRIM(C1287)="","",IFERROR(INDEX('Code Aliases'!$B:$B,MATCH(TRIM(C1287),'Code Aliases'!$A:$A,0)),TRIM(C1287)))</f>
        <v/>
      </c>
      <c r="H1287" s="17" t="str">
        <f aca="false">IF(TRIM(B1287)="","",UPPER(TRIM(B1287)))</f>
        <v/>
      </c>
    </row>
    <row r="1288" customFormat="false" ht="14.25" hidden="false" customHeight="true" outlineLevel="0" collapsed="false">
      <c r="D1288" s="17"/>
      <c r="G1288" s="17" t="str">
        <f aca="false">IF(TRIM(C1288)="","",IFERROR(INDEX('Code Aliases'!$B:$B,MATCH(TRIM(C1288),'Code Aliases'!$A:$A,0)),TRIM(C1288)))</f>
        <v/>
      </c>
      <c r="H1288" s="17" t="str">
        <f aca="false">IF(TRIM(B1288)="","",UPPER(TRIM(B1288)))</f>
        <v/>
      </c>
    </row>
    <row r="1289" customFormat="false" ht="14.25" hidden="false" customHeight="true" outlineLevel="0" collapsed="false">
      <c r="D1289" s="17"/>
      <c r="G1289" s="17" t="str">
        <f aca="false">IF(TRIM(C1289)="","",IFERROR(INDEX('Code Aliases'!$B:$B,MATCH(TRIM(C1289),'Code Aliases'!$A:$A,0)),TRIM(C1289)))</f>
        <v/>
      </c>
      <c r="H1289" s="17" t="str">
        <f aca="false">IF(TRIM(B1289)="","",UPPER(TRIM(B1289)))</f>
        <v/>
      </c>
    </row>
    <row r="1290" customFormat="false" ht="14.25" hidden="false" customHeight="true" outlineLevel="0" collapsed="false">
      <c r="D1290" s="17"/>
      <c r="G1290" s="17" t="str">
        <f aca="false">IF(TRIM(C1290)="","",IFERROR(INDEX('Code Aliases'!$B:$B,MATCH(TRIM(C1290),'Code Aliases'!$A:$A,0)),TRIM(C1290)))</f>
        <v/>
      </c>
      <c r="H1290" s="17" t="str">
        <f aca="false">IF(TRIM(B1290)="","",UPPER(TRIM(B1290)))</f>
        <v/>
      </c>
    </row>
    <row r="1291" customFormat="false" ht="14.25" hidden="false" customHeight="true" outlineLevel="0" collapsed="false">
      <c r="D1291" s="17"/>
      <c r="G1291" s="17" t="str">
        <f aca="false">IF(TRIM(C1291)="","",IFERROR(INDEX('Code Aliases'!$B:$B,MATCH(TRIM(C1291),'Code Aliases'!$A:$A,0)),TRIM(C1291)))</f>
        <v/>
      </c>
      <c r="H1291" s="17" t="str">
        <f aca="false">IF(TRIM(B1291)="","",UPPER(TRIM(B1291)))</f>
        <v/>
      </c>
    </row>
    <row r="1292" customFormat="false" ht="14.25" hidden="false" customHeight="true" outlineLevel="0" collapsed="false">
      <c r="D1292" s="17"/>
      <c r="G1292" s="17" t="str">
        <f aca="false">IF(TRIM(C1292)="","",IFERROR(INDEX('Code Aliases'!$B:$B,MATCH(TRIM(C1292),'Code Aliases'!$A:$A,0)),TRIM(C1292)))</f>
        <v/>
      </c>
      <c r="H1292" s="17" t="str">
        <f aca="false">IF(TRIM(B1292)="","",UPPER(TRIM(B1292)))</f>
        <v/>
      </c>
    </row>
    <row r="1293" customFormat="false" ht="14.25" hidden="false" customHeight="true" outlineLevel="0" collapsed="false">
      <c r="D1293" s="17"/>
      <c r="G1293" s="17" t="str">
        <f aca="false">IF(TRIM(C1293)="","",IFERROR(INDEX('Code Aliases'!$B:$B,MATCH(TRIM(C1293),'Code Aliases'!$A:$A,0)),TRIM(C1293)))</f>
        <v/>
      </c>
      <c r="H1293" s="17" t="str">
        <f aca="false">IF(TRIM(B1293)="","",UPPER(TRIM(B1293)))</f>
        <v/>
      </c>
    </row>
    <row r="1294" customFormat="false" ht="14.25" hidden="false" customHeight="true" outlineLevel="0" collapsed="false">
      <c r="D1294" s="17"/>
      <c r="G1294" s="17" t="str">
        <f aca="false">IF(TRIM(C1294)="","",IFERROR(INDEX('Code Aliases'!$B:$B,MATCH(TRIM(C1294),'Code Aliases'!$A:$A,0)),TRIM(C1294)))</f>
        <v/>
      </c>
      <c r="H1294" s="17" t="str">
        <f aca="false">IF(TRIM(B1294)="","",UPPER(TRIM(B1294)))</f>
        <v/>
      </c>
    </row>
    <row r="1295" customFormat="false" ht="14.25" hidden="false" customHeight="true" outlineLevel="0" collapsed="false">
      <c r="D1295" s="17"/>
      <c r="G1295" s="17" t="str">
        <f aca="false">IF(TRIM(C1295)="","",IFERROR(INDEX('Code Aliases'!$B:$B,MATCH(TRIM(C1295),'Code Aliases'!$A:$A,0)),TRIM(C1295)))</f>
        <v/>
      </c>
      <c r="H1295" s="17" t="str">
        <f aca="false">IF(TRIM(B1295)="","",UPPER(TRIM(B1295)))</f>
        <v/>
      </c>
    </row>
    <row r="1296" customFormat="false" ht="14.25" hidden="false" customHeight="true" outlineLevel="0" collapsed="false">
      <c r="D1296" s="17"/>
      <c r="G1296" s="17" t="str">
        <f aca="false">IF(TRIM(C1296)="","",IFERROR(INDEX('Code Aliases'!$B:$B,MATCH(TRIM(C1296),'Code Aliases'!$A:$A,0)),TRIM(C1296)))</f>
        <v/>
      </c>
      <c r="H1296" s="17" t="str">
        <f aca="false">IF(TRIM(B1296)="","",UPPER(TRIM(B1296)))</f>
        <v/>
      </c>
    </row>
    <row r="1297" customFormat="false" ht="14.25" hidden="false" customHeight="true" outlineLevel="0" collapsed="false">
      <c r="D1297" s="17"/>
      <c r="G1297" s="17" t="str">
        <f aca="false">IF(TRIM(C1297)="","",IFERROR(INDEX('Code Aliases'!$B:$B,MATCH(TRIM(C1297),'Code Aliases'!$A:$A,0)),TRIM(C1297)))</f>
        <v/>
      </c>
      <c r="H1297" s="17" t="str">
        <f aca="false">IF(TRIM(B1297)="","",UPPER(TRIM(B1297)))</f>
        <v/>
      </c>
    </row>
    <row r="1298" customFormat="false" ht="14.25" hidden="false" customHeight="true" outlineLevel="0" collapsed="false">
      <c r="D1298" s="17"/>
      <c r="G1298" s="17" t="str">
        <f aca="false">IF(TRIM(C1298)="","",IFERROR(INDEX('Code Aliases'!$B:$B,MATCH(TRIM(C1298),'Code Aliases'!$A:$A,0)),TRIM(C1298)))</f>
        <v/>
      </c>
      <c r="H1298" s="17" t="str">
        <f aca="false">IF(TRIM(B1298)="","",UPPER(TRIM(B1298)))</f>
        <v/>
      </c>
    </row>
    <row r="1299" customFormat="false" ht="14.25" hidden="false" customHeight="true" outlineLevel="0" collapsed="false">
      <c r="D1299" s="17"/>
      <c r="G1299" s="17" t="str">
        <f aca="false">IF(TRIM(C1299)="","",IFERROR(INDEX('Code Aliases'!$B:$B,MATCH(TRIM(C1299),'Code Aliases'!$A:$A,0)),TRIM(C1299)))</f>
        <v/>
      </c>
      <c r="H1299" s="17" t="str">
        <f aca="false">IF(TRIM(B1299)="","",UPPER(TRIM(B1299)))</f>
        <v/>
      </c>
    </row>
    <row r="1300" customFormat="false" ht="14.25" hidden="false" customHeight="true" outlineLevel="0" collapsed="false">
      <c r="D1300" s="17"/>
      <c r="G1300" s="17" t="str">
        <f aca="false">IF(TRIM(C1300)="","",IFERROR(INDEX('Code Aliases'!$B:$B,MATCH(TRIM(C1300),'Code Aliases'!$A:$A,0)),TRIM(C1300)))</f>
        <v/>
      </c>
      <c r="H1300" s="17" t="str">
        <f aca="false">IF(TRIM(B1300)="","",UPPER(TRIM(B1300)))</f>
        <v/>
      </c>
    </row>
    <row r="1301" customFormat="false" ht="14.25" hidden="false" customHeight="true" outlineLevel="0" collapsed="false">
      <c r="D1301" s="17"/>
      <c r="G1301" s="17" t="str">
        <f aca="false">IF(TRIM(C1301)="","",IFERROR(INDEX('Code Aliases'!$B:$B,MATCH(TRIM(C1301),'Code Aliases'!$A:$A,0)),TRIM(C1301)))</f>
        <v/>
      </c>
      <c r="H1301" s="17" t="str">
        <f aca="false">IF(TRIM(B1301)="","",UPPER(TRIM(B1301)))</f>
        <v/>
      </c>
    </row>
    <row r="1302" customFormat="false" ht="14.25" hidden="false" customHeight="true" outlineLevel="0" collapsed="false">
      <c r="D1302" s="17"/>
      <c r="G1302" s="17" t="str">
        <f aca="false">IF(TRIM(C1302)="","",IFERROR(INDEX('Code Aliases'!$B:$B,MATCH(TRIM(C1302),'Code Aliases'!$A:$A,0)),TRIM(C1302)))</f>
        <v/>
      </c>
      <c r="H1302" s="17" t="str">
        <f aca="false">IF(TRIM(B1302)="","",UPPER(TRIM(B1302)))</f>
        <v/>
      </c>
    </row>
    <row r="1303" customFormat="false" ht="14.25" hidden="false" customHeight="true" outlineLevel="0" collapsed="false">
      <c r="D1303" s="17"/>
      <c r="G1303" s="17" t="str">
        <f aca="false">IF(TRIM(C1303)="","",IFERROR(INDEX('Code Aliases'!$B:$B,MATCH(TRIM(C1303),'Code Aliases'!$A:$A,0)),TRIM(C1303)))</f>
        <v/>
      </c>
      <c r="H1303" s="17" t="str">
        <f aca="false">IF(TRIM(B1303)="","",UPPER(TRIM(B1303)))</f>
        <v/>
      </c>
    </row>
    <row r="1304" customFormat="false" ht="14.25" hidden="false" customHeight="true" outlineLevel="0" collapsed="false">
      <c r="D1304" s="17"/>
      <c r="G1304" s="17" t="str">
        <f aca="false">IF(TRIM(C1304)="","",IFERROR(INDEX('Code Aliases'!$B:$B,MATCH(TRIM(C1304),'Code Aliases'!$A:$A,0)),TRIM(C1304)))</f>
        <v/>
      </c>
      <c r="H1304" s="17" t="str">
        <f aca="false">IF(TRIM(B1304)="","",UPPER(TRIM(B1304)))</f>
        <v/>
      </c>
    </row>
    <row r="1305" customFormat="false" ht="14.25" hidden="false" customHeight="true" outlineLevel="0" collapsed="false">
      <c r="D1305" s="17"/>
      <c r="G1305" s="17" t="str">
        <f aca="false">IF(TRIM(C1305)="","",IFERROR(INDEX('Code Aliases'!$B:$B,MATCH(TRIM(C1305),'Code Aliases'!$A:$A,0)),TRIM(C1305)))</f>
        <v/>
      </c>
      <c r="H1305" s="17" t="str">
        <f aca="false">IF(TRIM(B1305)="","",UPPER(TRIM(B1305)))</f>
        <v/>
      </c>
    </row>
    <row r="1306" customFormat="false" ht="14.25" hidden="false" customHeight="true" outlineLevel="0" collapsed="false">
      <c r="D1306" s="17"/>
      <c r="G1306" s="17" t="str">
        <f aca="false">IF(TRIM(C1306)="","",IFERROR(INDEX('Code Aliases'!$B:$B,MATCH(TRIM(C1306),'Code Aliases'!$A:$A,0)),TRIM(C1306)))</f>
        <v/>
      </c>
      <c r="H1306" s="17" t="str">
        <f aca="false">IF(TRIM(B1306)="","",UPPER(TRIM(B1306)))</f>
        <v/>
      </c>
    </row>
    <row r="1307" customFormat="false" ht="14.25" hidden="false" customHeight="true" outlineLevel="0" collapsed="false">
      <c r="D1307" s="17"/>
      <c r="G1307" s="17" t="str">
        <f aca="false">IF(TRIM(C1307)="","",IFERROR(INDEX('Code Aliases'!$B:$B,MATCH(TRIM(C1307),'Code Aliases'!$A:$A,0)),TRIM(C1307)))</f>
        <v/>
      </c>
      <c r="H1307" s="17" t="str">
        <f aca="false">IF(TRIM(B1307)="","",UPPER(TRIM(B1307)))</f>
        <v/>
      </c>
    </row>
    <row r="1308" customFormat="false" ht="14.25" hidden="false" customHeight="true" outlineLevel="0" collapsed="false">
      <c r="D1308" s="17"/>
      <c r="G1308" s="17" t="str">
        <f aca="false">IF(TRIM(C1308)="","",IFERROR(INDEX('Code Aliases'!$B:$B,MATCH(TRIM(C1308),'Code Aliases'!$A:$A,0)),TRIM(C1308)))</f>
        <v/>
      </c>
      <c r="H1308" s="17" t="str">
        <f aca="false">IF(TRIM(B1308)="","",UPPER(TRIM(B1308)))</f>
        <v/>
      </c>
    </row>
    <row r="1309" customFormat="false" ht="14.25" hidden="false" customHeight="true" outlineLevel="0" collapsed="false">
      <c r="D1309" s="17"/>
      <c r="G1309" s="17" t="str">
        <f aca="false">IF(TRIM(C1309)="","",IFERROR(INDEX('Code Aliases'!$B:$B,MATCH(TRIM(C1309),'Code Aliases'!$A:$A,0)),TRIM(C1309)))</f>
        <v/>
      </c>
      <c r="H1309" s="17" t="str">
        <f aca="false">IF(TRIM(B1309)="","",UPPER(TRIM(B1309)))</f>
        <v/>
      </c>
    </row>
    <row r="1310" customFormat="false" ht="14.25" hidden="false" customHeight="true" outlineLevel="0" collapsed="false">
      <c r="D1310" s="17"/>
      <c r="G1310" s="17" t="str">
        <f aca="false">IF(TRIM(C1310)="","",IFERROR(INDEX('Code Aliases'!$B:$B,MATCH(TRIM(C1310),'Code Aliases'!$A:$A,0)),TRIM(C1310)))</f>
        <v/>
      </c>
      <c r="H1310" s="17" t="str">
        <f aca="false">IF(TRIM(B1310)="","",UPPER(TRIM(B1310)))</f>
        <v/>
      </c>
    </row>
    <row r="1311" customFormat="false" ht="14.25" hidden="false" customHeight="true" outlineLevel="0" collapsed="false">
      <c r="D1311" s="17"/>
      <c r="G1311" s="17" t="str">
        <f aca="false">IF(TRIM(C1311)="","",IFERROR(INDEX('Code Aliases'!$B:$B,MATCH(TRIM(C1311),'Code Aliases'!$A:$A,0)),TRIM(C1311)))</f>
        <v/>
      </c>
      <c r="H1311" s="17" t="str">
        <f aca="false">IF(TRIM(B1311)="","",UPPER(TRIM(B1311)))</f>
        <v/>
      </c>
    </row>
    <row r="1312" customFormat="false" ht="14.25" hidden="false" customHeight="true" outlineLevel="0" collapsed="false">
      <c r="D1312" s="17"/>
      <c r="G1312" s="17" t="str">
        <f aca="false">IF(TRIM(C1312)="","",IFERROR(INDEX('Code Aliases'!$B:$B,MATCH(TRIM(C1312),'Code Aliases'!$A:$A,0)),TRIM(C1312)))</f>
        <v/>
      </c>
      <c r="H1312" s="17" t="str">
        <f aca="false">IF(TRIM(B1312)="","",UPPER(TRIM(B1312)))</f>
        <v/>
      </c>
    </row>
    <row r="1313" customFormat="false" ht="14.25" hidden="false" customHeight="true" outlineLevel="0" collapsed="false">
      <c r="D1313" s="17"/>
      <c r="G1313" s="17" t="str">
        <f aca="false">IF(TRIM(C1313)="","",IFERROR(INDEX('Code Aliases'!$B:$B,MATCH(TRIM(C1313),'Code Aliases'!$A:$A,0)),TRIM(C1313)))</f>
        <v/>
      </c>
      <c r="H1313" s="17" t="str">
        <f aca="false">IF(TRIM(B1313)="","",UPPER(TRIM(B1313)))</f>
        <v/>
      </c>
    </row>
    <row r="1314" customFormat="false" ht="14.25" hidden="false" customHeight="true" outlineLevel="0" collapsed="false">
      <c r="D1314" s="17"/>
      <c r="G1314" s="17" t="str">
        <f aca="false">IF(TRIM(C1314)="","",IFERROR(INDEX('Code Aliases'!$B:$B,MATCH(TRIM(C1314),'Code Aliases'!$A:$A,0)),TRIM(C1314)))</f>
        <v/>
      </c>
      <c r="H1314" s="17" t="str">
        <f aca="false">IF(TRIM(B1314)="","",UPPER(TRIM(B1314)))</f>
        <v/>
      </c>
    </row>
    <row r="1315" customFormat="false" ht="14.25" hidden="false" customHeight="true" outlineLevel="0" collapsed="false">
      <c r="D1315" s="17"/>
      <c r="G1315" s="17" t="str">
        <f aca="false">IF(TRIM(C1315)="","",IFERROR(INDEX('Code Aliases'!$B:$B,MATCH(TRIM(C1315),'Code Aliases'!$A:$A,0)),TRIM(C1315)))</f>
        <v/>
      </c>
      <c r="H1315" s="17" t="str">
        <f aca="false">IF(TRIM(B1315)="","",UPPER(TRIM(B1315)))</f>
        <v/>
      </c>
    </row>
    <row r="1316" customFormat="false" ht="14.25" hidden="false" customHeight="true" outlineLevel="0" collapsed="false">
      <c r="D1316" s="17"/>
      <c r="G1316" s="17" t="str">
        <f aca="false">IF(TRIM(C1316)="","",IFERROR(INDEX('Code Aliases'!$B:$B,MATCH(TRIM(C1316),'Code Aliases'!$A:$A,0)),TRIM(C1316)))</f>
        <v/>
      </c>
      <c r="H1316" s="17" t="str">
        <f aca="false">IF(TRIM(B1316)="","",UPPER(TRIM(B1316)))</f>
        <v/>
      </c>
    </row>
    <row r="1317" customFormat="false" ht="14.25" hidden="false" customHeight="true" outlineLevel="0" collapsed="false">
      <c r="D1317" s="17"/>
      <c r="G1317" s="17" t="str">
        <f aca="false">IF(TRIM(C1317)="","",IFERROR(INDEX('Code Aliases'!$B:$B,MATCH(TRIM(C1317),'Code Aliases'!$A:$A,0)),TRIM(C1317)))</f>
        <v/>
      </c>
      <c r="H1317" s="17" t="str">
        <f aca="false">IF(TRIM(B1317)="","",UPPER(TRIM(B1317)))</f>
        <v/>
      </c>
    </row>
    <row r="1318" customFormat="false" ht="14.25" hidden="false" customHeight="true" outlineLevel="0" collapsed="false">
      <c r="D1318" s="17"/>
      <c r="G1318" s="17" t="str">
        <f aca="false">IF(TRIM(C1318)="","",IFERROR(INDEX('Code Aliases'!$B:$B,MATCH(TRIM(C1318),'Code Aliases'!$A:$A,0)),TRIM(C1318)))</f>
        <v/>
      </c>
      <c r="H1318" s="17" t="str">
        <f aca="false">IF(TRIM(B1318)="","",UPPER(TRIM(B1318)))</f>
        <v/>
      </c>
    </row>
    <row r="1319" customFormat="false" ht="14.25" hidden="false" customHeight="true" outlineLevel="0" collapsed="false">
      <c r="D1319" s="17"/>
      <c r="G1319" s="17" t="str">
        <f aca="false">IF(TRIM(C1319)="","",IFERROR(INDEX('Code Aliases'!$B:$B,MATCH(TRIM(C1319),'Code Aliases'!$A:$A,0)),TRIM(C1319)))</f>
        <v/>
      </c>
      <c r="H1319" s="17" t="str">
        <f aca="false">IF(TRIM(B1319)="","",UPPER(TRIM(B1319)))</f>
        <v/>
      </c>
    </row>
    <row r="1320" customFormat="false" ht="14.25" hidden="false" customHeight="true" outlineLevel="0" collapsed="false">
      <c r="D1320" s="17"/>
      <c r="G1320" s="17" t="str">
        <f aca="false">IF(TRIM(C1320)="","",IFERROR(INDEX('Code Aliases'!$B:$B,MATCH(TRIM(C1320),'Code Aliases'!$A:$A,0)),TRIM(C1320)))</f>
        <v/>
      </c>
      <c r="H1320" s="17" t="str">
        <f aca="false">IF(TRIM(B1320)="","",UPPER(TRIM(B1320)))</f>
        <v/>
      </c>
    </row>
    <row r="1321" customFormat="false" ht="14.25" hidden="false" customHeight="true" outlineLevel="0" collapsed="false">
      <c r="D1321" s="17"/>
      <c r="G1321" s="17" t="str">
        <f aca="false">IF(TRIM(C1321)="","",IFERROR(INDEX('Code Aliases'!$B:$B,MATCH(TRIM(C1321),'Code Aliases'!$A:$A,0)),TRIM(C1321)))</f>
        <v/>
      </c>
      <c r="H1321" s="17" t="str">
        <f aca="false">IF(TRIM(B1321)="","",UPPER(TRIM(B1321)))</f>
        <v/>
      </c>
    </row>
    <row r="1322" customFormat="false" ht="14.25" hidden="false" customHeight="true" outlineLevel="0" collapsed="false">
      <c r="D1322" s="17"/>
      <c r="G1322" s="17" t="str">
        <f aca="false">IF(TRIM(C1322)="","",IFERROR(INDEX('Code Aliases'!$B:$B,MATCH(TRIM(C1322),'Code Aliases'!$A:$A,0)),TRIM(C1322)))</f>
        <v/>
      </c>
      <c r="H1322" s="17" t="str">
        <f aca="false">IF(TRIM(B1322)="","",UPPER(TRIM(B1322)))</f>
        <v/>
      </c>
    </row>
    <row r="1323" customFormat="false" ht="14.25" hidden="false" customHeight="true" outlineLevel="0" collapsed="false">
      <c r="D1323" s="17"/>
      <c r="G1323" s="17" t="str">
        <f aca="false">IF(TRIM(C1323)="","",IFERROR(INDEX('Code Aliases'!$B:$B,MATCH(TRIM(C1323),'Code Aliases'!$A:$A,0)),TRIM(C1323)))</f>
        <v/>
      </c>
      <c r="H1323" s="17" t="str">
        <f aca="false">IF(TRIM(B1323)="","",UPPER(TRIM(B1323)))</f>
        <v/>
      </c>
    </row>
    <row r="1324" customFormat="false" ht="14.25" hidden="false" customHeight="true" outlineLevel="0" collapsed="false">
      <c r="D1324" s="17"/>
      <c r="G1324" s="17" t="str">
        <f aca="false">IF(TRIM(C1324)="","",IFERROR(INDEX('Code Aliases'!$B:$B,MATCH(TRIM(C1324),'Code Aliases'!$A:$A,0)),TRIM(C1324)))</f>
        <v/>
      </c>
      <c r="H1324" s="17" t="str">
        <f aca="false">IF(TRIM(B1324)="","",UPPER(TRIM(B1324)))</f>
        <v/>
      </c>
    </row>
    <row r="1325" customFormat="false" ht="14.25" hidden="false" customHeight="true" outlineLevel="0" collapsed="false">
      <c r="D1325" s="17"/>
      <c r="G1325" s="17" t="str">
        <f aca="false">IF(TRIM(C1325)="","",IFERROR(INDEX('Code Aliases'!$B:$B,MATCH(TRIM(C1325),'Code Aliases'!$A:$A,0)),TRIM(C1325)))</f>
        <v/>
      </c>
      <c r="H1325" s="17" t="str">
        <f aca="false">IF(TRIM(B1325)="","",UPPER(TRIM(B1325)))</f>
        <v/>
      </c>
    </row>
    <row r="1326" customFormat="false" ht="14.25" hidden="false" customHeight="true" outlineLevel="0" collapsed="false">
      <c r="D1326" s="17"/>
      <c r="G1326" s="17" t="str">
        <f aca="false">IF(TRIM(C1326)="","",IFERROR(INDEX('Code Aliases'!$B:$B,MATCH(TRIM(C1326),'Code Aliases'!$A:$A,0)),TRIM(C1326)))</f>
        <v/>
      </c>
      <c r="H1326" s="17" t="str">
        <f aca="false">IF(TRIM(B1326)="","",UPPER(TRIM(B1326)))</f>
        <v/>
      </c>
    </row>
    <row r="1327" customFormat="false" ht="14.25" hidden="false" customHeight="true" outlineLevel="0" collapsed="false">
      <c r="D1327" s="17"/>
      <c r="G1327" s="17" t="str">
        <f aca="false">IF(TRIM(C1327)="","",IFERROR(INDEX('Code Aliases'!$B:$B,MATCH(TRIM(C1327),'Code Aliases'!$A:$A,0)),TRIM(C1327)))</f>
        <v/>
      </c>
      <c r="H1327" s="17" t="str">
        <f aca="false">IF(TRIM(B1327)="","",UPPER(TRIM(B1327)))</f>
        <v/>
      </c>
    </row>
    <row r="1328" customFormat="false" ht="14.25" hidden="false" customHeight="true" outlineLevel="0" collapsed="false">
      <c r="D1328" s="17"/>
      <c r="G1328" s="17" t="str">
        <f aca="false">IF(TRIM(C1328)="","",IFERROR(INDEX('Code Aliases'!$B:$B,MATCH(TRIM(C1328),'Code Aliases'!$A:$A,0)),TRIM(C1328)))</f>
        <v/>
      </c>
      <c r="H1328" s="17" t="str">
        <f aca="false">IF(TRIM(B1328)="","",UPPER(TRIM(B1328)))</f>
        <v/>
      </c>
    </row>
    <row r="1329" customFormat="false" ht="14.25" hidden="false" customHeight="true" outlineLevel="0" collapsed="false">
      <c r="D1329" s="17"/>
      <c r="G1329" s="17" t="str">
        <f aca="false">IF(TRIM(C1329)="","",IFERROR(INDEX('Code Aliases'!$B:$B,MATCH(TRIM(C1329),'Code Aliases'!$A:$A,0)),TRIM(C1329)))</f>
        <v/>
      </c>
      <c r="H1329" s="17" t="str">
        <f aca="false">IF(TRIM(B1329)="","",UPPER(TRIM(B1329)))</f>
        <v/>
      </c>
    </row>
    <row r="1330" customFormat="false" ht="14.25" hidden="false" customHeight="true" outlineLevel="0" collapsed="false">
      <c r="D1330" s="17"/>
      <c r="G1330" s="17" t="str">
        <f aca="false">IF(TRIM(C1330)="","",IFERROR(INDEX('Code Aliases'!$B:$B,MATCH(TRIM(C1330),'Code Aliases'!$A:$A,0)),TRIM(C1330)))</f>
        <v/>
      </c>
      <c r="H1330" s="17" t="str">
        <f aca="false">IF(TRIM(B1330)="","",UPPER(TRIM(B1330)))</f>
        <v/>
      </c>
    </row>
    <row r="1331" customFormat="false" ht="14.25" hidden="false" customHeight="true" outlineLevel="0" collapsed="false">
      <c r="D1331" s="17"/>
      <c r="G1331" s="17" t="str">
        <f aca="false">IF(TRIM(C1331)="","",IFERROR(INDEX('Code Aliases'!$B:$B,MATCH(TRIM(C1331),'Code Aliases'!$A:$A,0)),TRIM(C1331)))</f>
        <v/>
      </c>
      <c r="H1331" s="17" t="str">
        <f aca="false">IF(TRIM(B1331)="","",UPPER(TRIM(B1331)))</f>
        <v/>
      </c>
    </row>
    <row r="1332" customFormat="false" ht="14.25" hidden="false" customHeight="true" outlineLevel="0" collapsed="false">
      <c r="D1332" s="17"/>
      <c r="G1332" s="17" t="str">
        <f aca="false">IF(TRIM(C1332)="","",IFERROR(INDEX('Code Aliases'!$B:$B,MATCH(TRIM(C1332),'Code Aliases'!$A:$A,0)),TRIM(C1332)))</f>
        <v/>
      </c>
      <c r="H1332" s="17" t="str">
        <f aca="false">IF(TRIM(B1332)="","",UPPER(TRIM(B1332)))</f>
        <v/>
      </c>
    </row>
    <row r="1333" customFormat="false" ht="14.25" hidden="false" customHeight="true" outlineLevel="0" collapsed="false">
      <c r="D1333" s="17"/>
      <c r="G1333" s="17" t="str">
        <f aca="false">IF(TRIM(C1333)="","",IFERROR(INDEX('Code Aliases'!$B:$B,MATCH(TRIM(C1333),'Code Aliases'!$A:$A,0)),TRIM(C1333)))</f>
        <v/>
      </c>
      <c r="H1333" s="17" t="str">
        <f aca="false">IF(TRIM(B1333)="","",UPPER(TRIM(B1333)))</f>
        <v/>
      </c>
    </row>
    <row r="1334" customFormat="false" ht="14.25" hidden="false" customHeight="true" outlineLevel="0" collapsed="false">
      <c r="D1334" s="17"/>
      <c r="G1334" s="17" t="str">
        <f aca="false">IF(TRIM(C1334)="","",IFERROR(INDEX('Code Aliases'!$B:$B,MATCH(TRIM(C1334),'Code Aliases'!$A:$A,0)),TRIM(C1334)))</f>
        <v/>
      </c>
      <c r="H1334" s="17" t="str">
        <f aca="false">IF(TRIM(B1334)="","",UPPER(TRIM(B1334)))</f>
        <v/>
      </c>
    </row>
    <row r="1335" customFormat="false" ht="14.25" hidden="false" customHeight="true" outlineLevel="0" collapsed="false">
      <c r="D1335" s="17"/>
      <c r="G1335" s="17" t="str">
        <f aca="false">IF(TRIM(C1335)="","",IFERROR(INDEX('Code Aliases'!$B:$B,MATCH(TRIM(C1335),'Code Aliases'!$A:$A,0)),TRIM(C1335)))</f>
        <v/>
      </c>
      <c r="H1335" s="17" t="str">
        <f aca="false">IF(TRIM(B1335)="","",UPPER(TRIM(B1335)))</f>
        <v/>
      </c>
    </row>
    <row r="1336" customFormat="false" ht="14.25" hidden="false" customHeight="true" outlineLevel="0" collapsed="false">
      <c r="D1336" s="17"/>
      <c r="G1336" s="17" t="str">
        <f aca="false">IF(TRIM(C1336)="","",IFERROR(INDEX('Code Aliases'!$B:$B,MATCH(TRIM(C1336),'Code Aliases'!$A:$A,0)),TRIM(C1336)))</f>
        <v/>
      </c>
      <c r="H1336" s="17" t="str">
        <f aca="false">IF(TRIM(B1336)="","",UPPER(TRIM(B1336)))</f>
        <v/>
      </c>
    </row>
    <row r="1337" customFormat="false" ht="14.25" hidden="false" customHeight="true" outlineLevel="0" collapsed="false">
      <c r="D1337" s="17"/>
      <c r="G1337" s="17" t="str">
        <f aca="false">IF(TRIM(C1337)="","",IFERROR(INDEX('Code Aliases'!$B:$B,MATCH(TRIM(C1337),'Code Aliases'!$A:$A,0)),TRIM(C1337)))</f>
        <v/>
      </c>
      <c r="H1337" s="17" t="str">
        <f aca="false">IF(TRIM(B1337)="","",UPPER(TRIM(B1337)))</f>
        <v/>
      </c>
    </row>
    <row r="1338" customFormat="false" ht="14.25" hidden="false" customHeight="true" outlineLevel="0" collapsed="false">
      <c r="D1338" s="17"/>
      <c r="G1338" s="17" t="str">
        <f aca="false">IF(TRIM(C1338)="","",IFERROR(INDEX('Code Aliases'!$B:$B,MATCH(TRIM(C1338),'Code Aliases'!$A:$A,0)),TRIM(C1338)))</f>
        <v/>
      </c>
      <c r="H1338" s="17" t="str">
        <f aca="false">IF(TRIM(B1338)="","",UPPER(TRIM(B1338)))</f>
        <v/>
      </c>
    </row>
    <row r="1339" customFormat="false" ht="14.25" hidden="false" customHeight="true" outlineLevel="0" collapsed="false">
      <c r="D1339" s="17"/>
      <c r="G1339" s="17" t="str">
        <f aca="false">IF(TRIM(C1339)="","",IFERROR(INDEX('Code Aliases'!$B:$B,MATCH(TRIM(C1339),'Code Aliases'!$A:$A,0)),TRIM(C1339)))</f>
        <v/>
      </c>
      <c r="H1339" s="17" t="str">
        <f aca="false">IF(TRIM(B1339)="","",UPPER(TRIM(B1339)))</f>
        <v/>
      </c>
    </row>
    <row r="1340" customFormat="false" ht="14.25" hidden="false" customHeight="true" outlineLevel="0" collapsed="false">
      <c r="D1340" s="17"/>
      <c r="G1340" s="17" t="str">
        <f aca="false">IF(TRIM(C1340)="","",IFERROR(INDEX('Code Aliases'!$B:$B,MATCH(TRIM(C1340),'Code Aliases'!$A:$A,0)),TRIM(C1340)))</f>
        <v/>
      </c>
      <c r="H1340" s="17" t="str">
        <f aca="false">IF(TRIM(B1340)="","",UPPER(TRIM(B1340)))</f>
        <v/>
      </c>
    </row>
    <row r="1341" customFormat="false" ht="14.25" hidden="false" customHeight="true" outlineLevel="0" collapsed="false">
      <c r="D1341" s="17"/>
      <c r="G1341" s="17" t="str">
        <f aca="false">IF(TRIM(C1341)="","",IFERROR(INDEX('Code Aliases'!$B:$B,MATCH(TRIM(C1341),'Code Aliases'!$A:$A,0)),TRIM(C1341)))</f>
        <v/>
      </c>
      <c r="H1341" s="17" t="str">
        <f aca="false">IF(TRIM(B1341)="","",UPPER(TRIM(B1341)))</f>
        <v/>
      </c>
    </row>
    <row r="1342" customFormat="false" ht="14.25" hidden="false" customHeight="true" outlineLevel="0" collapsed="false">
      <c r="D1342" s="17"/>
      <c r="G1342" s="17" t="str">
        <f aca="false">IF(TRIM(C1342)="","",IFERROR(INDEX('Code Aliases'!$B:$B,MATCH(TRIM(C1342),'Code Aliases'!$A:$A,0)),TRIM(C1342)))</f>
        <v/>
      </c>
      <c r="H1342" s="17" t="str">
        <f aca="false">IF(TRIM(B1342)="","",UPPER(TRIM(B1342)))</f>
        <v/>
      </c>
    </row>
    <row r="1343" customFormat="false" ht="14.25" hidden="false" customHeight="true" outlineLevel="0" collapsed="false">
      <c r="D1343" s="17"/>
      <c r="G1343" s="17" t="str">
        <f aca="false">IF(TRIM(C1343)="","",IFERROR(INDEX('Code Aliases'!$B:$B,MATCH(TRIM(C1343),'Code Aliases'!$A:$A,0)),TRIM(C1343)))</f>
        <v/>
      </c>
      <c r="H1343" s="17" t="str">
        <f aca="false">IF(TRIM(B1343)="","",UPPER(TRIM(B1343)))</f>
        <v/>
      </c>
    </row>
    <row r="1344" customFormat="false" ht="14.25" hidden="false" customHeight="true" outlineLevel="0" collapsed="false">
      <c r="D1344" s="17"/>
      <c r="G1344" s="17" t="str">
        <f aca="false">IF(TRIM(C1344)="","",IFERROR(INDEX('Code Aliases'!$B:$B,MATCH(TRIM(C1344),'Code Aliases'!$A:$A,0)),TRIM(C1344)))</f>
        <v/>
      </c>
      <c r="H1344" s="17" t="str">
        <f aca="false">IF(TRIM(B1344)="","",UPPER(TRIM(B1344)))</f>
        <v/>
      </c>
    </row>
    <row r="1345" customFormat="false" ht="14.25" hidden="false" customHeight="true" outlineLevel="0" collapsed="false">
      <c r="D1345" s="17"/>
      <c r="G1345" s="17" t="str">
        <f aca="false">IF(TRIM(C1345)="","",IFERROR(INDEX('Code Aliases'!$B:$B,MATCH(TRIM(C1345),'Code Aliases'!$A:$A,0)),TRIM(C1345)))</f>
        <v/>
      </c>
      <c r="H1345" s="17" t="str">
        <f aca="false">IF(TRIM(B1345)="","",UPPER(TRIM(B1345)))</f>
        <v/>
      </c>
    </row>
    <row r="1346" customFormat="false" ht="14.25" hidden="false" customHeight="true" outlineLevel="0" collapsed="false">
      <c r="D1346" s="17"/>
      <c r="G1346" s="17" t="str">
        <f aca="false">IF(TRIM(C1346)="","",IFERROR(INDEX('Code Aliases'!$B:$B,MATCH(TRIM(C1346),'Code Aliases'!$A:$A,0)),TRIM(C1346)))</f>
        <v/>
      </c>
      <c r="H1346" s="17" t="str">
        <f aca="false">IF(TRIM(B1346)="","",UPPER(TRIM(B1346)))</f>
        <v/>
      </c>
    </row>
    <row r="1347" customFormat="false" ht="14.25" hidden="false" customHeight="true" outlineLevel="0" collapsed="false">
      <c r="D1347" s="17"/>
      <c r="G1347" s="17" t="str">
        <f aca="false">IF(TRIM(C1347)="","",IFERROR(INDEX('Code Aliases'!$B:$B,MATCH(TRIM(C1347),'Code Aliases'!$A:$A,0)),TRIM(C1347)))</f>
        <v/>
      </c>
      <c r="H1347" s="17" t="str">
        <f aca="false">IF(TRIM(B1347)="","",UPPER(TRIM(B1347)))</f>
        <v/>
      </c>
    </row>
    <row r="1348" customFormat="false" ht="14.25" hidden="false" customHeight="true" outlineLevel="0" collapsed="false">
      <c r="D1348" s="17"/>
      <c r="G1348" s="17" t="str">
        <f aca="false">IF(TRIM(C1348)="","",IFERROR(INDEX('Code Aliases'!$B:$B,MATCH(TRIM(C1348),'Code Aliases'!$A:$A,0)),TRIM(C1348)))</f>
        <v/>
      </c>
      <c r="H1348" s="17" t="str">
        <f aca="false">IF(TRIM(B1348)="","",UPPER(TRIM(B1348)))</f>
        <v/>
      </c>
    </row>
    <row r="1349" customFormat="false" ht="14.25" hidden="false" customHeight="true" outlineLevel="0" collapsed="false">
      <c r="D1349" s="17"/>
      <c r="G1349" s="17" t="str">
        <f aca="false">IF(TRIM(C1349)="","",IFERROR(INDEX('Code Aliases'!$B:$B,MATCH(TRIM(C1349),'Code Aliases'!$A:$A,0)),TRIM(C1349)))</f>
        <v/>
      </c>
      <c r="H1349" s="17" t="str">
        <f aca="false">IF(TRIM(B1349)="","",UPPER(TRIM(B1349)))</f>
        <v/>
      </c>
    </row>
    <row r="1350" customFormat="false" ht="14.25" hidden="false" customHeight="true" outlineLevel="0" collapsed="false">
      <c r="D1350" s="17"/>
      <c r="G1350" s="17" t="str">
        <f aca="false">IF(TRIM(C1350)="","",IFERROR(INDEX('Code Aliases'!$B:$B,MATCH(TRIM(C1350),'Code Aliases'!$A:$A,0)),TRIM(C1350)))</f>
        <v/>
      </c>
      <c r="H1350" s="17" t="str">
        <f aca="false">IF(TRIM(B1350)="","",UPPER(TRIM(B1350)))</f>
        <v/>
      </c>
    </row>
    <row r="1351" customFormat="false" ht="14.25" hidden="false" customHeight="true" outlineLevel="0" collapsed="false">
      <c r="D1351" s="17"/>
      <c r="G1351" s="17" t="str">
        <f aca="false">IF(TRIM(C1351)="","",IFERROR(INDEX('Code Aliases'!$B:$B,MATCH(TRIM(C1351),'Code Aliases'!$A:$A,0)),TRIM(C1351)))</f>
        <v/>
      </c>
      <c r="H1351" s="17" t="str">
        <f aca="false">IF(TRIM(B1351)="","",UPPER(TRIM(B1351)))</f>
        <v/>
      </c>
    </row>
    <row r="1352" customFormat="false" ht="14.25" hidden="false" customHeight="true" outlineLevel="0" collapsed="false">
      <c r="D1352" s="17"/>
      <c r="G1352" s="17" t="str">
        <f aca="false">IF(TRIM(C1352)="","",IFERROR(INDEX('Code Aliases'!$B:$B,MATCH(TRIM(C1352),'Code Aliases'!$A:$A,0)),TRIM(C1352)))</f>
        <v/>
      </c>
      <c r="H1352" s="17" t="str">
        <f aca="false">IF(TRIM(B1352)="","",UPPER(TRIM(B1352)))</f>
        <v/>
      </c>
    </row>
    <row r="1353" customFormat="false" ht="14.25" hidden="false" customHeight="true" outlineLevel="0" collapsed="false">
      <c r="D1353" s="17"/>
      <c r="G1353" s="17" t="str">
        <f aca="false">IF(TRIM(C1353)="","",IFERROR(INDEX('Code Aliases'!$B:$B,MATCH(TRIM(C1353),'Code Aliases'!$A:$A,0)),TRIM(C1353)))</f>
        <v/>
      </c>
      <c r="H1353" s="17" t="str">
        <f aca="false">IF(TRIM(B1353)="","",UPPER(TRIM(B1353)))</f>
        <v/>
      </c>
    </row>
    <row r="1354" customFormat="false" ht="14.25" hidden="false" customHeight="true" outlineLevel="0" collapsed="false">
      <c r="D1354" s="17"/>
      <c r="G1354" s="17" t="str">
        <f aca="false">IF(TRIM(C1354)="","",IFERROR(INDEX('Code Aliases'!$B:$B,MATCH(TRIM(C1354),'Code Aliases'!$A:$A,0)),TRIM(C1354)))</f>
        <v/>
      </c>
      <c r="H1354" s="17" t="str">
        <f aca="false">IF(TRIM(B1354)="","",UPPER(TRIM(B1354)))</f>
        <v/>
      </c>
    </row>
    <row r="1355" customFormat="false" ht="14.25" hidden="false" customHeight="true" outlineLevel="0" collapsed="false">
      <c r="D1355" s="17"/>
      <c r="G1355" s="17" t="str">
        <f aca="false">IF(TRIM(C1355)="","",IFERROR(INDEX('Code Aliases'!$B:$B,MATCH(TRIM(C1355),'Code Aliases'!$A:$A,0)),TRIM(C1355)))</f>
        <v/>
      </c>
      <c r="H1355" s="17" t="str">
        <f aca="false">IF(TRIM(B1355)="","",UPPER(TRIM(B1355)))</f>
        <v/>
      </c>
    </row>
    <row r="1356" customFormat="false" ht="14.25" hidden="false" customHeight="true" outlineLevel="0" collapsed="false">
      <c r="D1356" s="17"/>
      <c r="G1356" s="17" t="str">
        <f aca="false">IF(TRIM(C1356)="","",IFERROR(INDEX('Code Aliases'!$B:$B,MATCH(TRIM(C1356),'Code Aliases'!$A:$A,0)),TRIM(C1356)))</f>
        <v/>
      </c>
      <c r="H1356" s="17" t="str">
        <f aca="false">IF(TRIM(B1356)="","",UPPER(TRIM(B1356)))</f>
        <v/>
      </c>
    </row>
    <row r="1357" customFormat="false" ht="14.25" hidden="false" customHeight="true" outlineLevel="0" collapsed="false">
      <c r="D1357" s="17"/>
      <c r="G1357" s="17" t="str">
        <f aca="false">IF(TRIM(C1357)="","",IFERROR(INDEX('Code Aliases'!$B:$B,MATCH(TRIM(C1357),'Code Aliases'!$A:$A,0)),TRIM(C1357)))</f>
        <v/>
      </c>
      <c r="H1357" s="17" t="str">
        <f aca="false">IF(TRIM(B1357)="","",UPPER(TRIM(B1357)))</f>
        <v/>
      </c>
    </row>
    <row r="1358" customFormat="false" ht="14.25" hidden="false" customHeight="true" outlineLevel="0" collapsed="false">
      <c r="D1358" s="17"/>
      <c r="G1358" s="17" t="str">
        <f aca="false">IF(TRIM(C1358)="","",IFERROR(INDEX('Code Aliases'!$B:$B,MATCH(TRIM(C1358),'Code Aliases'!$A:$A,0)),TRIM(C1358)))</f>
        <v/>
      </c>
      <c r="H1358" s="17" t="str">
        <f aca="false">IF(TRIM(B1358)="","",UPPER(TRIM(B1358)))</f>
        <v/>
      </c>
    </row>
    <row r="1359" customFormat="false" ht="14.25" hidden="false" customHeight="true" outlineLevel="0" collapsed="false">
      <c r="D1359" s="17"/>
      <c r="G1359" s="17" t="str">
        <f aca="false">IF(TRIM(C1359)="","",IFERROR(INDEX('Code Aliases'!$B:$B,MATCH(TRIM(C1359),'Code Aliases'!$A:$A,0)),TRIM(C1359)))</f>
        <v/>
      </c>
      <c r="H1359" s="17" t="str">
        <f aca="false">IF(TRIM(B1359)="","",UPPER(TRIM(B1359)))</f>
        <v/>
      </c>
    </row>
    <row r="1360" customFormat="false" ht="14.25" hidden="false" customHeight="true" outlineLevel="0" collapsed="false">
      <c r="D1360" s="17"/>
      <c r="G1360" s="17" t="str">
        <f aca="false">IF(TRIM(C1360)="","",IFERROR(INDEX('Code Aliases'!$B:$B,MATCH(TRIM(C1360),'Code Aliases'!$A:$A,0)),TRIM(C1360)))</f>
        <v/>
      </c>
      <c r="H1360" s="17" t="str">
        <f aca="false">IF(TRIM(B1360)="","",UPPER(TRIM(B1360)))</f>
        <v/>
      </c>
    </row>
    <row r="1361" customFormat="false" ht="14.25" hidden="false" customHeight="true" outlineLevel="0" collapsed="false">
      <c r="D1361" s="17"/>
      <c r="G1361" s="17" t="str">
        <f aca="false">IF(TRIM(C1361)="","",IFERROR(INDEX('Code Aliases'!$B:$B,MATCH(TRIM(C1361),'Code Aliases'!$A:$A,0)),TRIM(C1361)))</f>
        <v/>
      </c>
      <c r="H1361" s="17" t="str">
        <f aca="false">IF(TRIM(B1361)="","",UPPER(TRIM(B1361)))</f>
        <v/>
      </c>
    </row>
    <row r="1362" customFormat="false" ht="14.25" hidden="false" customHeight="true" outlineLevel="0" collapsed="false">
      <c r="D1362" s="17"/>
      <c r="G1362" s="17" t="str">
        <f aca="false">IF(TRIM(C1362)="","",IFERROR(INDEX('Code Aliases'!$B:$B,MATCH(TRIM(C1362),'Code Aliases'!$A:$A,0)),TRIM(C1362)))</f>
        <v/>
      </c>
      <c r="H1362" s="17" t="str">
        <f aca="false">IF(TRIM(B1362)="","",UPPER(TRIM(B1362)))</f>
        <v/>
      </c>
    </row>
    <row r="1363" customFormat="false" ht="14.25" hidden="false" customHeight="true" outlineLevel="0" collapsed="false">
      <c r="D1363" s="17"/>
      <c r="G1363" s="17" t="str">
        <f aca="false">IF(TRIM(C1363)="","",IFERROR(INDEX('Code Aliases'!$B:$B,MATCH(TRIM(C1363),'Code Aliases'!$A:$A,0)),TRIM(C1363)))</f>
        <v/>
      </c>
      <c r="H1363" s="17" t="str">
        <f aca="false">IF(TRIM(B1363)="","",UPPER(TRIM(B1363)))</f>
        <v/>
      </c>
    </row>
    <row r="1364" customFormat="false" ht="14.25" hidden="false" customHeight="true" outlineLevel="0" collapsed="false">
      <c r="D1364" s="17"/>
      <c r="G1364" s="17" t="str">
        <f aca="false">IF(TRIM(C1364)="","",IFERROR(INDEX('Code Aliases'!$B:$B,MATCH(TRIM(C1364),'Code Aliases'!$A:$A,0)),TRIM(C1364)))</f>
        <v/>
      </c>
      <c r="H1364" s="17" t="str">
        <f aca="false">IF(TRIM(B1364)="","",UPPER(TRIM(B1364)))</f>
        <v/>
      </c>
    </row>
    <row r="1365" customFormat="false" ht="14.25" hidden="false" customHeight="true" outlineLevel="0" collapsed="false">
      <c r="D1365" s="17"/>
      <c r="G1365" s="17" t="str">
        <f aca="false">IF(TRIM(C1365)="","",IFERROR(INDEX('Code Aliases'!$B:$B,MATCH(TRIM(C1365),'Code Aliases'!$A:$A,0)),TRIM(C1365)))</f>
        <v/>
      </c>
      <c r="H1365" s="17" t="str">
        <f aca="false">IF(TRIM(B1365)="","",UPPER(TRIM(B1365)))</f>
        <v/>
      </c>
    </row>
    <row r="1366" customFormat="false" ht="14.25" hidden="false" customHeight="true" outlineLevel="0" collapsed="false">
      <c r="D1366" s="17"/>
      <c r="G1366" s="17" t="str">
        <f aca="false">IF(TRIM(C1366)="","",IFERROR(INDEX('Code Aliases'!$B:$B,MATCH(TRIM(C1366),'Code Aliases'!$A:$A,0)),TRIM(C1366)))</f>
        <v/>
      </c>
      <c r="H1366" s="17" t="str">
        <f aca="false">IF(TRIM(B1366)="","",UPPER(TRIM(B1366)))</f>
        <v/>
      </c>
    </row>
    <row r="1367" customFormat="false" ht="14.25" hidden="false" customHeight="true" outlineLevel="0" collapsed="false">
      <c r="D1367" s="17"/>
      <c r="G1367" s="17" t="str">
        <f aca="false">IF(TRIM(C1367)="","",IFERROR(INDEX('Code Aliases'!$B:$B,MATCH(TRIM(C1367),'Code Aliases'!$A:$A,0)),TRIM(C1367)))</f>
        <v/>
      </c>
      <c r="H1367" s="17" t="str">
        <f aca="false">IF(TRIM(B1367)="","",UPPER(TRIM(B1367)))</f>
        <v/>
      </c>
    </row>
    <row r="1368" customFormat="false" ht="14.25" hidden="false" customHeight="true" outlineLevel="0" collapsed="false">
      <c r="D1368" s="17"/>
      <c r="G1368" s="17" t="str">
        <f aca="false">IF(TRIM(C1368)="","",IFERROR(INDEX('Code Aliases'!$B:$B,MATCH(TRIM(C1368),'Code Aliases'!$A:$A,0)),TRIM(C1368)))</f>
        <v/>
      </c>
      <c r="H1368" s="17" t="str">
        <f aca="false">IF(TRIM(B1368)="","",UPPER(TRIM(B1368)))</f>
        <v/>
      </c>
    </row>
    <row r="1369" customFormat="false" ht="14.25" hidden="false" customHeight="true" outlineLevel="0" collapsed="false">
      <c r="D1369" s="17"/>
      <c r="G1369" s="17" t="str">
        <f aca="false">IF(TRIM(C1369)="","",IFERROR(INDEX('Code Aliases'!$B:$B,MATCH(TRIM(C1369),'Code Aliases'!$A:$A,0)),TRIM(C1369)))</f>
        <v/>
      </c>
      <c r="H1369" s="17" t="str">
        <f aca="false">IF(TRIM(B1369)="","",UPPER(TRIM(B1369)))</f>
        <v/>
      </c>
    </row>
    <row r="1370" customFormat="false" ht="14.25" hidden="false" customHeight="true" outlineLevel="0" collapsed="false">
      <c r="D1370" s="17"/>
      <c r="G1370" s="17" t="str">
        <f aca="false">IF(TRIM(C1370)="","",IFERROR(INDEX('Code Aliases'!$B:$B,MATCH(TRIM(C1370),'Code Aliases'!$A:$A,0)),TRIM(C1370)))</f>
        <v/>
      </c>
      <c r="H1370" s="17" t="str">
        <f aca="false">IF(TRIM(B1370)="","",UPPER(TRIM(B1370)))</f>
        <v/>
      </c>
    </row>
    <row r="1371" customFormat="false" ht="14.25" hidden="false" customHeight="true" outlineLevel="0" collapsed="false">
      <c r="D1371" s="17"/>
      <c r="G1371" s="17" t="str">
        <f aca="false">IF(TRIM(C1371)="","",IFERROR(INDEX('Code Aliases'!$B:$B,MATCH(TRIM(C1371),'Code Aliases'!$A:$A,0)),TRIM(C1371)))</f>
        <v/>
      </c>
      <c r="H1371" s="17" t="str">
        <f aca="false">IF(TRIM(B1371)="","",UPPER(TRIM(B1371)))</f>
        <v/>
      </c>
    </row>
    <row r="1372" customFormat="false" ht="14.25" hidden="false" customHeight="true" outlineLevel="0" collapsed="false">
      <c r="D1372" s="17"/>
      <c r="G1372" s="17" t="str">
        <f aca="false">IF(TRIM(C1372)="","",IFERROR(INDEX('Code Aliases'!$B:$B,MATCH(TRIM(C1372),'Code Aliases'!$A:$A,0)),TRIM(C1372)))</f>
        <v/>
      </c>
      <c r="H1372" s="17" t="str">
        <f aca="false">IF(TRIM(B1372)="","",UPPER(TRIM(B1372)))</f>
        <v/>
      </c>
    </row>
    <row r="1373" customFormat="false" ht="14.25" hidden="false" customHeight="true" outlineLevel="0" collapsed="false">
      <c r="D1373" s="17"/>
      <c r="G1373" s="17" t="str">
        <f aca="false">IF(TRIM(C1373)="","",IFERROR(INDEX('Code Aliases'!$B:$B,MATCH(TRIM(C1373),'Code Aliases'!$A:$A,0)),TRIM(C1373)))</f>
        <v/>
      </c>
      <c r="H1373" s="17" t="str">
        <f aca="false">IF(TRIM(B1373)="","",UPPER(TRIM(B1373)))</f>
        <v/>
      </c>
    </row>
    <row r="1374" customFormat="false" ht="14.25" hidden="false" customHeight="true" outlineLevel="0" collapsed="false">
      <c r="D1374" s="17"/>
      <c r="G1374" s="17" t="str">
        <f aca="false">IF(TRIM(C1374)="","",IFERROR(INDEX('Code Aliases'!$B:$B,MATCH(TRIM(C1374),'Code Aliases'!$A:$A,0)),TRIM(C1374)))</f>
        <v/>
      </c>
      <c r="H1374" s="17" t="str">
        <f aca="false">IF(TRIM(B1374)="","",UPPER(TRIM(B1374)))</f>
        <v/>
      </c>
    </row>
    <row r="1375" customFormat="false" ht="14.25" hidden="false" customHeight="true" outlineLevel="0" collapsed="false">
      <c r="D1375" s="17"/>
      <c r="G1375" s="17" t="str">
        <f aca="false">IF(TRIM(C1375)="","",IFERROR(INDEX('Code Aliases'!$B:$B,MATCH(TRIM(C1375),'Code Aliases'!$A:$A,0)),TRIM(C1375)))</f>
        <v/>
      </c>
      <c r="H1375" s="17" t="str">
        <f aca="false">IF(TRIM(B1375)="","",UPPER(TRIM(B1375)))</f>
        <v/>
      </c>
    </row>
    <row r="1376" customFormat="false" ht="14.25" hidden="false" customHeight="true" outlineLevel="0" collapsed="false">
      <c r="D1376" s="17"/>
      <c r="G1376" s="17" t="str">
        <f aca="false">IF(TRIM(C1376)="","",IFERROR(INDEX('Code Aliases'!$B:$B,MATCH(TRIM(C1376),'Code Aliases'!$A:$A,0)),TRIM(C1376)))</f>
        <v/>
      </c>
      <c r="H1376" s="17" t="str">
        <f aca="false">IF(TRIM(B1376)="","",UPPER(TRIM(B1376)))</f>
        <v/>
      </c>
    </row>
    <row r="1377" customFormat="false" ht="14.25" hidden="false" customHeight="true" outlineLevel="0" collapsed="false">
      <c r="D1377" s="17"/>
      <c r="G1377" s="17" t="str">
        <f aca="false">IF(TRIM(C1377)="","",IFERROR(INDEX('Code Aliases'!$B:$B,MATCH(TRIM(C1377),'Code Aliases'!$A:$A,0)),TRIM(C1377)))</f>
        <v/>
      </c>
      <c r="H1377" s="17" t="str">
        <f aca="false">IF(TRIM(B1377)="","",UPPER(TRIM(B1377)))</f>
        <v/>
      </c>
    </row>
    <row r="1378" customFormat="false" ht="14.25" hidden="false" customHeight="true" outlineLevel="0" collapsed="false">
      <c r="D1378" s="17"/>
      <c r="G1378" s="17" t="str">
        <f aca="false">IF(TRIM(C1378)="","",IFERROR(INDEX('Code Aliases'!$B:$B,MATCH(TRIM(C1378),'Code Aliases'!$A:$A,0)),TRIM(C1378)))</f>
        <v/>
      </c>
      <c r="H1378" s="17" t="str">
        <f aca="false">IF(TRIM(B1378)="","",UPPER(TRIM(B1378)))</f>
        <v/>
      </c>
    </row>
    <row r="1379" customFormat="false" ht="14.25" hidden="false" customHeight="true" outlineLevel="0" collapsed="false">
      <c r="D1379" s="17"/>
      <c r="G1379" s="17" t="str">
        <f aca="false">IF(TRIM(C1379)="","",IFERROR(INDEX('Code Aliases'!$B:$B,MATCH(TRIM(C1379),'Code Aliases'!$A:$A,0)),TRIM(C1379)))</f>
        <v/>
      </c>
      <c r="H1379" s="17" t="str">
        <f aca="false">IF(TRIM(B1379)="","",UPPER(TRIM(B1379)))</f>
        <v/>
      </c>
    </row>
    <row r="1380" customFormat="false" ht="14.25" hidden="false" customHeight="true" outlineLevel="0" collapsed="false">
      <c r="D1380" s="17"/>
      <c r="G1380" s="17" t="str">
        <f aca="false">IF(TRIM(C1380)="","",IFERROR(INDEX('Code Aliases'!$B:$B,MATCH(TRIM(C1380),'Code Aliases'!$A:$A,0)),TRIM(C1380)))</f>
        <v/>
      </c>
      <c r="H1380" s="17" t="str">
        <f aca="false">IF(TRIM(B1380)="","",UPPER(TRIM(B1380)))</f>
        <v/>
      </c>
    </row>
    <row r="1381" customFormat="false" ht="14.25" hidden="false" customHeight="true" outlineLevel="0" collapsed="false">
      <c r="D1381" s="17"/>
      <c r="G1381" s="17" t="str">
        <f aca="false">IF(TRIM(C1381)="","",IFERROR(INDEX('Code Aliases'!$B:$B,MATCH(TRIM(C1381),'Code Aliases'!$A:$A,0)),TRIM(C1381)))</f>
        <v/>
      </c>
      <c r="H1381" s="17" t="str">
        <f aca="false">IF(TRIM(B1381)="","",UPPER(TRIM(B1381)))</f>
        <v/>
      </c>
    </row>
    <row r="1382" customFormat="false" ht="14.25" hidden="false" customHeight="true" outlineLevel="0" collapsed="false">
      <c r="D1382" s="17"/>
      <c r="G1382" s="17" t="str">
        <f aca="false">IF(TRIM(C1382)="","",IFERROR(INDEX('Code Aliases'!$B:$B,MATCH(TRIM(C1382),'Code Aliases'!$A:$A,0)),TRIM(C1382)))</f>
        <v/>
      </c>
      <c r="H1382" s="17" t="str">
        <f aca="false">IF(TRIM(B1382)="","",UPPER(TRIM(B1382)))</f>
        <v/>
      </c>
    </row>
    <row r="1383" customFormat="false" ht="14.25" hidden="false" customHeight="true" outlineLevel="0" collapsed="false">
      <c r="D1383" s="17"/>
      <c r="G1383" s="17" t="str">
        <f aca="false">IF(TRIM(C1383)="","",IFERROR(INDEX('Code Aliases'!$B:$B,MATCH(TRIM(C1383),'Code Aliases'!$A:$A,0)),TRIM(C1383)))</f>
        <v/>
      </c>
      <c r="H1383" s="17" t="str">
        <f aca="false">IF(TRIM(B1383)="","",UPPER(TRIM(B1383)))</f>
        <v/>
      </c>
    </row>
    <row r="1384" customFormat="false" ht="14.25" hidden="false" customHeight="true" outlineLevel="0" collapsed="false">
      <c r="D1384" s="17"/>
      <c r="G1384" s="17" t="str">
        <f aca="false">IF(TRIM(C1384)="","",IFERROR(INDEX('Code Aliases'!$B:$B,MATCH(TRIM(C1384),'Code Aliases'!$A:$A,0)),TRIM(C1384)))</f>
        <v/>
      </c>
      <c r="H1384" s="17" t="str">
        <f aca="false">IF(TRIM(B1384)="","",UPPER(TRIM(B1384)))</f>
        <v/>
      </c>
    </row>
    <row r="1385" customFormat="false" ht="14.25" hidden="false" customHeight="true" outlineLevel="0" collapsed="false">
      <c r="D1385" s="17"/>
      <c r="G1385" s="17" t="str">
        <f aca="false">IF(TRIM(C1385)="","",IFERROR(INDEX('Code Aliases'!$B:$B,MATCH(TRIM(C1385),'Code Aliases'!$A:$A,0)),TRIM(C1385)))</f>
        <v/>
      </c>
      <c r="H1385" s="17" t="str">
        <f aca="false">IF(TRIM(B1385)="","",UPPER(TRIM(B1385)))</f>
        <v/>
      </c>
    </row>
    <row r="1386" customFormat="false" ht="14.25" hidden="false" customHeight="true" outlineLevel="0" collapsed="false">
      <c r="D1386" s="17"/>
      <c r="G1386" s="17" t="str">
        <f aca="false">IF(TRIM(C1386)="","",IFERROR(INDEX('Code Aliases'!$B:$B,MATCH(TRIM(C1386),'Code Aliases'!$A:$A,0)),TRIM(C1386)))</f>
        <v/>
      </c>
      <c r="H1386" s="17" t="str">
        <f aca="false">IF(TRIM(B1386)="","",UPPER(TRIM(B1386)))</f>
        <v/>
      </c>
    </row>
    <row r="1387" customFormat="false" ht="14.25" hidden="false" customHeight="true" outlineLevel="0" collapsed="false">
      <c r="D1387" s="17"/>
      <c r="G1387" s="17" t="str">
        <f aca="false">IF(TRIM(C1387)="","",IFERROR(INDEX('Code Aliases'!$B:$B,MATCH(TRIM(C1387),'Code Aliases'!$A:$A,0)),TRIM(C1387)))</f>
        <v/>
      </c>
      <c r="H1387" s="17" t="str">
        <f aca="false">IF(TRIM(B1387)="","",UPPER(TRIM(B1387)))</f>
        <v/>
      </c>
    </row>
    <row r="1388" customFormat="false" ht="14.25" hidden="false" customHeight="true" outlineLevel="0" collapsed="false">
      <c r="D1388" s="17"/>
      <c r="G1388" s="17" t="str">
        <f aca="false">IF(TRIM(C1388)="","",IFERROR(INDEX('Code Aliases'!$B:$B,MATCH(TRIM(C1388),'Code Aliases'!$A:$A,0)),TRIM(C1388)))</f>
        <v/>
      </c>
      <c r="H1388" s="17" t="str">
        <f aca="false">IF(TRIM(B1388)="","",UPPER(TRIM(B1388)))</f>
        <v/>
      </c>
    </row>
    <row r="1389" customFormat="false" ht="14.25" hidden="false" customHeight="true" outlineLevel="0" collapsed="false">
      <c r="D1389" s="17"/>
      <c r="G1389" s="17" t="str">
        <f aca="false">IF(TRIM(C1389)="","",IFERROR(INDEX('Code Aliases'!$B:$B,MATCH(TRIM(C1389),'Code Aliases'!$A:$A,0)),TRIM(C1389)))</f>
        <v/>
      </c>
      <c r="H1389" s="17" t="str">
        <f aca="false">IF(TRIM(B1389)="","",UPPER(TRIM(B1389)))</f>
        <v/>
      </c>
    </row>
    <row r="1390" customFormat="false" ht="14.25" hidden="false" customHeight="true" outlineLevel="0" collapsed="false">
      <c r="D1390" s="17"/>
      <c r="G1390" s="17" t="str">
        <f aca="false">IF(TRIM(C1390)="","",IFERROR(INDEX('Code Aliases'!$B:$B,MATCH(TRIM(C1390),'Code Aliases'!$A:$A,0)),TRIM(C1390)))</f>
        <v/>
      </c>
      <c r="H1390" s="17" t="str">
        <f aca="false">IF(TRIM(B1390)="","",UPPER(TRIM(B1390)))</f>
        <v/>
      </c>
    </row>
    <row r="1391" customFormat="false" ht="14.25" hidden="false" customHeight="true" outlineLevel="0" collapsed="false">
      <c r="D1391" s="17"/>
      <c r="G1391" s="17" t="str">
        <f aca="false">IF(TRIM(C1391)="","",IFERROR(INDEX('Code Aliases'!$B:$B,MATCH(TRIM(C1391),'Code Aliases'!$A:$A,0)),TRIM(C1391)))</f>
        <v/>
      </c>
      <c r="H1391" s="17" t="str">
        <f aca="false">IF(TRIM(B1391)="","",UPPER(TRIM(B1391)))</f>
        <v/>
      </c>
    </row>
    <row r="1392" customFormat="false" ht="14.25" hidden="false" customHeight="true" outlineLevel="0" collapsed="false">
      <c r="D1392" s="17"/>
      <c r="G1392" s="17" t="str">
        <f aca="false">IF(TRIM(C1392)="","",IFERROR(INDEX('Code Aliases'!$B:$B,MATCH(TRIM(C1392),'Code Aliases'!$A:$A,0)),TRIM(C1392)))</f>
        <v/>
      </c>
      <c r="H1392" s="17" t="str">
        <f aca="false">IF(TRIM(B1392)="","",UPPER(TRIM(B1392)))</f>
        <v/>
      </c>
    </row>
    <row r="1393" customFormat="false" ht="14.25" hidden="false" customHeight="true" outlineLevel="0" collapsed="false">
      <c r="D1393" s="17"/>
      <c r="G1393" s="17" t="str">
        <f aca="false">IF(TRIM(C1393)="","",IFERROR(INDEX('Code Aliases'!$B:$B,MATCH(TRIM(C1393),'Code Aliases'!$A:$A,0)),TRIM(C1393)))</f>
        <v/>
      </c>
      <c r="H1393" s="17" t="str">
        <f aca="false">IF(TRIM(B1393)="","",UPPER(TRIM(B1393)))</f>
        <v/>
      </c>
    </row>
    <row r="1394" customFormat="false" ht="14.25" hidden="false" customHeight="true" outlineLevel="0" collapsed="false">
      <c r="D1394" s="17"/>
      <c r="G1394" s="17" t="str">
        <f aca="false">IF(TRIM(C1394)="","",IFERROR(INDEX('Code Aliases'!$B:$B,MATCH(TRIM(C1394),'Code Aliases'!$A:$A,0)),TRIM(C1394)))</f>
        <v/>
      </c>
      <c r="H1394" s="17" t="str">
        <f aca="false">IF(TRIM(B1394)="","",UPPER(TRIM(B1394)))</f>
        <v/>
      </c>
    </row>
    <row r="1395" customFormat="false" ht="14.25" hidden="false" customHeight="true" outlineLevel="0" collapsed="false">
      <c r="D1395" s="17"/>
      <c r="G1395" s="17" t="str">
        <f aca="false">IF(TRIM(C1395)="","",IFERROR(INDEX('Code Aliases'!$B:$B,MATCH(TRIM(C1395),'Code Aliases'!$A:$A,0)),TRIM(C1395)))</f>
        <v/>
      </c>
      <c r="H1395" s="17" t="str">
        <f aca="false">IF(TRIM(B1395)="","",UPPER(TRIM(B1395)))</f>
        <v/>
      </c>
    </row>
    <row r="1396" customFormat="false" ht="14.25" hidden="false" customHeight="true" outlineLevel="0" collapsed="false">
      <c r="D1396" s="17"/>
      <c r="G1396" s="17" t="str">
        <f aca="false">IF(TRIM(C1396)="","",IFERROR(INDEX('Code Aliases'!$B:$B,MATCH(TRIM(C1396),'Code Aliases'!$A:$A,0)),TRIM(C1396)))</f>
        <v/>
      </c>
      <c r="H1396" s="17" t="str">
        <f aca="false">IF(TRIM(B1396)="","",UPPER(TRIM(B1396)))</f>
        <v/>
      </c>
    </row>
    <row r="1397" customFormat="false" ht="14.25" hidden="false" customHeight="true" outlineLevel="0" collapsed="false">
      <c r="D1397" s="17"/>
      <c r="G1397" s="17" t="str">
        <f aca="false">IF(TRIM(C1397)="","",IFERROR(INDEX('Code Aliases'!$B:$B,MATCH(TRIM(C1397),'Code Aliases'!$A:$A,0)),TRIM(C1397)))</f>
        <v/>
      </c>
      <c r="H1397" s="17" t="str">
        <f aca="false">IF(TRIM(B1397)="","",UPPER(TRIM(B1397)))</f>
        <v/>
      </c>
    </row>
    <row r="1398" customFormat="false" ht="14.25" hidden="false" customHeight="true" outlineLevel="0" collapsed="false">
      <c r="D1398" s="17"/>
      <c r="G1398" s="17" t="str">
        <f aca="false">IF(TRIM(C1398)="","",IFERROR(INDEX('Code Aliases'!$B:$B,MATCH(TRIM(C1398),'Code Aliases'!$A:$A,0)),TRIM(C1398)))</f>
        <v/>
      </c>
      <c r="H1398" s="17" t="str">
        <f aca="false">IF(TRIM(B1398)="","",UPPER(TRIM(B1398)))</f>
        <v/>
      </c>
    </row>
    <row r="1399" customFormat="false" ht="14.25" hidden="false" customHeight="true" outlineLevel="0" collapsed="false">
      <c r="D1399" s="17"/>
      <c r="G1399" s="17" t="str">
        <f aca="false">IF(TRIM(C1399)="","",IFERROR(INDEX('Code Aliases'!$B:$B,MATCH(TRIM(C1399),'Code Aliases'!$A:$A,0)),TRIM(C1399)))</f>
        <v/>
      </c>
      <c r="H1399" s="17" t="str">
        <f aca="false">IF(TRIM(B1399)="","",UPPER(TRIM(B1399)))</f>
        <v/>
      </c>
    </row>
    <row r="1400" customFormat="false" ht="14.25" hidden="false" customHeight="true" outlineLevel="0" collapsed="false">
      <c r="D1400" s="17"/>
      <c r="G1400" s="17" t="str">
        <f aca="false">IF(TRIM(C1400)="","",IFERROR(INDEX('Code Aliases'!$B:$B,MATCH(TRIM(C1400),'Code Aliases'!$A:$A,0)),TRIM(C1400)))</f>
        <v/>
      </c>
      <c r="H1400" s="17" t="str">
        <f aca="false">IF(TRIM(B1400)="","",UPPER(TRIM(B1400)))</f>
        <v/>
      </c>
    </row>
    <row r="1401" customFormat="false" ht="14.25" hidden="false" customHeight="true" outlineLevel="0" collapsed="false">
      <c r="D1401" s="17"/>
      <c r="G1401" s="17" t="str">
        <f aca="false">IF(TRIM(C1401)="","",IFERROR(INDEX('Code Aliases'!$B:$B,MATCH(TRIM(C1401),'Code Aliases'!$A:$A,0)),TRIM(C1401)))</f>
        <v/>
      </c>
      <c r="H1401" s="17" t="str">
        <f aca="false">IF(TRIM(B1401)="","",UPPER(TRIM(B1401)))</f>
        <v/>
      </c>
    </row>
    <row r="1402" customFormat="false" ht="14.25" hidden="false" customHeight="true" outlineLevel="0" collapsed="false">
      <c r="D1402" s="17"/>
      <c r="G1402" s="17" t="str">
        <f aca="false">IF(TRIM(C1402)="","",IFERROR(INDEX('Code Aliases'!$B:$B,MATCH(TRIM(C1402),'Code Aliases'!$A:$A,0)),TRIM(C1402)))</f>
        <v/>
      </c>
      <c r="H1402" s="17" t="str">
        <f aca="false">IF(TRIM(B1402)="","",UPPER(TRIM(B1402)))</f>
        <v/>
      </c>
    </row>
    <row r="1403" customFormat="false" ht="14.25" hidden="false" customHeight="true" outlineLevel="0" collapsed="false">
      <c r="D1403" s="17"/>
      <c r="G1403" s="17" t="str">
        <f aca="false">IF(TRIM(C1403)="","",IFERROR(INDEX('Code Aliases'!$B:$B,MATCH(TRIM(C1403),'Code Aliases'!$A:$A,0)),TRIM(C1403)))</f>
        <v/>
      </c>
      <c r="H1403" s="17" t="str">
        <f aca="false">IF(TRIM(B1403)="","",UPPER(TRIM(B1403)))</f>
        <v/>
      </c>
    </row>
    <row r="1404" customFormat="false" ht="14.25" hidden="false" customHeight="true" outlineLevel="0" collapsed="false">
      <c r="D1404" s="17"/>
      <c r="G1404" s="17" t="str">
        <f aca="false">IF(TRIM(C1404)="","",IFERROR(INDEX('Code Aliases'!$B:$B,MATCH(TRIM(C1404),'Code Aliases'!$A:$A,0)),TRIM(C1404)))</f>
        <v/>
      </c>
      <c r="H1404" s="17" t="str">
        <f aca="false">IF(TRIM(B1404)="","",UPPER(TRIM(B1404)))</f>
        <v/>
      </c>
    </row>
    <row r="1405" customFormat="false" ht="14.25" hidden="false" customHeight="true" outlineLevel="0" collapsed="false">
      <c r="D1405" s="17"/>
      <c r="G1405" s="17" t="str">
        <f aca="false">IF(TRIM(C1405)="","",IFERROR(INDEX('Code Aliases'!$B:$B,MATCH(TRIM(C1405),'Code Aliases'!$A:$A,0)),TRIM(C1405)))</f>
        <v/>
      </c>
      <c r="H1405" s="17" t="str">
        <f aca="false">IF(TRIM(B1405)="","",UPPER(TRIM(B1405)))</f>
        <v/>
      </c>
    </row>
    <row r="1406" customFormat="false" ht="14.25" hidden="false" customHeight="true" outlineLevel="0" collapsed="false">
      <c r="D1406" s="17"/>
      <c r="G1406" s="17" t="str">
        <f aca="false">IF(TRIM(C1406)="","",IFERROR(INDEX('Code Aliases'!$B:$B,MATCH(TRIM(C1406),'Code Aliases'!$A:$A,0)),TRIM(C1406)))</f>
        <v/>
      </c>
      <c r="H1406" s="17" t="str">
        <f aca="false">IF(TRIM(B1406)="","",UPPER(TRIM(B1406)))</f>
        <v/>
      </c>
    </row>
    <row r="1407" customFormat="false" ht="14.25" hidden="false" customHeight="true" outlineLevel="0" collapsed="false">
      <c r="D1407" s="17"/>
      <c r="G1407" s="17" t="str">
        <f aca="false">IF(TRIM(C1407)="","",IFERROR(INDEX('Code Aliases'!$B:$B,MATCH(TRIM(C1407),'Code Aliases'!$A:$A,0)),TRIM(C1407)))</f>
        <v/>
      </c>
      <c r="H1407" s="17" t="str">
        <f aca="false">IF(TRIM(B1407)="","",UPPER(TRIM(B1407)))</f>
        <v/>
      </c>
    </row>
    <row r="1408" customFormat="false" ht="14.25" hidden="false" customHeight="true" outlineLevel="0" collapsed="false">
      <c r="D1408" s="17"/>
      <c r="G1408" s="17" t="str">
        <f aca="false">IF(TRIM(C1408)="","",IFERROR(INDEX('Code Aliases'!$B:$B,MATCH(TRIM(C1408),'Code Aliases'!$A:$A,0)),TRIM(C1408)))</f>
        <v/>
      </c>
      <c r="H1408" s="17" t="str">
        <f aca="false">IF(TRIM(B1408)="","",UPPER(TRIM(B1408)))</f>
        <v/>
      </c>
    </row>
    <row r="1409" customFormat="false" ht="14.25" hidden="false" customHeight="true" outlineLevel="0" collapsed="false">
      <c r="D1409" s="17"/>
      <c r="G1409" s="17" t="str">
        <f aca="false">IF(TRIM(C1409)="","",IFERROR(INDEX('Code Aliases'!$B:$B,MATCH(TRIM(C1409),'Code Aliases'!$A:$A,0)),TRIM(C1409)))</f>
        <v/>
      </c>
      <c r="H1409" s="17" t="str">
        <f aca="false">IF(TRIM(B1409)="","",UPPER(TRIM(B1409)))</f>
        <v/>
      </c>
    </row>
    <row r="1410" customFormat="false" ht="14.25" hidden="false" customHeight="true" outlineLevel="0" collapsed="false">
      <c r="D1410" s="17"/>
      <c r="G1410" s="17" t="str">
        <f aca="false">IF(TRIM(C1410)="","",IFERROR(INDEX('Code Aliases'!$B:$B,MATCH(TRIM(C1410),'Code Aliases'!$A:$A,0)),TRIM(C1410)))</f>
        <v/>
      </c>
      <c r="H1410" s="17" t="str">
        <f aca="false">IF(TRIM(B1410)="","",UPPER(TRIM(B1410)))</f>
        <v/>
      </c>
    </row>
    <row r="1411" customFormat="false" ht="14.25" hidden="false" customHeight="true" outlineLevel="0" collapsed="false">
      <c r="D1411" s="17"/>
      <c r="G1411" s="17" t="str">
        <f aca="false">IF(TRIM(C1411)="","",IFERROR(INDEX('Code Aliases'!$B:$B,MATCH(TRIM(C1411),'Code Aliases'!$A:$A,0)),TRIM(C1411)))</f>
        <v/>
      </c>
      <c r="H1411" s="17" t="str">
        <f aca="false">IF(TRIM(B1411)="","",UPPER(TRIM(B1411)))</f>
        <v/>
      </c>
    </row>
    <row r="1412" customFormat="false" ht="14.25" hidden="false" customHeight="true" outlineLevel="0" collapsed="false">
      <c r="D1412" s="17"/>
      <c r="G1412" s="17" t="str">
        <f aca="false">IF(TRIM(C1412)="","",IFERROR(INDEX('Code Aliases'!$B:$B,MATCH(TRIM(C1412),'Code Aliases'!$A:$A,0)),TRIM(C1412)))</f>
        <v/>
      </c>
      <c r="H1412" s="17" t="str">
        <f aca="false">IF(TRIM(B1412)="","",UPPER(TRIM(B1412)))</f>
        <v/>
      </c>
    </row>
    <row r="1413" customFormat="false" ht="14.25" hidden="false" customHeight="true" outlineLevel="0" collapsed="false">
      <c r="D1413" s="17"/>
      <c r="G1413" s="17" t="str">
        <f aca="false">IF(TRIM(C1413)="","",IFERROR(INDEX('Code Aliases'!$B:$B,MATCH(TRIM(C1413),'Code Aliases'!$A:$A,0)),TRIM(C1413)))</f>
        <v/>
      </c>
      <c r="H1413" s="17" t="str">
        <f aca="false">IF(TRIM(B1413)="","",UPPER(TRIM(B1413)))</f>
        <v/>
      </c>
    </row>
    <row r="1414" customFormat="false" ht="14.25" hidden="false" customHeight="true" outlineLevel="0" collapsed="false">
      <c r="D1414" s="17"/>
      <c r="G1414" s="17" t="str">
        <f aca="false">IF(TRIM(C1414)="","",IFERROR(INDEX('Code Aliases'!$B:$B,MATCH(TRIM(C1414),'Code Aliases'!$A:$A,0)),TRIM(C1414)))</f>
        <v/>
      </c>
      <c r="H1414" s="17" t="str">
        <f aca="false">IF(TRIM(B1414)="","",UPPER(TRIM(B1414)))</f>
        <v/>
      </c>
    </row>
    <row r="1415" customFormat="false" ht="14.25" hidden="false" customHeight="true" outlineLevel="0" collapsed="false">
      <c r="D1415" s="17"/>
      <c r="G1415" s="17" t="str">
        <f aca="false">IF(TRIM(C1415)="","",IFERROR(INDEX('Code Aliases'!$B:$B,MATCH(TRIM(C1415),'Code Aliases'!$A:$A,0)),TRIM(C1415)))</f>
        <v/>
      </c>
      <c r="H1415" s="17" t="str">
        <f aca="false">IF(TRIM(B1415)="","",UPPER(TRIM(B1415)))</f>
        <v/>
      </c>
    </row>
    <row r="1416" customFormat="false" ht="14.25" hidden="false" customHeight="true" outlineLevel="0" collapsed="false">
      <c r="D1416" s="17"/>
      <c r="G1416" s="17" t="str">
        <f aca="false">IF(TRIM(C1416)="","",IFERROR(INDEX('Code Aliases'!$B:$B,MATCH(TRIM(C1416),'Code Aliases'!$A:$A,0)),TRIM(C1416)))</f>
        <v/>
      </c>
      <c r="H1416" s="17" t="str">
        <f aca="false">IF(TRIM(B1416)="","",UPPER(TRIM(B1416)))</f>
        <v/>
      </c>
    </row>
    <row r="1417" customFormat="false" ht="14.25" hidden="false" customHeight="true" outlineLevel="0" collapsed="false">
      <c r="D1417" s="17"/>
      <c r="G1417" s="17" t="str">
        <f aca="false">IF(TRIM(C1417)="","",IFERROR(INDEX('Code Aliases'!$B:$B,MATCH(TRIM(C1417),'Code Aliases'!$A:$A,0)),TRIM(C1417)))</f>
        <v/>
      </c>
      <c r="H1417" s="17" t="str">
        <f aca="false">IF(TRIM(B1417)="","",UPPER(TRIM(B1417)))</f>
        <v/>
      </c>
    </row>
    <row r="1418" customFormat="false" ht="14.25" hidden="false" customHeight="true" outlineLevel="0" collapsed="false">
      <c r="D1418" s="17"/>
      <c r="G1418" s="17" t="str">
        <f aca="false">IF(TRIM(C1418)="","",IFERROR(INDEX('Code Aliases'!$B:$B,MATCH(TRIM(C1418),'Code Aliases'!$A:$A,0)),TRIM(C1418)))</f>
        <v/>
      </c>
      <c r="H1418" s="17" t="str">
        <f aca="false">IF(TRIM(B1418)="","",UPPER(TRIM(B1418)))</f>
        <v/>
      </c>
    </row>
    <row r="1419" customFormat="false" ht="14.25" hidden="false" customHeight="true" outlineLevel="0" collapsed="false">
      <c r="D1419" s="17"/>
      <c r="G1419" s="17" t="str">
        <f aca="false">IF(TRIM(C1419)="","",IFERROR(INDEX('Code Aliases'!$B:$B,MATCH(TRIM(C1419),'Code Aliases'!$A:$A,0)),TRIM(C1419)))</f>
        <v/>
      </c>
      <c r="H1419" s="17" t="str">
        <f aca="false">IF(TRIM(B1419)="","",UPPER(TRIM(B1419)))</f>
        <v/>
      </c>
    </row>
    <row r="1420" customFormat="false" ht="14.25" hidden="false" customHeight="true" outlineLevel="0" collapsed="false">
      <c r="D1420" s="17"/>
      <c r="G1420" s="17" t="str">
        <f aca="false">IF(TRIM(C1420)="","",IFERROR(INDEX('Code Aliases'!$B:$B,MATCH(TRIM(C1420),'Code Aliases'!$A:$A,0)),TRIM(C1420)))</f>
        <v/>
      </c>
      <c r="H1420" s="17" t="str">
        <f aca="false">IF(TRIM(B1420)="","",UPPER(TRIM(B1420)))</f>
        <v/>
      </c>
    </row>
    <row r="1421" customFormat="false" ht="14.25" hidden="false" customHeight="true" outlineLevel="0" collapsed="false">
      <c r="D1421" s="17"/>
      <c r="G1421" s="17" t="str">
        <f aca="false">IF(TRIM(C1421)="","",IFERROR(INDEX('Code Aliases'!$B:$B,MATCH(TRIM(C1421),'Code Aliases'!$A:$A,0)),TRIM(C1421)))</f>
        <v/>
      </c>
      <c r="H1421" s="17" t="str">
        <f aca="false">IF(TRIM(B1421)="","",UPPER(TRIM(B1421)))</f>
        <v/>
      </c>
    </row>
    <row r="1422" customFormat="false" ht="14.25" hidden="false" customHeight="true" outlineLevel="0" collapsed="false">
      <c r="D1422" s="17"/>
      <c r="G1422" s="17" t="str">
        <f aca="false">IF(TRIM(C1422)="","",IFERROR(INDEX('Code Aliases'!$B:$B,MATCH(TRIM(C1422),'Code Aliases'!$A:$A,0)),TRIM(C1422)))</f>
        <v/>
      </c>
      <c r="H1422" s="17" t="str">
        <f aca="false">IF(TRIM(B1422)="","",UPPER(TRIM(B1422)))</f>
        <v/>
      </c>
    </row>
    <row r="1423" customFormat="false" ht="14.25" hidden="false" customHeight="true" outlineLevel="0" collapsed="false">
      <c r="D1423" s="17"/>
      <c r="G1423" s="17" t="str">
        <f aca="false">IF(TRIM(C1423)="","",IFERROR(INDEX('Code Aliases'!$B:$B,MATCH(TRIM(C1423),'Code Aliases'!$A:$A,0)),TRIM(C1423)))</f>
        <v/>
      </c>
      <c r="H1423" s="17" t="str">
        <f aca="false">IF(TRIM(B1423)="","",UPPER(TRIM(B1423)))</f>
        <v/>
      </c>
    </row>
    <row r="1424" customFormat="false" ht="14.25" hidden="false" customHeight="true" outlineLevel="0" collapsed="false">
      <c r="D1424" s="17"/>
      <c r="G1424" s="17" t="str">
        <f aca="false">IF(TRIM(C1424)="","",IFERROR(INDEX('Code Aliases'!$B:$B,MATCH(TRIM(C1424),'Code Aliases'!$A:$A,0)),TRIM(C1424)))</f>
        <v/>
      </c>
      <c r="H1424" s="17" t="str">
        <f aca="false">IF(TRIM(B1424)="","",UPPER(TRIM(B1424)))</f>
        <v/>
      </c>
    </row>
    <row r="1425" customFormat="false" ht="14.25" hidden="false" customHeight="true" outlineLevel="0" collapsed="false">
      <c r="D1425" s="17"/>
      <c r="G1425" s="17" t="str">
        <f aca="false">IF(TRIM(C1425)="","",IFERROR(INDEX('Code Aliases'!$B:$B,MATCH(TRIM(C1425),'Code Aliases'!$A:$A,0)),TRIM(C1425)))</f>
        <v/>
      </c>
      <c r="H1425" s="17" t="str">
        <f aca="false">IF(TRIM(B1425)="","",UPPER(TRIM(B1425)))</f>
        <v/>
      </c>
    </row>
    <row r="1426" customFormat="false" ht="14.25" hidden="false" customHeight="true" outlineLevel="0" collapsed="false">
      <c r="D1426" s="17"/>
      <c r="G1426" s="17" t="str">
        <f aca="false">IF(TRIM(C1426)="","",IFERROR(INDEX('Code Aliases'!$B:$B,MATCH(TRIM(C1426),'Code Aliases'!$A:$A,0)),TRIM(C1426)))</f>
        <v/>
      </c>
      <c r="H1426" s="17" t="str">
        <f aca="false">IF(TRIM(B1426)="","",UPPER(TRIM(B1426)))</f>
        <v/>
      </c>
    </row>
    <row r="1427" customFormat="false" ht="14.25" hidden="false" customHeight="true" outlineLevel="0" collapsed="false">
      <c r="D1427" s="17"/>
      <c r="G1427" s="17" t="str">
        <f aca="false">IF(TRIM(C1427)="","",IFERROR(INDEX('Code Aliases'!$B:$B,MATCH(TRIM(C1427),'Code Aliases'!$A:$A,0)),TRIM(C1427)))</f>
        <v/>
      </c>
      <c r="H1427" s="17" t="str">
        <f aca="false">IF(TRIM(B1427)="","",UPPER(TRIM(B1427)))</f>
        <v/>
      </c>
    </row>
    <row r="1428" customFormat="false" ht="14.25" hidden="false" customHeight="true" outlineLevel="0" collapsed="false">
      <c r="D1428" s="17"/>
      <c r="G1428" s="17" t="str">
        <f aca="false">IF(TRIM(C1428)="","",IFERROR(INDEX('Code Aliases'!$B:$B,MATCH(TRIM(C1428),'Code Aliases'!$A:$A,0)),TRIM(C1428)))</f>
        <v/>
      </c>
      <c r="H1428" s="17" t="str">
        <f aca="false">IF(TRIM(B1428)="","",UPPER(TRIM(B1428)))</f>
        <v/>
      </c>
    </row>
    <row r="1429" customFormat="false" ht="14.25" hidden="false" customHeight="true" outlineLevel="0" collapsed="false">
      <c r="D1429" s="17"/>
      <c r="G1429" s="17" t="str">
        <f aca="false">IF(TRIM(C1429)="","",IFERROR(INDEX('Code Aliases'!$B:$B,MATCH(TRIM(C1429),'Code Aliases'!$A:$A,0)),TRIM(C1429)))</f>
        <v/>
      </c>
      <c r="H1429" s="17" t="str">
        <f aca="false">IF(TRIM(B1429)="","",UPPER(TRIM(B1429)))</f>
        <v/>
      </c>
    </row>
    <row r="1430" customFormat="false" ht="14.25" hidden="false" customHeight="true" outlineLevel="0" collapsed="false">
      <c r="D1430" s="17"/>
      <c r="G1430" s="17" t="str">
        <f aca="false">IF(TRIM(C1430)="","",IFERROR(INDEX('Code Aliases'!$B:$B,MATCH(TRIM(C1430),'Code Aliases'!$A:$A,0)),TRIM(C1430)))</f>
        <v/>
      </c>
      <c r="H1430" s="17" t="str">
        <f aca="false">IF(TRIM(B1430)="","",UPPER(TRIM(B1430)))</f>
        <v/>
      </c>
    </row>
    <row r="1431" customFormat="false" ht="14.25" hidden="false" customHeight="true" outlineLevel="0" collapsed="false">
      <c r="D1431" s="17"/>
      <c r="G1431" s="17" t="str">
        <f aca="false">IF(TRIM(C1431)="","",IFERROR(INDEX('Code Aliases'!$B:$B,MATCH(TRIM(C1431),'Code Aliases'!$A:$A,0)),TRIM(C1431)))</f>
        <v/>
      </c>
      <c r="H1431" s="17" t="str">
        <f aca="false">IF(TRIM(B1431)="","",UPPER(TRIM(B1431)))</f>
        <v/>
      </c>
    </row>
    <row r="1432" customFormat="false" ht="14.25" hidden="false" customHeight="true" outlineLevel="0" collapsed="false">
      <c r="D1432" s="17"/>
      <c r="G1432" s="17" t="str">
        <f aca="false">IF(TRIM(C1432)="","",IFERROR(INDEX('Code Aliases'!$B:$B,MATCH(TRIM(C1432),'Code Aliases'!$A:$A,0)),TRIM(C1432)))</f>
        <v/>
      </c>
      <c r="H1432" s="17" t="str">
        <f aca="false">IF(TRIM(B1432)="","",UPPER(TRIM(B1432)))</f>
        <v/>
      </c>
    </row>
    <row r="1433" customFormat="false" ht="14.25" hidden="false" customHeight="true" outlineLevel="0" collapsed="false">
      <c r="D1433" s="17"/>
      <c r="G1433" s="17" t="str">
        <f aca="false">IF(TRIM(C1433)="","",IFERROR(INDEX('Code Aliases'!$B:$B,MATCH(TRIM(C1433),'Code Aliases'!$A:$A,0)),TRIM(C1433)))</f>
        <v/>
      </c>
      <c r="H1433" s="17" t="str">
        <f aca="false">IF(TRIM(B1433)="","",UPPER(TRIM(B1433)))</f>
        <v/>
      </c>
    </row>
    <row r="1434" customFormat="false" ht="14.25" hidden="false" customHeight="true" outlineLevel="0" collapsed="false">
      <c r="D1434" s="17"/>
      <c r="G1434" s="17" t="str">
        <f aca="false">IF(TRIM(C1434)="","",IFERROR(INDEX('Code Aliases'!$B:$B,MATCH(TRIM(C1434),'Code Aliases'!$A:$A,0)),TRIM(C1434)))</f>
        <v/>
      </c>
      <c r="H1434" s="17" t="str">
        <f aca="false">IF(TRIM(B1434)="","",UPPER(TRIM(B1434)))</f>
        <v/>
      </c>
    </row>
    <row r="1435" customFormat="false" ht="14.25" hidden="false" customHeight="true" outlineLevel="0" collapsed="false">
      <c r="D1435" s="17"/>
      <c r="G1435" s="17" t="str">
        <f aca="false">IF(TRIM(C1435)="","",IFERROR(INDEX('Code Aliases'!$B:$B,MATCH(TRIM(C1435),'Code Aliases'!$A:$A,0)),TRIM(C1435)))</f>
        <v/>
      </c>
      <c r="H1435" s="17" t="str">
        <f aca="false">IF(TRIM(B1435)="","",UPPER(TRIM(B1435)))</f>
        <v/>
      </c>
    </row>
    <row r="1436" customFormat="false" ht="14.25" hidden="false" customHeight="true" outlineLevel="0" collapsed="false">
      <c r="D1436" s="17"/>
      <c r="G1436" s="17" t="str">
        <f aca="false">IF(TRIM(C1436)="","",IFERROR(INDEX('Code Aliases'!$B:$B,MATCH(TRIM(C1436),'Code Aliases'!$A:$A,0)),TRIM(C1436)))</f>
        <v/>
      </c>
      <c r="H1436" s="17" t="str">
        <f aca="false">IF(TRIM(B1436)="","",UPPER(TRIM(B1436)))</f>
        <v/>
      </c>
    </row>
    <row r="1437" customFormat="false" ht="14.25" hidden="false" customHeight="true" outlineLevel="0" collapsed="false">
      <c r="D1437" s="17"/>
      <c r="G1437" s="17" t="str">
        <f aca="false">IF(TRIM(C1437)="","",IFERROR(INDEX('Code Aliases'!$B:$B,MATCH(TRIM(C1437),'Code Aliases'!$A:$A,0)),TRIM(C1437)))</f>
        <v/>
      </c>
      <c r="H1437" s="17" t="str">
        <f aca="false">IF(TRIM(B1437)="","",UPPER(TRIM(B1437)))</f>
        <v/>
      </c>
    </row>
    <row r="1438" customFormat="false" ht="14.25" hidden="false" customHeight="true" outlineLevel="0" collapsed="false">
      <c r="D1438" s="17"/>
      <c r="G1438" s="17" t="str">
        <f aca="false">IF(TRIM(C1438)="","",IFERROR(INDEX('Code Aliases'!$B:$B,MATCH(TRIM(C1438),'Code Aliases'!$A:$A,0)),TRIM(C1438)))</f>
        <v/>
      </c>
      <c r="H1438" s="17" t="str">
        <f aca="false">IF(TRIM(B1438)="","",UPPER(TRIM(B1438)))</f>
        <v/>
      </c>
    </row>
    <row r="1439" customFormat="false" ht="14.25" hidden="false" customHeight="true" outlineLevel="0" collapsed="false">
      <c r="D1439" s="17"/>
      <c r="G1439" s="17" t="str">
        <f aca="false">IF(TRIM(C1439)="","",IFERROR(INDEX('Code Aliases'!$B:$B,MATCH(TRIM(C1439),'Code Aliases'!$A:$A,0)),TRIM(C1439)))</f>
        <v/>
      </c>
      <c r="H1439" s="17" t="str">
        <f aca="false">IF(TRIM(B1439)="","",UPPER(TRIM(B1439)))</f>
        <v/>
      </c>
    </row>
    <row r="1440" customFormat="false" ht="14.25" hidden="false" customHeight="true" outlineLevel="0" collapsed="false">
      <c r="D1440" s="17"/>
      <c r="G1440" s="17" t="str">
        <f aca="false">IF(TRIM(C1440)="","",IFERROR(INDEX('Code Aliases'!$B:$B,MATCH(TRIM(C1440),'Code Aliases'!$A:$A,0)),TRIM(C1440)))</f>
        <v/>
      </c>
      <c r="H1440" s="17" t="str">
        <f aca="false">IF(TRIM(B1440)="","",UPPER(TRIM(B1440)))</f>
        <v/>
      </c>
    </row>
    <row r="1441" customFormat="false" ht="14.25" hidden="false" customHeight="true" outlineLevel="0" collapsed="false">
      <c r="D1441" s="17"/>
      <c r="G1441" s="17" t="str">
        <f aca="false">IF(TRIM(C1441)="","",IFERROR(INDEX('Code Aliases'!$B:$B,MATCH(TRIM(C1441),'Code Aliases'!$A:$A,0)),TRIM(C1441)))</f>
        <v/>
      </c>
      <c r="H1441" s="17" t="str">
        <f aca="false">IF(TRIM(B1441)="","",UPPER(TRIM(B1441)))</f>
        <v/>
      </c>
    </row>
    <row r="1442" customFormat="false" ht="14.25" hidden="false" customHeight="true" outlineLevel="0" collapsed="false">
      <c r="D1442" s="17"/>
      <c r="G1442" s="17" t="str">
        <f aca="false">IF(TRIM(C1442)="","",IFERROR(INDEX('Code Aliases'!$B:$B,MATCH(TRIM(C1442),'Code Aliases'!$A:$A,0)),TRIM(C1442)))</f>
        <v/>
      </c>
      <c r="H1442" s="17" t="str">
        <f aca="false">IF(TRIM(B1442)="","",UPPER(TRIM(B1442)))</f>
        <v/>
      </c>
    </row>
    <row r="1443" customFormat="false" ht="14.25" hidden="false" customHeight="true" outlineLevel="0" collapsed="false">
      <c r="D1443" s="17"/>
      <c r="G1443" s="17" t="str">
        <f aca="false">IF(TRIM(C1443)="","",IFERROR(INDEX('Code Aliases'!$B:$B,MATCH(TRIM(C1443),'Code Aliases'!$A:$A,0)),TRIM(C1443)))</f>
        <v/>
      </c>
      <c r="H1443" s="17" t="str">
        <f aca="false">IF(TRIM(B1443)="","",UPPER(TRIM(B1443)))</f>
        <v/>
      </c>
    </row>
    <row r="1444" customFormat="false" ht="14.25" hidden="false" customHeight="true" outlineLevel="0" collapsed="false">
      <c r="D1444" s="17"/>
      <c r="G1444" s="17" t="str">
        <f aca="false">IF(TRIM(C1444)="","",IFERROR(INDEX('Code Aliases'!$B:$B,MATCH(TRIM(C1444),'Code Aliases'!$A:$A,0)),TRIM(C1444)))</f>
        <v/>
      </c>
      <c r="H1444" s="17" t="str">
        <f aca="false">IF(TRIM(B1444)="","",UPPER(TRIM(B1444)))</f>
        <v/>
      </c>
    </row>
    <row r="1445" customFormat="false" ht="14.25" hidden="false" customHeight="true" outlineLevel="0" collapsed="false">
      <c r="D1445" s="17"/>
      <c r="G1445" s="17" t="str">
        <f aca="false">IF(TRIM(C1445)="","",IFERROR(INDEX('Code Aliases'!$B:$B,MATCH(TRIM(C1445),'Code Aliases'!$A:$A,0)),TRIM(C1445)))</f>
        <v/>
      </c>
      <c r="H1445" s="17" t="str">
        <f aca="false">IF(TRIM(B1445)="","",UPPER(TRIM(B1445)))</f>
        <v/>
      </c>
    </row>
    <row r="1446" customFormat="false" ht="14.25" hidden="false" customHeight="true" outlineLevel="0" collapsed="false">
      <c r="D1446" s="17"/>
      <c r="G1446" s="17" t="str">
        <f aca="false">IF(TRIM(C1446)="","",IFERROR(INDEX('Code Aliases'!$B:$B,MATCH(TRIM(C1446),'Code Aliases'!$A:$A,0)),TRIM(C1446)))</f>
        <v/>
      </c>
      <c r="H1446" s="17" t="str">
        <f aca="false">IF(TRIM(B1446)="","",UPPER(TRIM(B1446)))</f>
        <v/>
      </c>
    </row>
    <row r="1447" customFormat="false" ht="14.25" hidden="false" customHeight="true" outlineLevel="0" collapsed="false">
      <c r="D1447" s="17"/>
      <c r="G1447" s="17" t="str">
        <f aca="false">IF(TRIM(C1447)="","",IFERROR(INDEX('Code Aliases'!$B:$B,MATCH(TRIM(C1447),'Code Aliases'!$A:$A,0)),TRIM(C1447)))</f>
        <v/>
      </c>
      <c r="H1447" s="17" t="str">
        <f aca="false">IF(TRIM(B1447)="","",UPPER(TRIM(B1447)))</f>
        <v/>
      </c>
    </row>
    <row r="1448" customFormat="false" ht="14.25" hidden="false" customHeight="true" outlineLevel="0" collapsed="false">
      <c r="D1448" s="17"/>
      <c r="G1448" s="17" t="str">
        <f aca="false">IF(TRIM(C1448)="","",IFERROR(INDEX('Code Aliases'!$B:$B,MATCH(TRIM(C1448),'Code Aliases'!$A:$A,0)),TRIM(C1448)))</f>
        <v/>
      </c>
      <c r="H1448" s="17" t="str">
        <f aca="false">IF(TRIM(B1448)="","",UPPER(TRIM(B1448)))</f>
        <v/>
      </c>
    </row>
    <row r="1449" customFormat="false" ht="14.25" hidden="false" customHeight="true" outlineLevel="0" collapsed="false">
      <c r="D1449" s="17"/>
      <c r="G1449" s="17" t="str">
        <f aca="false">IF(TRIM(C1449)="","",IFERROR(INDEX('Code Aliases'!$B:$B,MATCH(TRIM(C1449),'Code Aliases'!$A:$A,0)),TRIM(C1449)))</f>
        <v/>
      </c>
      <c r="H1449" s="17" t="str">
        <f aca="false">IF(TRIM(B1449)="","",UPPER(TRIM(B1449)))</f>
        <v/>
      </c>
    </row>
    <row r="1450" customFormat="false" ht="14.25" hidden="false" customHeight="true" outlineLevel="0" collapsed="false">
      <c r="D1450" s="17"/>
      <c r="G1450" s="17" t="str">
        <f aca="false">IF(TRIM(C1450)="","",IFERROR(INDEX('Code Aliases'!$B:$B,MATCH(TRIM(C1450),'Code Aliases'!$A:$A,0)),TRIM(C1450)))</f>
        <v/>
      </c>
      <c r="H1450" s="17" t="str">
        <f aca="false">IF(TRIM(B1450)="","",UPPER(TRIM(B1450)))</f>
        <v/>
      </c>
    </row>
    <row r="1451" customFormat="false" ht="14.25" hidden="false" customHeight="true" outlineLevel="0" collapsed="false">
      <c r="D1451" s="17"/>
      <c r="G1451" s="17" t="str">
        <f aca="false">IF(TRIM(C1451)="","",IFERROR(INDEX('Code Aliases'!$B:$B,MATCH(TRIM(C1451),'Code Aliases'!$A:$A,0)),TRIM(C1451)))</f>
        <v/>
      </c>
      <c r="H1451" s="17" t="str">
        <f aca="false">IF(TRIM(B1451)="","",UPPER(TRIM(B1451)))</f>
        <v/>
      </c>
    </row>
    <row r="1452" customFormat="false" ht="14.25" hidden="false" customHeight="true" outlineLevel="0" collapsed="false">
      <c r="D1452" s="17"/>
      <c r="G1452" s="17" t="str">
        <f aca="false">IF(TRIM(C1452)="","",IFERROR(INDEX('Code Aliases'!$B:$B,MATCH(TRIM(C1452),'Code Aliases'!$A:$A,0)),TRIM(C1452)))</f>
        <v/>
      </c>
      <c r="H1452" s="17" t="str">
        <f aca="false">IF(TRIM(B1452)="","",UPPER(TRIM(B1452)))</f>
        <v/>
      </c>
    </row>
    <row r="1453" customFormat="false" ht="14.25" hidden="false" customHeight="true" outlineLevel="0" collapsed="false">
      <c r="D1453" s="17"/>
      <c r="G1453" s="17" t="str">
        <f aca="false">IF(TRIM(C1453)="","",IFERROR(INDEX('Code Aliases'!$B:$B,MATCH(TRIM(C1453),'Code Aliases'!$A:$A,0)),TRIM(C1453)))</f>
        <v/>
      </c>
      <c r="H1453" s="17" t="str">
        <f aca="false">IF(TRIM(B1453)="","",UPPER(TRIM(B1453)))</f>
        <v/>
      </c>
    </row>
    <row r="1454" customFormat="false" ht="14.25" hidden="false" customHeight="true" outlineLevel="0" collapsed="false">
      <c r="D1454" s="17"/>
      <c r="G1454" s="17" t="str">
        <f aca="false">IF(TRIM(C1454)="","",IFERROR(INDEX('Code Aliases'!$B:$B,MATCH(TRIM(C1454),'Code Aliases'!$A:$A,0)),TRIM(C1454)))</f>
        <v/>
      </c>
      <c r="H1454" s="17" t="str">
        <f aca="false">IF(TRIM(B1454)="","",UPPER(TRIM(B1454)))</f>
        <v/>
      </c>
    </row>
    <row r="1455" customFormat="false" ht="14.25" hidden="false" customHeight="true" outlineLevel="0" collapsed="false">
      <c r="D1455" s="17"/>
      <c r="G1455" s="17" t="str">
        <f aca="false">IF(TRIM(C1455)="","",IFERROR(INDEX('Code Aliases'!$B:$B,MATCH(TRIM(C1455),'Code Aliases'!$A:$A,0)),TRIM(C1455)))</f>
        <v/>
      </c>
      <c r="H1455" s="17" t="str">
        <f aca="false">IF(TRIM(B1455)="","",UPPER(TRIM(B1455)))</f>
        <v/>
      </c>
    </row>
    <row r="1456" customFormat="false" ht="14.25" hidden="false" customHeight="true" outlineLevel="0" collapsed="false">
      <c r="D1456" s="17"/>
      <c r="G1456" s="17" t="str">
        <f aca="false">IF(TRIM(C1456)="","",IFERROR(INDEX('Code Aliases'!$B:$B,MATCH(TRIM(C1456),'Code Aliases'!$A:$A,0)),TRIM(C1456)))</f>
        <v/>
      </c>
      <c r="H1456" s="17" t="str">
        <f aca="false">IF(TRIM(B1456)="","",UPPER(TRIM(B1456)))</f>
        <v/>
      </c>
    </row>
    <row r="1457" customFormat="false" ht="14.25" hidden="false" customHeight="true" outlineLevel="0" collapsed="false">
      <c r="D1457" s="17"/>
      <c r="G1457" s="17" t="str">
        <f aca="false">IF(TRIM(C1457)="","",IFERROR(INDEX('Code Aliases'!$B:$B,MATCH(TRIM(C1457),'Code Aliases'!$A:$A,0)),TRIM(C1457)))</f>
        <v/>
      </c>
      <c r="H1457" s="17" t="str">
        <f aca="false">IF(TRIM(B1457)="","",UPPER(TRIM(B1457)))</f>
        <v/>
      </c>
    </row>
    <row r="1458" customFormat="false" ht="14.25" hidden="false" customHeight="true" outlineLevel="0" collapsed="false">
      <c r="D1458" s="17"/>
      <c r="G1458" s="17" t="str">
        <f aca="false">IF(TRIM(C1458)="","",IFERROR(INDEX('Code Aliases'!$B:$B,MATCH(TRIM(C1458),'Code Aliases'!$A:$A,0)),TRIM(C1458)))</f>
        <v/>
      </c>
      <c r="H1458" s="17" t="str">
        <f aca="false">IF(TRIM(B1458)="","",UPPER(TRIM(B1458)))</f>
        <v/>
      </c>
    </row>
    <row r="1459" customFormat="false" ht="14.25" hidden="false" customHeight="true" outlineLevel="0" collapsed="false">
      <c r="D1459" s="17"/>
      <c r="G1459" s="17" t="str">
        <f aca="false">IF(TRIM(C1459)="","",IFERROR(INDEX('Code Aliases'!$B:$B,MATCH(TRIM(C1459),'Code Aliases'!$A:$A,0)),TRIM(C1459)))</f>
        <v/>
      </c>
      <c r="H1459" s="17" t="str">
        <f aca="false">IF(TRIM(B1459)="","",UPPER(TRIM(B1459)))</f>
        <v/>
      </c>
    </row>
    <row r="1460" customFormat="false" ht="14.25" hidden="false" customHeight="true" outlineLevel="0" collapsed="false">
      <c r="D1460" s="17"/>
      <c r="G1460" s="17" t="str">
        <f aca="false">IF(TRIM(C1460)="","",IFERROR(INDEX('Code Aliases'!$B:$B,MATCH(TRIM(C1460),'Code Aliases'!$A:$A,0)),TRIM(C1460)))</f>
        <v/>
      </c>
      <c r="H1460" s="17" t="str">
        <f aca="false">IF(TRIM(B1460)="","",UPPER(TRIM(B1460)))</f>
        <v/>
      </c>
    </row>
    <row r="1461" customFormat="false" ht="14.25" hidden="false" customHeight="true" outlineLevel="0" collapsed="false">
      <c r="D1461" s="17"/>
      <c r="G1461" s="17" t="str">
        <f aca="false">IF(TRIM(C1461)="","",IFERROR(INDEX('Code Aliases'!$B:$B,MATCH(TRIM(C1461),'Code Aliases'!$A:$A,0)),TRIM(C1461)))</f>
        <v/>
      </c>
      <c r="H1461" s="17" t="str">
        <f aca="false">IF(TRIM(B1461)="","",UPPER(TRIM(B1461)))</f>
        <v/>
      </c>
    </row>
    <row r="1462" customFormat="false" ht="14.25" hidden="false" customHeight="true" outlineLevel="0" collapsed="false">
      <c r="D1462" s="17"/>
      <c r="G1462" s="17" t="str">
        <f aca="false">IF(TRIM(C1462)="","",IFERROR(INDEX('Code Aliases'!$B:$B,MATCH(TRIM(C1462),'Code Aliases'!$A:$A,0)),TRIM(C1462)))</f>
        <v/>
      </c>
      <c r="H1462" s="17" t="str">
        <f aca="false">IF(TRIM(B1462)="","",UPPER(TRIM(B1462)))</f>
        <v/>
      </c>
    </row>
    <row r="1463" customFormat="false" ht="14.25" hidden="false" customHeight="true" outlineLevel="0" collapsed="false">
      <c r="D1463" s="17"/>
      <c r="G1463" s="17" t="str">
        <f aca="false">IF(TRIM(C1463)="","",IFERROR(INDEX('Code Aliases'!$B:$B,MATCH(TRIM(C1463),'Code Aliases'!$A:$A,0)),TRIM(C1463)))</f>
        <v/>
      </c>
      <c r="H1463" s="17" t="str">
        <f aca="false">IF(TRIM(B1463)="","",UPPER(TRIM(B1463)))</f>
        <v/>
      </c>
    </row>
    <row r="1464" customFormat="false" ht="14.25" hidden="false" customHeight="true" outlineLevel="0" collapsed="false">
      <c r="D1464" s="17"/>
      <c r="G1464" s="17" t="str">
        <f aca="false">IF(TRIM(C1464)="","",IFERROR(INDEX('Code Aliases'!$B:$B,MATCH(TRIM(C1464),'Code Aliases'!$A:$A,0)),TRIM(C1464)))</f>
        <v/>
      </c>
      <c r="H1464" s="17" t="str">
        <f aca="false">IF(TRIM(B1464)="","",UPPER(TRIM(B1464)))</f>
        <v/>
      </c>
    </row>
    <row r="1465" customFormat="false" ht="14.25" hidden="false" customHeight="true" outlineLevel="0" collapsed="false">
      <c r="D1465" s="17"/>
      <c r="G1465" s="17" t="str">
        <f aca="false">IF(TRIM(C1465)="","",IFERROR(INDEX('Code Aliases'!$B:$B,MATCH(TRIM(C1465),'Code Aliases'!$A:$A,0)),TRIM(C1465)))</f>
        <v/>
      </c>
      <c r="H1465" s="17" t="str">
        <f aca="false">IF(TRIM(B1465)="","",UPPER(TRIM(B1465)))</f>
        <v/>
      </c>
    </row>
    <row r="1466" customFormat="false" ht="14.25" hidden="false" customHeight="true" outlineLevel="0" collapsed="false">
      <c r="D1466" s="17"/>
      <c r="G1466" s="17" t="str">
        <f aca="false">IF(TRIM(C1466)="","",IFERROR(INDEX('Code Aliases'!$B:$B,MATCH(TRIM(C1466),'Code Aliases'!$A:$A,0)),TRIM(C1466)))</f>
        <v/>
      </c>
      <c r="H1466" s="17" t="str">
        <f aca="false">IF(TRIM(B1466)="","",UPPER(TRIM(B1466)))</f>
        <v/>
      </c>
    </row>
    <row r="1467" customFormat="false" ht="14.25" hidden="false" customHeight="true" outlineLevel="0" collapsed="false">
      <c r="D1467" s="17"/>
      <c r="G1467" s="17" t="str">
        <f aca="false">IF(TRIM(C1467)="","",IFERROR(INDEX('Code Aliases'!$B:$B,MATCH(TRIM(C1467),'Code Aliases'!$A:$A,0)),TRIM(C1467)))</f>
        <v/>
      </c>
      <c r="H1467" s="17" t="str">
        <f aca="false">IF(TRIM(B1467)="","",UPPER(TRIM(B1467)))</f>
        <v/>
      </c>
    </row>
    <row r="1468" customFormat="false" ht="14.25" hidden="false" customHeight="true" outlineLevel="0" collapsed="false">
      <c r="D1468" s="17"/>
      <c r="G1468" s="17" t="str">
        <f aca="false">IF(TRIM(C1468)="","",IFERROR(INDEX('Code Aliases'!$B:$B,MATCH(TRIM(C1468),'Code Aliases'!$A:$A,0)),TRIM(C1468)))</f>
        <v/>
      </c>
      <c r="H1468" s="17" t="str">
        <f aca="false">IF(TRIM(B1468)="","",UPPER(TRIM(B1468)))</f>
        <v/>
      </c>
    </row>
    <row r="1469" customFormat="false" ht="14.25" hidden="false" customHeight="true" outlineLevel="0" collapsed="false">
      <c r="D1469" s="17"/>
      <c r="G1469" s="17" t="str">
        <f aca="false">IF(TRIM(C1469)="","",IFERROR(INDEX('Code Aliases'!$B:$B,MATCH(TRIM(C1469),'Code Aliases'!$A:$A,0)),TRIM(C1469)))</f>
        <v/>
      </c>
      <c r="H1469" s="17" t="str">
        <f aca="false">IF(TRIM(B1469)="","",UPPER(TRIM(B1469)))</f>
        <v/>
      </c>
    </row>
    <row r="1470" customFormat="false" ht="14.25" hidden="false" customHeight="true" outlineLevel="0" collapsed="false">
      <c r="D1470" s="17"/>
      <c r="G1470" s="17" t="str">
        <f aca="false">IF(TRIM(C1470)="","",IFERROR(INDEX('Code Aliases'!$B:$B,MATCH(TRIM(C1470),'Code Aliases'!$A:$A,0)),TRIM(C1470)))</f>
        <v/>
      </c>
      <c r="H1470" s="17" t="str">
        <f aca="false">IF(TRIM(B1470)="","",UPPER(TRIM(B1470)))</f>
        <v/>
      </c>
    </row>
    <row r="1471" customFormat="false" ht="14.25" hidden="false" customHeight="true" outlineLevel="0" collapsed="false">
      <c r="D1471" s="17"/>
      <c r="G1471" s="17" t="str">
        <f aca="false">IF(TRIM(C1471)="","",IFERROR(INDEX('Code Aliases'!$B:$B,MATCH(TRIM(C1471),'Code Aliases'!$A:$A,0)),TRIM(C1471)))</f>
        <v/>
      </c>
      <c r="H1471" s="17" t="str">
        <f aca="false">IF(TRIM(B1471)="","",UPPER(TRIM(B1471)))</f>
        <v/>
      </c>
    </row>
    <row r="1472" customFormat="false" ht="14.25" hidden="false" customHeight="true" outlineLevel="0" collapsed="false">
      <c r="D1472" s="17"/>
      <c r="G1472" s="17" t="str">
        <f aca="false">IF(TRIM(C1472)="","",IFERROR(INDEX('Code Aliases'!$B:$B,MATCH(TRIM(C1472),'Code Aliases'!$A:$A,0)),TRIM(C1472)))</f>
        <v/>
      </c>
      <c r="H1472" s="17" t="str">
        <f aca="false">IF(TRIM(B1472)="","",UPPER(TRIM(B1472)))</f>
        <v/>
      </c>
    </row>
    <row r="1473" customFormat="false" ht="14.25" hidden="false" customHeight="true" outlineLevel="0" collapsed="false">
      <c r="D1473" s="17"/>
      <c r="G1473" s="17" t="str">
        <f aca="false">IF(TRIM(C1473)="","",IFERROR(INDEX('Code Aliases'!$B:$B,MATCH(TRIM(C1473),'Code Aliases'!$A:$A,0)),TRIM(C1473)))</f>
        <v/>
      </c>
      <c r="H1473" s="17" t="str">
        <f aca="false">IF(TRIM(B1473)="","",UPPER(TRIM(B1473)))</f>
        <v/>
      </c>
    </row>
    <row r="1474" customFormat="false" ht="14.25" hidden="false" customHeight="true" outlineLevel="0" collapsed="false">
      <c r="D1474" s="17"/>
      <c r="G1474" s="17" t="str">
        <f aca="false">IF(TRIM(C1474)="","",IFERROR(INDEX('Code Aliases'!$B:$B,MATCH(TRIM(C1474),'Code Aliases'!$A:$A,0)),TRIM(C1474)))</f>
        <v/>
      </c>
      <c r="H1474" s="17" t="str">
        <f aca="false">IF(TRIM(B1474)="","",UPPER(TRIM(B1474)))</f>
        <v/>
      </c>
    </row>
    <row r="1475" customFormat="false" ht="14.25" hidden="false" customHeight="true" outlineLevel="0" collapsed="false">
      <c r="D1475" s="17"/>
      <c r="G1475" s="17" t="str">
        <f aca="false">IF(TRIM(C1475)="","",IFERROR(INDEX('Code Aliases'!$B:$B,MATCH(TRIM(C1475),'Code Aliases'!$A:$A,0)),TRIM(C1475)))</f>
        <v/>
      </c>
      <c r="H1475" s="17" t="str">
        <f aca="false">IF(TRIM(B1475)="","",UPPER(TRIM(B1475)))</f>
        <v/>
      </c>
    </row>
    <row r="1476" customFormat="false" ht="14.25" hidden="false" customHeight="true" outlineLevel="0" collapsed="false">
      <c r="D1476" s="17"/>
      <c r="G1476" s="17" t="str">
        <f aca="false">IF(TRIM(C1476)="","",IFERROR(INDEX('Code Aliases'!$B:$B,MATCH(TRIM(C1476),'Code Aliases'!$A:$A,0)),TRIM(C1476)))</f>
        <v/>
      </c>
      <c r="H1476" s="17" t="str">
        <f aca="false">IF(TRIM(B1476)="","",UPPER(TRIM(B1476)))</f>
        <v/>
      </c>
    </row>
    <row r="1477" customFormat="false" ht="14.25" hidden="false" customHeight="true" outlineLevel="0" collapsed="false">
      <c r="D1477" s="17"/>
      <c r="G1477" s="17" t="str">
        <f aca="false">IF(TRIM(C1477)="","",IFERROR(INDEX('Code Aliases'!$B:$B,MATCH(TRIM(C1477),'Code Aliases'!$A:$A,0)),TRIM(C1477)))</f>
        <v/>
      </c>
      <c r="H1477" s="17" t="str">
        <f aca="false">IF(TRIM(B1477)="","",UPPER(TRIM(B1477)))</f>
        <v/>
      </c>
    </row>
    <row r="1478" customFormat="false" ht="14.25" hidden="false" customHeight="true" outlineLevel="0" collapsed="false">
      <c r="D1478" s="17"/>
      <c r="G1478" s="17" t="str">
        <f aca="false">IF(TRIM(C1478)="","",IFERROR(INDEX('Code Aliases'!$B:$B,MATCH(TRIM(C1478),'Code Aliases'!$A:$A,0)),TRIM(C1478)))</f>
        <v/>
      </c>
      <c r="H1478" s="17" t="str">
        <f aca="false">IF(TRIM(B1478)="","",UPPER(TRIM(B1478)))</f>
        <v/>
      </c>
    </row>
    <row r="1479" customFormat="false" ht="14.25" hidden="false" customHeight="true" outlineLevel="0" collapsed="false">
      <c r="D1479" s="17"/>
      <c r="G1479" s="17" t="str">
        <f aca="false">IF(TRIM(C1479)="","",IFERROR(INDEX('Code Aliases'!$B:$B,MATCH(TRIM(C1479),'Code Aliases'!$A:$A,0)),TRIM(C1479)))</f>
        <v/>
      </c>
      <c r="H1479" s="17" t="str">
        <f aca="false">IF(TRIM(B1479)="","",UPPER(TRIM(B1479)))</f>
        <v/>
      </c>
    </row>
    <row r="1480" customFormat="false" ht="14.25" hidden="false" customHeight="true" outlineLevel="0" collapsed="false">
      <c r="D1480" s="17"/>
      <c r="G1480" s="17" t="str">
        <f aca="false">IF(TRIM(C1480)="","",IFERROR(INDEX('Code Aliases'!$B:$B,MATCH(TRIM(C1480),'Code Aliases'!$A:$A,0)),TRIM(C1480)))</f>
        <v/>
      </c>
      <c r="H1480" s="17" t="str">
        <f aca="false">IF(TRIM(B1480)="","",UPPER(TRIM(B1480)))</f>
        <v/>
      </c>
    </row>
    <row r="1481" customFormat="false" ht="14.25" hidden="false" customHeight="true" outlineLevel="0" collapsed="false">
      <c r="D1481" s="17"/>
      <c r="G1481" s="17" t="str">
        <f aca="false">IF(TRIM(C1481)="","",IFERROR(INDEX('Code Aliases'!$B:$B,MATCH(TRIM(C1481),'Code Aliases'!$A:$A,0)),TRIM(C1481)))</f>
        <v/>
      </c>
      <c r="H1481" s="17" t="str">
        <f aca="false">IF(TRIM(B1481)="","",UPPER(TRIM(B1481)))</f>
        <v/>
      </c>
    </row>
    <row r="1482" customFormat="false" ht="14.25" hidden="false" customHeight="true" outlineLevel="0" collapsed="false">
      <c r="D1482" s="17"/>
      <c r="G1482" s="17" t="str">
        <f aca="false">IF(TRIM(C1482)="","",IFERROR(INDEX('Code Aliases'!$B:$B,MATCH(TRIM(C1482),'Code Aliases'!$A:$A,0)),TRIM(C1482)))</f>
        <v/>
      </c>
      <c r="H1482" s="17" t="str">
        <f aca="false">IF(TRIM(B1482)="","",UPPER(TRIM(B1482)))</f>
        <v/>
      </c>
    </row>
    <row r="1483" customFormat="false" ht="14.25" hidden="false" customHeight="true" outlineLevel="0" collapsed="false">
      <c r="D1483" s="17"/>
      <c r="G1483" s="17" t="str">
        <f aca="false">IF(TRIM(C1483)="","",IFERROR(INDEX('Code Aliases'!$B:$B,MATCH(TRIM(C1483),'Code Aliases'!$A:$A,0)),TRIM(C1483)))</f>
        <v/>
      </c>
      <c r="H1483" s="17" t="str">
        <f aca="false">IF(TRIM(B1483)="","",UPPER(TRIM(B1483)))</f>
        <v/>
      </c>
    </row>
    <row r="1484" customFormat="false" ht="14.25" hidden="false" customHeight="true" outlineLevel="0" collapsed="false">
      <c r="D1484" s="17"/>
      <c r="G1484" s="17" t="str">
        <f aca="false">IF(TRIM(C1484)="","",IFERROR(INDEX('Code Aliases'!$B:$B,MATCH(TRIM(C1484),'Code Aliases'!$A:$A,0)),TRIM(C1484)))</f>
        <v/>
      </c>
      <c r="H1484" s="17" t="str">
        <f aca="false">IF(TRIM(B1484)="","",UPPER(TRIM(B1484)))</f>
        <v/>
      </c>
    </row>
    <row r="1485" customFormat="false" ht="14.25" hidden="false" customHeight="true" outlineLevel="0" collapsed="false">
      <c r="D1485" s="17"/>
      <c r="G1485" s="17" t="str">
        <f aca="false">IF(TRIM(C1485)="","",IFERROR(INDEX('Code Aliases'!$B:$B,MATCH(TRIM(C1485),'Code Aliases'!$A:$A,0)),TRIM(C1485)))</f>
        <v/>
      </c>
      <c r="H1485" s="17" t="str">
        <f aca="false">IF(TRIM(B1485)="","",UPPER(TRIM(B1485)))</f>
        <v/>
      </c>
    </row>
    <row r="1486" customFormat="false" ht="14.25" hidden="false" customHeight="true" outlineLevel="0" collapsed="false">
      <c r="D1486" s="17"/>
      <c r="G1486" s="17" t="str">
        <f aca="false">IF(TRIM(C1486)="","",IFERROR(INDEX('Code Aliases'!$B:$B,MATCH(TRIM(C1486),'Code Aliases'!$A:$A,0)),TRIM(C1486)))</f>
        <v/>
      </c>
      <c r="H1486" s="17" t="str">
        <f aca="false">IF(TRIM(B1486)="","",UPPER(TRIM(B1486)))</f>
        <v/>
      </c>
    </row>
    <row r="1487" customFormat="false" ht="14.25" hidden="false" customHeight="true" outlineLevel="0" collapsed="false">
      <c r="D1487" s="17"/>
      <c r="G1487" s="17" t="str">
        <f aca="false">IF(TRIM(C1487)="","",IFERROR(INDEX('Code Aliases'!$B:$B,MATCH(TRIM(C1487),'Code Aliases'!$A:$A,0)),TRIM(C1487)))</f>
        <v/>
      </c>
      <c r="H1487" s="17" t="str">
        <f aca="false">IF(TRIM(B1487)="","",UPPER(TRIM(B1487)))</f>
        <v/>
      </c>
    </row>
    <row r="1488" customFormat="false" ht="14.25" hidden="false" customHeight="true" outlineLevel="0" collapsed="false">
      <c r="D1488" s="17"/>
      <c r="G1488" s="17" t="str">
        <f aca="false">IF(TRIM(C1488)="","",IFERROR(INDEX('Code Aliases'!$B:$B,MATCH(TRIM(C1488),'Code Aliases'!$A:$A,0)),TRIM(C1488)))</f>
        <v/>
      </c>
      <c r="H1488" s="17" t="str">
        <f aca="false">IF(TRIM(B1488)="","",UPPER(TRIM(B1488)))</f>
        <v/>
      </c>
    </row>
    <row r="1489" customFormat="false" ht="14.25" hidden="false" customHeight="true" outlineLevel="0" collapsed="false">
      <c r="D1489" s="17"/>
      <c r="G1489" s="17" t="str">
        <f aca="false">IF(TRIM(C1489)="","",IFERROR(INDEX('Code Aliases'!$B:$B,MATCH(TRIM(C1489),'Code Aliases'!$A:$A,0)),TRIM(C1489)))</f>
        <v/>
      </c>
      <c r="H1489" s="17" t="str">
        <f aca="false">IF(TRIM(B1489)="","",UPPER(TRIM(B1489)))</f>
        <v/>
      </c>
    </row>
    <row r="1490" customFormat="false" ht="14.25" hidden="false" customHeight="true" outlineLevel="0" collapsed="false">
      <c r="D1490" s="17"/>
      <c r="G1490" s="17" t="str">
        <f aca="false">IF(TRIM(C1490)="","",IFERROR(INDEX('Code Aliases'!$B:$B,MATCH(TRIM(C1490),'Code Aliases'!$A:$A,0)),TRIM(C1490)))</f>
        <v/>
      </c>
      <c r="H1490" s="17" t="str">
        <f aca="false">IF(TRIM(B1490)="","",UPPER(TRIM(B1490)))</f>
        <v/>
      </c>
    </row>
    <row r="1491" customFormat="false" ht="14.25" hidden="false" customHeight="true" outlineLevel="0" collapsed="false">
      <c r="D1491" s="17"/>
      <c r="G1491" s="17" t="str">
        <f aca="false">IF(TRIM(C1491)="","",IFERROR(INDEX('Code Aliases'!$B:$B,MATCH(TRIM(C1491),'Code Aliases'!$A:$A,0)),TRIM(C1491)))</f>
        <v/>
      </c>
      <c r="H1491" s="17" t="str">
        <f aca="false">IF(TRIM(B1491)="","",UPPER(TRIM(B1491)))</f>
        <v/>
      </c>
    </row>
    <row r="1492" customFormat="false" ht="14.25" hidden="false" customHeight="true" outlineLevel="0" collapsed="false">
      <c r="D1492" s="17"/>
      <c r="G1492" s="17" t="str">
        <f aca="false">IF(TRIM(C1492)="","",IFERROR(INDEX('Code Aliases'!$B:$B,MATCH(TRIM(C1492),'Code Aliases'!$A:$A,0)),TRIM(C1492)))</f>
        <v/>
      </c>
      <c r="H1492" s="17" t="str">
        <f aca="false">IF(TRIM(B1492)="","",UPPER(TRIM(B1492)))</f>
        <v/>
      </c>
    </row>
    <row r="1493" customFormat="false" ht="14.25" hidden="false" customHeight="true" outlineLevel="0" collapsed="false">
      <c r="D1493" s="17"/>
      <c r="G1493" s="17" t="str">
        <f aca="false">IF(TRIM(C1493)="","",IFERROR(INDEX('Code Aliases'!$B:$B,MATCH(TRIM(C1493),'Code Aliases'!$A:$A,0)),TRIM(C1493)))</f>
        <v/>
      </c>
      <c r="H1493" s="17" t="str">
        <f aca="false">IF(TRIM(B1493)="","",UPPER(TRIM(B1493)))</f>
        <v/>
      </c>
    </row>
    <row r="1494" customFormat="false" ht="14.25" hidden="false" customHeight="true" outlineLevel="0" collapsed="false">
      <c r="D1494" s="17"/>
      <c r="G1494" s="17" t="str">
        <f aca="false">IF(TRIM(C1494)="","",IFERROR(INDEX('Code Aliases'!$B:$B,MATCH(TRIM(C1494),'Code Aliases'!$A:$A,0)),TRIM(C1494)))</f>
        <v/>
      </c>
      <c r="H1494" s="17" t="str">
        <f aca="false">IF(TRIM(B1494)="","",UPPER(TRIM(B1494)))</f>
        <v/>
      </c>
    </row>
    <row r="1495" customFormat="false" ht="14.25" hidden="false" customHeight="true" outlineLevel="0" collapsed="false">
      <c r="D1495" s="17"/>
      <c r="G1495" s="17" t="str">
        <f aca="false">IF(TRIM(C1495)="","",IFERROR(INDEX('Code Aliases'!$B:$B,MATCH(TRIM(C1495),'Code Aliases'!$A:$A,0)),TRIM(C1495)))</f>
        <v/>
      </c>
      <c r="H1495" s="17" t="str">
        <f aca="false">IF(TRIM(B1495)="","",UPPER(TRIM(B1495)))</f>
        <v/>
      </c>
    </row>
    <row r="1496" customFormat="false" ht="14.25" hidden="false" customHeight="true" outlineLevel="0" collapsed="false">
      <c r="D1496" s="17"/>
      <c r="G1496" s="17" t="str">
        <f aca="false">IF(TRIM(C1496)="","",IFERROR(INDEX('Code Aliases'!$B:$B,MATCH(TRIM(C1496),'Code Aliases'!$A:$A,0)),TRIM(C1496)))</f>
        <v/>
      </c>
      <c r="H1496" s="17" t="str">
        <f aca="false">IF(TRIM(B1496)="","",UPPER(TRIM(B1496)))</f>
        <v/>
      </c>
    </row>
    <row r="1497" customFormat="false" ht="14.25" hidden="false" customHeight="true" outlineLevel="0" collapsed="false">
      <c r="D1497" s="17"/>
      <c r="G1497" s="17" t="str">
        <f aca="false">IF(TRIM(C1497)="","",IFERROR(INDEX('Code Aliases'!$B:$B,MATCH(TRIM(C1497),'Code Aliases'!$A:$A,0)),TRIM(C1497)))</f>
        <v/>
      </c>
      <c r="H1497" s="17" t="str">
        <f aca="false">IF(TRIM(B1497)="","",UPPER(TRIM(B1497)))</f>
        <v/>
      </c>
    </row>
    <row r="1498" customFormat="false" ht="14.25" hidden="false" customHeight="true" outlineLevel="0" collapsed="false">
      <c r="D1498" s="17"/>
      <c r="G1498" s="17" t="str">
        <f aca="false">IF(TRIM(C1498)="","",IFERROR(INDEX('Code Aliases'!$B:$B,MATCH(TRIM(C1498),'Code Aliases'!$A:$A,0)),TRIM(C1498)))</f>
        <v/>
      </c>
      <c r="H1498" s="17" t="str">
        <f aca="false">IF(TRIM(B1498)="","",UPPER(TRIM(B1498)))</f>
        <v/>
      </c>
    </row>
    <row r="1499" customFormat="false" ht="14.25" hidden="false" customHeight="true" outlineLevel="0" collapsed="false">
      <c r="D1499" s="17"/>
      <c r="G1499" s="17" t="str">
        <f aca="false">IF(TRIM(C1499)="","",IFERROR(INDEX('Code Aliases'!$B:$B,MATCH(TRIM(C1499),'Code Aliases'!$A:$A,0)),TRIM(C1499)))</f>
        <v/>
      </c>
      <c r="H1499" s="17" t="str">
        <f aca="false">IF(TRIM(B1499)="","",UPPER(TRIM(B1499)))</f>
        <v/>
      </c>
    </row>
    <row r="1500" customFormat="false" ht="14.25" hidden="false" customHeight="true" outlineLevel="0" collapsed="false">
      <c r="D1500" s="17"/>
      <c r="G1500" s="17" t="str">
        <f aca="false">IF(TRIM(C1500)="","",IFERROR(INDEX('Code Aliases'!$B:$B,MATCH(TRIM(C1500),'Code Aliases'!$A:$A,0)),TRIM(C1500)))</f>
        <v/>
      </c>
      <c r="H1500" s="17" t="str">
        <f aca="false">IF(TRIM(B1500)="","",UPPER(TRIM(B1500)))</f>
        <v/>
      </c>
    </row>
    <row r="1501" customFormat="false" ht="14.25" hidden="false" customHeight="true" outlineLevel="0" collapsed="false">
      <c r="D1501" s="17"/>
      <c r="G1501" s="17" t="str">
        <f aca="false">IF(TRIM(C1501)="","",IFERROR(INDEX('Code Aliases'!$B:$B,MATCH(TRIM(C1501),'Code Aliases'!$A:$A,0)),TRIM(C1501)))</f>
        <v/>
      </c>
      <c r="H1501" s="17" t="str">
        <f aca="false">IF(TRIM(B1501)="","",UPPER(TRIM(B1501)))</f>
        <v/>
      </c>
    </row>
    <row r="1502" customFormat="false" ht="14.25" hidden="false" customHeight="true" outlineLevel="0" collapsed="false">
      <c r="D1502" s="17"/>
      <c r="G1502" s="17" t="str">
        <f aca="false">IF(TRIM(C1502)="","",IFERROR(INDEX('Code Aliases'!$B:$B,MATCH(TRIM(C1502),'Code Aliases'!$A:$A,0)),TRIM(C1502)))</f>
        <v/>
      </c>
      <c r="H1502" s="17" t="str">
        <f aca="false">IF(TRIM(B1502)="","",UPPER(TRIM(B1502)))</f>
        <v/>
      </c>
    </row>
    <row r="1503" customFormat="false" ht="14.25" hidden="false" customHeight="true" outlineLevel="0" collapsed="false">
      <c r="D1503" s="17"/>
      <c r="G1503" s="17" t="str">
        <f aca="false">IF(TRIM(C1503)="","",IFERROR(INDEX('Code Aliases'!$B:$B,MATCH(TRIM(C1503),'Code Aliases'!$A:$A,0)),TRIM(C1503)))</f>
        <v/>
      </c>
      <c r="H1503" s="17" t="str">
        <f aca="false">IF(TRIM(B1503)="","",UPPER(TRIM(B1503)))</f>
        <v/>
      </c>
    </row>
    <row r="1504" customFormat="false" ht="14.25" hidden="false" customHeight="true" outlineLevel="0" collapsed="false">
      <c r="D1504" s="17"/>
      <c r="G1504" s="17" t="str">
        <f aca="false">IF(TRIM(C1504)="","",IFERROR(INDEX('Code Aliases'!$B:$B,MATCH(TRIM(C1504),'Code Aliases'!$A:$A,0)),TRIM(C1504)))</f>
        <v/>
      </c>
      <c r="H1504" s="17" t="str">
        <f aca="false">IF(TRIM(B1504)="","",UPPER(TRIM(B1504)))</f>
        <v/>
      </c>
    </row>
    <row r="1505" customFormat="false" ht="14.25" hidden="false" customHeight="true" outlineLevel="0" collapsed="false">
      <c r="D1505" s="17"/>
      <c r="G1505" s="17" t="str">
        <f aca="false">IF(TRIM(C1505)="","",IFERROR(INDEX('Code Aliases'!$B:$B,MATCH(TRIM(C1505),'Code Aliases'!$A:$A,0)),TRIM(C1505)))</f>
        <v/>
      </c>
      <c r="H1505" s="17" t="str">
        <f aca="false">IF(TRIM(B1505)="","",UPPER(TRIM(B1505)))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70"/>
  </cols>
  <sheetData>
    <row r="1" customFormat="false" ht="18" hidden="false" customHeight="true" outlineLevel="0" collapsed="false">
      <c r="A1" s="2" t="s">
        <v>961</v>
      </c>
    </row>
    <row r="2" customFormat="false" ht="14.25" hidden="false" customHeight="true" outlineLevel="0" collapsed="false">
      <c r="A2" s="37" t="s">
        <v>962</v>
      </c>
    </row>
    <row r="4" customFormat="false" ht="42" hidden="false" customHeight="true" outlineLevel="0" collapsed="false">
      <c r="A4" s="23" t="s">
        <v>963</v>
      </c>
      <c r="B4" s="23" t="s">
        <v>507</v>
      </c>
      <c r="C4" s="23" t="s">
        <v>964</v>
      </c>
    </row>
    <row r="5" customFormat="false" ht="14.25" hidden="false" customHeight="true" outlineLevel="0" collapsed="false">
      <c r="A5" s="39" t="s">
        <v>584</v>
      </c>
      <c r="B5" s="39" t="s">
        <v>173</v>
      </c>
      <c r="C5" s="9" t="s">
        <v>585</v>
      </c>
    </row>
    <row r="6" customFormat="false" ht="14.25" hidden="false" customHeight="true" outlineLevel="0" collapsed="false">
      <c r="A6" s="39" t="s">
        <v>589</v>
      </c>
      <c r="B6" s="39" t="s">
        <v>202</v>
      </c>
      <c r="C6" s="9" t="s">
        <v>555</v>
      </c>
    </row>
    <row r="7" customFormat="false" ht="14.25" hidden="false" customHeight="true" outlineLevel="0" collapsed="false">
      <c r="A7" s="39" t="s">
        <v>597</v>
      </c>
      <c r="B7" s="39" t="s">
        <v>129</v>
      </c>
      <c r="C7" s="9" t="s">
        <v>599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</cols>
  <sheetData>
    <row r="1" customFormat="false" ht="18" hidden="false" customHeight="true" outlineLevel="0" collapsed="false">
      <c r="A1" s="2" t="s">
        <v>965</v>
      </c>
    </row>
    <row r="2" customFormat="false" ht="14.25" hidden="false" customHeight="true" outlineLevel="0" collapsed="false">
      <c r="A2" s="37" t="s">
        <v>966</v>
      </c>
    </row>
    <row r="4" customFormat="false" ht="14.25" hidden="false" customHeight="true" outlineLevel="0" collapsed="false">
      <c r="A4" s="9" t="s">
        <v>967</v>
      </c>
      <c r="B4" s="70" t="n">
        <v>6</v>
      </c>
    </row>
    <row r="5" customFormat="false" ht="14.25" hidden="false" customHeight="true" outlineLevel="0" collapsed="false">
      <c r="A5" s="9" t="s">
        <v>968</v>
      </c>
      <c r="B5" s="70" t="n">
        <v>12</v>
      </c>
    </row>
    <row r="6" customFormat="false" ht="14.25" hidden="false" customHeight="true" outlineLevel="0" collapsed="false">
      <c r="A6" s="9" t="s">
        <v>969</v>
      </c>
      <c r="B6" s="44" t="n">
        <v>46303</v>
      </c>
    </row>
    <row r="7" customFormat="false" ht="14.25" hidden="false" customHeight="true" outlineLevel="0" collapsed="false">
      <c r="A7" s="9" t="s">
        <v>970</v>
      </c>
      <c r="B7" s="44" t="n">
        <v>46295</v>
      </c>
    </row>
    <row r="8" customFormat="false" ht="14.25" hidden="false" customHeight="true" outlineLevel="0" collapsed="false">
      <c r="A8" s="9" t="s">
        <v>971</v>
      </c>
      <c r="B8" s="44" t="n">
        <v>46295</v>
      </c>
    </row>
    <row r="9" customFormat="false" ht="14.25" hidden="false" customHeight="true" outlineLevel="0" collapsed="false">
      <c r="A9" s="9" t="s">
        <v>972</v>
      </c>
      <c r="B9" s="71" t="n">
        <v>4</v>
      </c>
    </row>
    <row r="10" customFormat="false" ht="14.25" hidden="false" customHeight="true" outlineLevel="0" collapsed="false">
      <c r="A10" s="9" t="s">
        <v>973</v>
      </c>
      <c r="B10" s="71" t="n">
        <v>1.8</v>
      </c>
    </row>
    <row r="11" customFormat="false" ht="14.25" hidden="false" customHeight="true" outlineLevel="0" collapsed="false">
      <c r="A11" s="9" t="s">
        <v>974</v>
      </c>
      <c r="B11" s="70" t="n">
        <v>5</v>
      </c>
    </row>
    <row r="12" customFormat="false" ht="14.25" hidden="false" customHeight="true" outlineLevel="0" collapsed="false">
      <c r="A12" s="9" t="s">
        <v>975</v>
      </c>
      <c r="B12" s="72" t="n">
        <v>0.9</v>
      </c>
    </row>
    <row r="13" customFormat="false" ht="14.25" hidden="false" customHeight="true" outlineLevel="0" collapsed="false">
      <c r="A13" s="73" t="s">
        <v>976</v>
      </c>
      <c r="B13" s="74" t="n">
        <v>46304</v>
      </c>
    </row>
    <row r="15" customFormat="false" ht="14.25" hidden="false" customHeight="false" outlineLevel="0" collapsed="false">
      <c r="A15" s="75" t="s">
        <v>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2026-10-09T06:06:36Z</dcterms:created>
  <dc:creator>openpyxl</dc:creator>
  <dc:description/>
  <dc:language>en-US</dc:language>
  <cp:lastModifiedBy>Sannette Potgieter</cp:lastModifiedBy>
  <dcterms:modified xsi:type="dcterms:W3CDTF">2026-10-09T12:31:15Z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